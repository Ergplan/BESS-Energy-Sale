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SepDays" sheetId="4" state="visible" r:id="rId4"/>
    <sheet xmlns:r="http://schemas.openxmlformats.org/officeDocument/2006/relationships" name="SolarProfile" sheetId="5" state="visible" r:id="rId5"/>
    <sheet xmlns:r="http://schemas.openxmlformats.org/officeDocument/2006/relationships" name="PricesMonth" sheetId="6" state="visible" r:id="rId6"/>
    <sheet xmlns:r="http://schemas.openxmlformats.org/officeDocument/2006/relationships" name="Dispatch" sheetId="7" state="visible" r:id="rId7"/>
    <sheet xmlns:r="http://schemas.openxmlformats.org/officeDocument/2006/relationships" name="Model" sheetId="8" state="visible" r:id="rId8"/>
    <sheet xmlns:r="http://schemas.openxmlformats.org/officeDocument/2006/relationships" name="CATL 1 cycle" sheetId="9" state="visible" r:id="rId9"/>
    <sheet xmlns:r="http://schemas.openxmlformats.org/officeDocument/2006/relationships" name="CATL 2 cycles" sheetId="10" state="visible" r:id="rId10"/>
    <sheet xmlns:r="http://schemas.openxmlformats.org/officeDocument/2006/relationships" name="Solar PPA" sheetId="11" state="visible" r:id="rId11"/>
    <sheet xmlns:r="http://schemas.openxmlformats.org/officeDocument/2006/relationships" name="Scenar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%;(0.0%);&quot;-&quot;"/>
    <numFmt numFmtId="165" formatCode="#,##0.00;(#,##0.00);&quot;-&quot;"/>
    <numFmt numFmtId="166" formatCode="#,##0.0;(#,##0.0);&quot;-&quot;"/>
    <numFmt numFmtId="167" formatCode="#,##0;(#,##0);&quot;-&quot;"/>
    <numFmt numFmtId="168" formatCode="0.00%;(0.00%);&quot;-&quot;"/>
    <numFmt numFmtId="169" formatCode="0.000"/>
    <numFmt numFmtId="170" formatCode="0.0"/>
    <numFmt numFmtId="171" formatCode="0.00&quot;x&quot;"/>
    <numFmt numFmtId="172" formatCode="&quot;₹&quot;0.00"/>
    <numFmt numFmtId="173" formatCode="&quot;₹&quot;0.00&quot; /kWh&quot;"/>
    <numFmt numFmtId="174" formatCode="0.0000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sz val="16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49" fontId="7" fillId="0" borderId="0" pivotButton="0" quotePrefix="0" xfId="0"/>
    <xf numFmtId="164" fontId="7" fillId="0" borderId="0" pivotButton="0" quotePrefix="0" xfId="0"/>
    <xf numFmtId="168" fontId="7" fillId="0" borderId="0" pivotButton="0" quotePrefix="0" xfId="0"/>
    <xf numFmtId="166" fontId="7" fillId="0" borderId="0" pivotButton="0" quotePrefix="0" xfId="0"/>
    <xf numFmtId="170" fontId="7" fillId="0" borderId="0" pivotButton="0" quotePrefix="0" xfId="0"/>
    <xf numFmtId="171" fontId="7" fillId="0" borderId="0" pivotButton="0" quotePrefix="0" xfId="0"/>
    <xf numFmtId="167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5" fontId="5" fillId="3" borderId="0" pivotButton="0" quotePrefix="0" xfId="0"/>
    <xf numFmtId="167" fontId="5" fillId="0" borderId="0" pivotButton="0" quotePrefix="0" xfId="0"/>
    <xf numFmtId="168" fontId="5" fillId="0" borderId="0" pivotButton="0" quotePrefix="0" xfId="0"/>
    <xf numFmtId="167" fontId="5" fillId="3" borderId="0" pivotButton="0" quotePrefix="0" xfId="0"/>
    <xf numFmtId="169" fontId="5" fillId="3" borderId="0" pivotButton="0" quotePrefix="0" xfId="0"/>
    <xf numFmtId="167" fontId="4" fillId="0" borderId="0" pivotButton="0" quotePrefix="0" xfId="0"/>
    <xf numFmtId="169" fontId="5" fillId="0" borderId="0" pivotButton="0" quotePrefix="0" xfId="0"/>
    <xf numFmtId="1" fontId="7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168" fontId="4" fillId="0" borderId="0" pivotButton="0" quotePrefix="0" xfId="0"/>
    <xf numFmtId="167" fontId="6" fillId="0" borderId="0" pivotButton="0" quotePrefix="0" xfId="0"/>
    <xf numFmtId="165" fontId="4" fillId="0" borderId="0" pivotButton="0" quotePrefix="0" xfId="0"/>
    <xf numFmtId="49" fontId="4" fillId="0" borderId="0" pivotButton="0" quotePrefix="0" xfId="0"/>
    <xf numFmtId="166" fontId="4" fillId="0" borderId="0" pivotButton="0" quotePrefix="0" xfId="0"/>
    <xf numFmtId="166" fontId="6" fillId="0" borderId="0" pivotButton="0" quotePrefix="0" xfId="0"/>
    <xf numFmtId="168" fontId="6" fillId="0" borderId="0" pivotButton="0" quotePrefix="0" xfId="0"/>
    <xf numFmtId="164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72" fontId="6" fillId="0" borderId="0" pivotButton="0" quotePrefix="0" xfId="0"/>
    <xf numFmtId="173" fontId="6" fillId="0" borderId="0" pivotButton="0" quotePrefix="0" xfId="0"/>
    <xf numFmtId="1" fontId="6" fillId="4" borderId="0" pivotButton="0" quotePrefix="0" xfId="0"/>
    <xf numFmtId="170" fontId="4" fillId="0" borderId="0" pivotButton="0" quotePrefix="0" xfId="0"/>
    <xf numFmtId="169" fontId="4" fillId="0" borderId="0" pivotButton="0" quotePrefix="0" xfId="0"/>
    <xf numFmtId="166" fontId="6" fillId="0" borderId="1" pivotButton="0" quotePrefix="0" xfId="0"/>
    <xf numFmtId="171" fontId="4" fillId="0" borderId="0" pivotButton="0" quotePrefix="0" xfId="0"/>
    <xf numFmtId="2" fontId="4" fillId="0" borderId="0" pivotButton="0" quotePrefix="0" xfId="0"/>
    <xf numFmtId="174" fontId="4" fillId="0" borderId="0" pivotButton="0" quotePrefix="0" xfId="0"/>
    <xf numFmtId="1" fontId="6" fillId="0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BESS IEX Arbitrage · Financial Model</t>
        </is>
      </c>
    </row>
    <row r="2">
      <c r="A2" s="2" t="inlineStr">
        <is>
          <t>P7 Tumkur · P8 Bidar · P12 Kunnoor 4 · BESS sized from CTU night connectivity · IEX prices 2025-09-20 to 2026-09-23</t>
        </is>
      </c>
    </row>
    <row r="4">
      <c r="A4" s="3" t="inlineStr">
        <is>
          <t>Sheet</t>
        </is>
      </c>
      <c r="B4" s="3" t="inlineStr">
        <is>
          <t>What it holds</t>
        </is>
      </c>
      <c r="C4" s="4" t="n"/>
      <c r="D4" s="4" t="n"/>
      <c r="E4" s="4" t="n"/>
    </row>
    <row r="5">
      <c r="A5" s="5" t="inlineStr">
        <is>
          <t>Assumptions</t>
        </is>
      </c>
      <c r="B5" s="6" t="inlineStr">
        <is>
          <t>Every input with units and sources. Scenario selectors at the top.</t>
        </is>
      </c>
    </row>
    <row r="6">
      <c r="A6" s="5" t="inlineStr">
        <is>
          <t>Model</t>
        </is>
      </c>
      <c r="B6" s="6" t="inlineStr">
        <is>
          <t>Solar + BESS model for the selected plant, duration and charging case: sizing, prices, capex, 25-year P&amp;L, cash flow, debt, IRR, NPV, DSCR, levelised cost.</t>
        </is>
      </c>
    </row>
    <row r="7">
      <c r="A7" s="5" t="inlineStr">
        <is>
          <t>CATL 1 cycle / CATL 2 cycles</t>
        </is>
      </c>
      <c r="B7" s="6" t="inlineStr">
        <is>
          <t>CATL 12,000-cycle BESS on IEX only, one or two cycles a day, with cycle-based fade and cell replacement.</t>
        </is>
      </c>
    </row>
    <row r="8">
      <c r="A8" s="5" t="inlineStr">
        <is>
          <t>Solar PPA</t>
        </is>
      </c>
      <c r="B8" s="6" t="inlineStr">
        <is>
          <t>BESS buys solar from the plant at a fixed tariff (₹2.545/kWh) and sells on DAM / GDAM / RTM or at a flexible price.</t>
        </is>
      </c>
    </row>
    <row r="9">
      <c r="A9" s="5" t="inlineStr">
        <is>
          <t>Prices / SepDays / PricesMonth / SolarProfile</t>
        </is>
      </c>
      <c r="B9" s="6" t="inlineStr">
        <is>
          <t>IEX 15-minute average prices (annual, September daily, monthly) and plant solar profiles.</t>
        </is>
      </c>
    </row>
    <row r="10">
      <c r="A10" s="5" t="inlineStr">
        <is>
          <t>Dispatch</t>
        </is>
      </c>
      <c r="B10" s="6" t="inlineStr">
        <is>
          <t>Own-solar daily charging results from the HTML model’s 15-minute simulation.</t>
        </is>
      </c>
    </row>
    <row r="11">
      <c r="A11" s="5" t="inlineStr">
        <is>
          <t>Scenarios</t>
        </is>
      </c>
      <c r="B11" s="6" t="inlineStr">
        <is>
          <t>Reference results from the HTML model for checking.</t>
        </is>
      </c>
    </row>
    <row r="12">
      <c r="A12" s="5" t="inlineStr">
        <is>
          <t>Colour legend</t>
        </is>
      </c>
    </row>
    <row r="13">
      <c r="A13" s="7" t="inlineStr">
        <is>
          <t>Blue text</t>
        </is>
      </c>
      <c r="B13" s="6" t="inlineStr">
        <is>
          <t>Input you can change</t>
        </is>
      </c>
    </row>
    <row r="14">
      <c r="A14" s="8" t="inlineStr">
        <is>
          <t>Yellow fill</t>
        </is>
      </c>
      <c r="B14" s="6" t="inlineStr">
        <is>
          <t>Key assumption</t>
        </is>
      </c>
    </row>
    <row r="15">
      <c r="A15" s="6" t="inlineStr">
        <is>
          <t>Black text</t>
        </is>
      </c>
      <c r="B15" s="6" t="inlineStr">
        <is>
          <t>Formula</t>
        </is>
      </c>
    </row>
    <row r="16">
      <c r="A16" s="9" t="inlineStr">
        <is>
          <t>Green text</t>
        </is>
      </c>
      <c r="B16" s="6" t="inlineStr">
        <is>
          <t>Link from another sheet</t>
        </is>
      </c>
    </row>
    <row r="18">
      <c r="A18" s="3" t="inlineStr">
        <is>
          <t>Live results</t>
        </is>
      </c>
      <c r="B18" s="3" t="inlineStr">
        <is>
          <t>Solar + BESS</t>
        </is>
      </c>
      <c r="C18" s="3" t="inlineStr">
        <is>
          <t>CATL 1 cycle</t>
        </is>
      </c>
      <c r="D18" s="3" t="inlineStr">
        <is>
          <t>CATL 2 cycles</t>
        </is>
      </c>
      <c r="E18" s="3" t="inlineStr">
        <is>
          <t>Solar PPA</t>
        </is>
      </c>
    </row>
    <row r="19">
      <c r="A19" s="5" t="inlineStr">
        <is>
          <t>Scenario</t>
        </is>
      </c>
      <c r="B19" s="10" t="str">
        <f>Assumptions!$B$6&amp;" · "&amp;Assumptions!$B$7&amp;"h · "&amp;Assumptions!$B$8</f>
        <v>P7 · 2h · IEX + T-GNA</v>
      </c>
      <c r="C19" s="10" t="str">
        <f>Assumptions!$B$6&amp;" · "&amp;Assumptions!$B$65&amp;"h · "&amp;Assumptions!$B$66</f>
        <v>P7 · 4h · T-GNA</v>
      </c>
      <c r="E19" s="10" t="str">
        <f>Assumptions!$B$6&amp;" · "&amp;Assumptions!$B$92&amp;"h · sell "&amp;Assumptions!$B$93</f>
        <v>P7 · 2h · sell GDAM</v>
      </c>
    </row>
    <row r="20">
      <c r="A20" s="5" t="inlineStr">
        <is>
          <t>Project IRR, post-tax</t>
        </is>
      </c>
      <c r="B20" s="11">
        <f>Model!$C$53</f>
        <v>0.0898349655046069</v>
      </c>
      <c r="C20" s="11">
        <f>'CATL 1 cycle'!$C$43</f>
        <v>0.06701022949850532</v>
      </c>
      <c r="D20" s="11">
        <f>'CATL 2 cycles'!$C$47</f>
        <v>-0.006736947990555908</v>
      </c>
      <c r="E20" s="11">
        <f>'Solar PPA'!$C$68</f>
        <v>0.08875084578873449</v>
      </c>
    </row>
    <row r="21">
      <c r="A21" s="5" t="inlineStr">
        <is>
          <t>Project IRR, pre-tax</t>
        </is>
      </c>
      <c r="B21" s="11">
        <f>Model!$C$54</f>
        <v>0.11653066445422366</v>
      </c>
      <c r="C21" s="11">
        <f>'CATL 1 cycle'!$C$44</f>
        <v>0.08679487434245647</v>
      </c>
      <c r="D21" s="11">
        <f>'CATL 2 cycles'!$C$48</f>
        <v>0.0008505554467415077</v>
      </c>
      <c r="E21" s="11">
        <f>'Solar PPA'!$C$69</f>
        <v>0.11517829931773615</v>
      </c>
    </row>
    <row r="22">
      <c r="A22" s="5" t="inlineStr">
        <is>
          <t>Equity IRR, post-tax</t>
        </is>
      </c>
      <c r="B22" s="11">
        <f>Model!$C$55</f>
        <v>0.106234285110125</v>
      </c>
      <c r="C22" s="11">
        <f>'CATL 1 cycle'!$C$45</f>
        <v>0.06322633123365917</v>
      </c>
      <c r="D22" s="11">
        <f>'CATL 2 cycles'!$C$49</f>
        <v>-0.058659563732481934</v>
      </c>
      <c r="E22" s="11">
        <f>'Solar PPA'!$C$70</f>
        <v>0.10407867255661274</v>
      </c>
    </row>
    <row r="23">
      <c r="A23" s="5" t="inlineStr">
        <is>
          <t>WACC</t>
        </is>
      </c>
      <c r="B23" s="12">
        <f>Model!$C$48</f>
        <v>0.09176195000000001</v>
      </c>
      <c r="C23" s="12">
        <f>'CATL 1 cycle'!$C$38</f>
        <v>0.09176195000000001</v>
      </c>
      <c r="D23" s="12">
        <f>'CATL 2 cycles'!$C$42</f>
        <v>0.09176195000000001</v>
      </c>
      <c r="E23" s="12">
        <f>'Solar PPA'!$C$63</f>
        <v>0.09176195000000001</v>
      </c>
    </row>
    <row r="24">
      <c r="A24" s="5" t="inlineStr">
        <is>
          <t>NPV at WACC, ₹ Cr</t>
        </is>
      </c>
      <c r="B24" s="13">
        <f>Model!$C$56</f>
        <v>-10.66798206702083</v>
      </c>
      <c r="C24" s="13">
        <f>'CATL 1 cycle'!$C$46</f>
        <v>-275.8743387078416</v>
      </c>
      <c r="D24" s="13">
        <f>'CATL 2 cycles'!$C$50</f>
        <v>-905.8704086028266</v>
      </c>
      <c r="E24" s="13">
        <f>'Solar PPA'!$C$71</f>
        <v>-16.64688101136585</v>
      </c>
    </row>
    <row r="25">
      <c r="A25" s="5" t="inlineStr">
        <is>
          <t>Payback, years</t>
        </is>
      </c>
      <c r="B25" s="14">
        <f>Model!$C$57</f>
        <v>9.195037254506332</v>
      </c>
      <c r="C25" s="14">
        <f>'CATL 1 cycle'!$C$47</f>
        <v>11.404181681033053</v>
      </c>
      <c r="D25" s="14" t="str">
        <f>'CATL 2 cycles'!$C$51</f>
        <v>beyond life</v>
      </c>
      <c r="E25" s="14">
        <f>'Solar PPA'!$C$72</f>
        <v>9.272299413157246</v>
      </c>
    </row>
    <row r="26">
      <c r="A26" s="5" t="inlineStr">
        <is>
          <t>Minimum DSCR</t>
        </is>
      </c>
      <c r="B26" s="15">
        <f>Model!$C$58</f>
        <v>1.2634267166754793</v>
      </c>
      <c r="C26" s="15">
        <f>'CATL 1 cycle'!$C$48</f>
        <v>1.0112612893883797</v>
      </c>
      <c r="D26" s="15">
        <f>'CATL 2 cycles'!$C$52</f>
        <v>0.5915689572538753</v>
      </c>
      <c r="E26" s="15">
        <f>'Solar PPA'!$C$73</f>
        <v>1.25481157589943</v>
      </c>
    </row>
    <row r="27">
      <c r="A27" s="5" t="inlineStr">
        <is>
          <t>Total capex, ₹ Cr</t>
        </is>
      </c>
      <c r="B27" s="13">
        <f>Model!$C$46</f>
        <v>707.9664173966522</v>
      </c>
      <c r="C27" s="13">
        <f>'CATL 1 cycle'!$C$36</f>
        <v>1514.8072686980852</v>
      </c>
      <c r="D27" s="13">
        <f>'CATL 2 cycles'!$C$40</f>
        <v>1521.7223050439945</v>
      </c>
      <c r="E27" s="13">
        <f>'Solar PPA'!$C$61</f>
        <v>707.9664173966522</v>
      </c>
    </row>
    <row r="28">
      <c r="A28" s="5" t="inlineStr">
        <is>
          <t>BESS nameplate, MWh</t>
        </is>
      </c>
      <c r="B28" s="16">
        <f>Model!$C$17</f>
        <v>722.414711629237</v>
      </c>
      <c r="C28" s="16">
        <f>'CATL 1 cycle'!$C$15</f>
        <v>1442.6735892362715</v>
      </c>
      <c r="D28" s="16">
        <f>'CATL 2 cycles'!$C$15</f>
        <v>1449.2593381371375</v>
      </c>
      <c r="E28" s="16">
        <f>'Solar PPA'!$C$16</f>
        <v>722.414711629237</v>
      </c>
    </row>
    <row r="31" ht="30" customHeight="1">
      <c r="A31" s="17" t="inlineStr">
        <is>
          <t>How the model works: the BESS is sized so the full night connectivity is exported for the whole window (2 or 4 h). Own-solar charging builds only enough solar to charge that BESS. IEX-purchase and CATL cases are fully live formulas. Own-solar daily charging (how full the battery gets each day, surplus solar) comes from the HTML model’s 15-minute simulation (Dispatch sheet) at default windows and sizing.</t>
        </is>
      </c>
    </row>
    <row r="32"/>
    <row r="33"/>
    <row r="34"/>
    <row r="36">
      <c r="A36" s="2" t="inlineStr">
        <is>
          <t>Units: ₹ Cr = ₹ crore (10 million). Prices ₹/MWh unless shown as ₹/kWh. Percentages are stored as fractions.</t>
        </is>
      </c>
    </row>
  </sheetData>
  <mergeCells count="1">
    <mergeCell ref="A31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90" customWidth="1" min="4" max="4"/>
    <col width="10" customWidth="1" min="5" max="5"/>
    <col width="10" customWidth="1" min="6" max="6"/>
  </cols>
  <sheetData>
    <row r="1">
      <c r="A1" s="18" t="inlineStr">
        <is>
          <t>Assumptions</t>
        </is>
      </c>
    </row>
    <row r="2">
      <c r="A2" s="2" t="inlineStr">
        <is>
          <t>Blue = input you can change · yellow = key assumption · black = formula · green = link from another sheet. Percentages are stored as fractions (90% = 0.9).</t>
        </is>
      </c>
    </row>
    <row r="5">
      <c r="A5" s="3" t="inlineStr">
        <is>
          <t>Scenario selectors (Solar + BESS model sheet)</t>
        </is>
      </c>
      <c r="B5" s="4" t="n"/>
      <c r="C5" s="4" t="n"/>
      <c r="D5" s="4" t="n"/>
    </row>
    <row r="6">
      <c r="A6" s="6" t="inlineStr">
        <is>
          <t>Name of solar plant</t>
        </is>
      </c>
      <c r="B6" s="8" t="inlineStr">
        <is>
          <t>P7</t>
        </is>
      </c>
      <c r="C6" s="6" t="inlineStr">
        <is>
          <t>code</t>
        </is>
      </c>
      <c r="D6" s="2" t="inlineStr">
        <is>
          <t>P7 Tumkur · P8 Bidar · P12 Kunnoor 4. Also used by the CATL sheets.</t>
        </is>
      </c>
    </row>
    <row r="7">
      <c r="A7" s="6" t="inlineStr">
        <is>
          <t>BESS duration</t>
        </is>
      </c>
      <c r="B7" s="8" t="n">
        <v>2</v>
      </c>
      <c r="C7" s="6" t="inlineStr">
        <is>
          <t>hours</t>
        </is>
      </c>
      <c r="D7" s="2" t="inlineStr">
        <is>
          <t>2 or 4 hours of discharge at the full night connectivity.</t>
        </is>
      </c>
    </row>
    <row r="8">
      <c r="A8" s="6" t="inlineStr">
        <is>
          <t>Charging case</t>
        </is>
      </c>
      <c r="B8" s="8" t="inlineStr">
        <is>
          <t>IEX + T-GNA</t>
        </is>
      </c>
      <c r="C8" s="6" t="inlineStr">
        <is>
          <t>text</t>
        </is>
      </c>
      <c r="D8" s="2" t="inlineStr">
        <is>
          <t>Own solar = Solar + BESS project. IEX + T-GNA / IEX + GNA = standalone BESS buying on IEX.</t>
        </is>
      </c>
    </row>
    <row r="9">
      <c r="A9" s="6" t="inlineStr">
        <is>
          <t>Own-solar case: sell market</t>
        </is>
      </c>
      <c r="B9" s="7" t="inlineStr">
        <is>
          <t>GDAM</t>
        </is>
      </c>
      <c r="C9" s="6" t="inlineStr">
        <is>
          <t>market</t>
        </is>
      </c>
      <c r="D9" s="2" t="inlineStr">
        <is>
          <t>Green energy from own solar is sold on GDAM (HTML default). The own-solar dispatch table was computed with GDAM.</t>
        </is>
      </c>
    </row>
    <row r="10">
      <c r="A10" s="6" t="inlineStr">
        <is>
          <t>IEX cases: buy market</t>
        </is>
      </c>
      <c r="B10" s="7" t="inlineStr">
        <is>
          <t>RTM</t>
        </is>
      </c>
      <c r="C10" s="6" t="inlineStr">
        <is>
          <t>market</t>
        </is>
      </c>
      <c r="D10" s="2" t="inlineStr"/>
    </row>
    <row r="11">
      <c r="A11" s="6" t="inlineStr">
        <is>
          <t>IEX cases: sell market</t>
        </is>
      </c>
      <c r="B11" s="7" t="inlineStr">
        <is>
          <t>GDAM</t>
        </is>
      </c>
      <c r="C11" s="6" t="inlineStr">
        <is>
          <t>market</t>
        </is>
      </c>
      <c r="D11" s="2" t="inlineStr"/>
    </row>
    <row r="12">
      <c r="A12" s="6" t="inlineStr">
        <is>
          <t>Charge window start, 2-hour (IEX cases)</t>
        </is>
      </c>
      <c r="B12" s="7" t="n">
        <v>44</v>
      </c>
      <c r="C12" s="6" t="inlineStr">
        <is>
          <t>block 0–95</t>
        </is>
      </c>
      <c r="D12" s="2" t="inlineStr">
        <is>
          <t>15-minute block index: 44 = 11:00. Charge window length is set by the connectivity limit (Model sheet).</t>
        </is>
      </c>
    </row>
    <row r="13">
      <c r="A13" s="6" t="inlineStr">
        <is>
          <t>Discharge window start, 2-hour</t>
        </is>
      </c>
      <c r="B13" s="7" t="n">
        <v>76</v>
      </c>
      <c r="C13" s="6" t="inlineStr">
        <is>
          <t>block 0–95</t>
        </is>
      </c>
      <c r="D13" s="2" t="inlineStr">
        <is>
          <t>76 = 19:00. The own-solar dispatch table uses this default.</t>
        </is>
      </c>
    </row>
    <row r="14">
      <c r="A14" s="6" t="inlineStr">
        <is>
          <t>Charge window start, 4-hour (IEX cases)</t>
        </is>
      </c>
      <c r="B14" s="7" t="n">
        <v>38</v>
      </c>
      <c r="C14" s="6" t="inlineStr">
        <is>
          <t>block 0–95</t>
        </is>
      </c>
      <c r="D14" s="2" t="inlineStr">
        <is>
          <t>38 = 09:30.</t>
        </is>
      </c>
    </row>
    <row r="15">
      <c r="A15" s="6" t="inlineStr">
        <is>
          <t>Discharge window start, 4-hour</t>
        </is>
      </c>
      <c r="B15" s="7" t="n">
        <v>72</v>
      </c>
      <c r="C15" s="6" t="inlineStr">
        <is>
          <t>block 0–95</t>
        </is>
      </c>
      <c r="D15" s="2" t="inlineStr">
        <is>
          <t>72 = 18:00. The own-solar dispatch table uses this default.</t>
        </is>
      </c>
    </row>
    <row r="16">
      <c r="A16" s="6" t="inlineStr">
        <is>
          <t>Solar sizing, share of average-day charging need</t>
        </is>
      </c>
      <c r="B16" s="19" t="n">
        <v>1</v>
      </c>
      <c r="C16" s="6" t="inlineStr">
        <is>
          <t>%</t>
        </is>
      </c>
      <c r="D16" s="2" t="inlineStr">
        <is>
          <t>Own-solar dispatch table was computed at 100%. Changing it resizes solar capex here but not the dispatch energy; re-export from the HTML model to change both.</t>
        </is>
      </c>
    </row>
    <row r="17">
      <c r="A17" s="6" t="inlineStr">
        <is>
          <t>Booster days on (1 = on, 0 = off)</t>
        </is>
      </c>
      <c r="B17" s="8" t="n">
        <v>0</v>
      </c>
      <c r="C17" s="6" t="inlineStr">
        <is>
          <t>switch</t>
        </is>
      </c>
      <c r="D17" s="2" t="inlineStr">
        <is>
          <t>Evening discharge sold at the booster price on the booster days.</t>
        </is>
      </c>
    </row>
    <row r="18">
      <c r="A18" s="6" t="inlineStr">
        <is>
          <t>Booster days from (September day)</t>
        </is>
      </c>
      <c r="B18" s="7" t="n">
        <v>1</v>
      </c>
      <c r="C18" s="6" t="inlineStr">
        <is>
          <t>day</t>
        </is>
      </c>
      <c r="D18" s="2" t="inlineStr">
        <is>
          <t>IEX cases are fully live. The own-solar booster uplift uses the 1–20 Sep dispatch.</t>
        </is>
      </c>
    </row>
    <row r="19">
      <c r="A19" s="6" t="inlineStr">
        <is>
          <t>Number of booster days</t>
        </is>
      </c>
      <c r="B19" s="7" t="n">
        <v>20</v>
      </c>
      <c r="C19" s="6" t="inlineStr">
        <is>
          <t>days</t>
        </is>
      </c>
      <c r="D19" s="2" t="inlineStr"/>
    </row>
    <row r="20">
      <c r="A20" s="6" t="inlineStr">
        <is>
          <t>Booster sell price</t>
        </is>
      </c>
      <c r="B20" s="20" t="n">
        <v>15</v>
      </c>
      <c r="C20" s="6" t="inlineStr">
        <is>
          <t>₹/kWh</t>
        </is>
      </c>
      <c r="D20" s="2" t="inlineStr">
        <is>
          <t>User input: ₹15/kWh sell price.</t>
        </is>
      </c>
    </row>
    <row r="21">
      <c r="A21" s="6" t="inlineStr">
        <is>
          <t>Equity-funded cost on (1 = on, 0 = off)</t>
        </is>
      </c>
      <c r="B21" s="8" t="n">
        <v>1</v>
      </c>
      <c r="C21" s="6" t="inlineStr">
        <is>
          <t>switch</t>
        </is>
      </c>
      <c r="D21" s="2" t="inlineStr"/>
    </row>
    <row r="22">
      <c r="A22" s="6" t="inlineStr">
        <is>
          <t>Equity-funded cost</t>
        </is>
      </c>
      <c r="B22" s="21" t="n">
        <v>20</v>
      </c>
      <c r="C22" s="6" t="inlineStr">
        <is>
          <t>₹ Cr / yr</t>
        </is>
      </c>
      <c r="D22" s="2" t="inlineStr">
        <is>
          <t>User input: ₹20 Cr a year, expensed in the P&amp;L (tax-deductible), excluded from DSCR.</t>
        </is>
      </c>
    </row>
    <row r="23">
      <c r="A23" s="6" t="inlineStr">
        <is>
          <t>…for the first N years</t>
        </is>
      </c>
      <c r="B23" s="7" t="n">
        <v>2</v>
      </c>
      <c r="C23" s="6" t="inlineStr">
        <is>
          <t>years</t>
        </is>
      </c>
      <c r="D23" s="2" t="inlineStr"/>
    </row>
    <row r="25">
      <c r="A25" s="3" t="inlineStr">
        <is>
          <t>Capex &amp; land</t>
        </is>
      </c>
      <c r="B25" s="4" t="n"/>
      <c r="C25" s="4" t="n"/>
      <c r="D25" s="4" t="n"/>
    </row>
    <row r="26">
      <c r="A26" s="6" t="inlineStr">
        <is>
          <t>Solar capex</t>
        </is>
      </c>
      <c r="B26" s="22" t="n">
        <v>2.05</v>
      </c>
      <c r="C26" s="6" t="inlineStr">
        <is>
          <t>₹ Cr / MWp DC</t>
        </is>
      </c>
      <c r="D26" s="2" t="inlineStr">
        <is>
          <t>User input.</t>
        </is>
      </c>
    </row>
    <row r="27">
      <c r="A27" s="6" t="inlineStr">
        <is>
          <t>BESS capex, all-inclusive on nameplate</t>
        </is>
      </c>
      <c r="B27" s="22" t="n">
        <v>0.98</v>
      </c>
      <c r="C27" s="6" t="inlineStr">
        <is>
          <t>₹ Cr / MWh</t>
        </is>
      </c>
      <c r="D27" s="2" t="inlineStr">
        <is>
          <t>User input.</t>
        </is>
      </c>
    </row>
    <row r="28">
      <c r="A28" s="6" t="inlineStr">
        <is>
          <t>Land rate</t>
        </is>
      </c>
      <c r="B28" s="23" t="n">
        <v>35000</v>
      </c>
      <c r="C28" s="6" t="inlineStr">
        <is>
          <t>₹ / acre</t>
        </is>
      </c>
      <c r="D28" s="2" t="inlineStr">
        <is>
          <t>User input (plant table).</t>
        </is>
      </c>
    </row>
    <row r="29">
      <c r="A29" s="6" t="inlineStr">
        <is>
          <t>Land rate basis</t>
        </is>
      </c>
      <c r="B29" s="7" t="inlineStr">
        <is>
          <t>Lease</t>
        </is>
      </c>
      <c r="C29" s="6" t="inlineStr">
        <is>
          <t>text</t>
        </is>
      </c>
      <c r="D29" s="2" t="inlineStr">
        <is>
          <t>Lease = annual lease escalating; Buy = one-time purchase in year 0.</t>
        </is>
      </c>
    </row>
    <row r="30">
      <c r="A30" s="6" t="inlineStr">
        <is>
          <t>Lease escalation</t>
        </is>
      </c>
      <c r="B30" s="19" t="n">
        <v>0.05</v>
      </c>
      <c r="C30" s="6" t="inlineStr">
        <is>
          <t>% / yr</t>
        </is>
      </c>
      <c r="D30" s="2" t="inlineStr"/>
    </row>
    <row r="31">
      <c r="A31" s="6" t="inlineStr">
        <is>
          <t>Solar CUF (AC)</t>
        </is>
      </c>
      <c r="B31" s="19" t="n">
        <v>0.3</v>
      </c>
      <c r="C31" s="6" t="inlineStr">
        <is>
          <t>%</t>
        </is>
      </c>
      <c r="D31" s="2" t="inlineStr">
        <is>
          <t>User input (plant table).</t>
        </is>
      </c>
    </row>
    <row r="32">
      <c r="A32" s="6" t="inlineStr">
        <is>
          <t>Solar auxiliary consumption</t>
        </is>
      </c>
      <c r="B32" s="20" t="n">
        <v>1</v>
      </c>
      <c r="C32" s="6" t="inlineStr">
        <is>
          <t>MW per 300 MWac</t>
        </is>
      </c>
      <c r="D32" s="2" t="inlineStr">
        <is>
          <t>User input: 1 MW for the overall plant, scaled to the sized solar.</t>
        </is>
      </c>
    </row>
    <row r="34">
      <c r="A34" s="3" t="inlineStr">
        <is>
          <t>BESS technical</t>
        </is>
      </c>
      <c r="B34" s="4" t="n"/>
      <c r="C34" s="4" t="n"/>
      <c r="D34" s="4" t="n"/>
    </row>
    <row r="35">
      <c r="A35" s="6" t="inlineStr">
        <is>
          <t>Depth of discharge</t>
        </is>
      </c>
      <c r="B35" s="19" t="n">
        <v>0.9</v>
      </c>
      <c r="C35" s="6" t="inlineStr">
        <is>
          <t>%</t>
        </is>
      </c>
      <c r="D35" s="2" t="inlineStr"/>
    </row>
    <row r="36">
      <c r="A36" s="6" t="inlineStr">
        <is>
          <t>Round-trip efficiency (AC-AC)</t>
        </is>
      </c>
      <c r="B36" s="19" t="n">
        <v>0.9</v>
      </c>
      <c r="C36" s="6" t="inlineStr">
        <is>
          <t>%</t>
        </is>
      </c>
      <c r="D36" s="2" t="inlineStr">
        <is>
          <t>User input.</t>
        </is>
      </c>
    </row>
    <row r="37">
      <c r="A37" s="6" t="inlineStr">
        <is>
          <t>Capacity fade</t>
        </is>
      </c>
      <c r="B37" s="24" t="n">
        <v>0.015</v>
      </c>
      <c r="C37" s="6" t="inlineStr">
        <is>
          <t>% / yr</t>
        </is>
      </c>
      <c r="D37" s="2" t="inlineStr">
        <is>
          <t>User input: 1.5%/yr, linear.</t>
        </is>
      </c>
    </row>
    <row r="38">
      <c r="A38" s="6" t="inlineStr">
        <is>
          <t>HVAC auxiliary, share of discharge</t>
        </is>
      </c>
      <c r="B38" s="19" t="n">
        <v>0.01</v>
      </c>
      <c r="C38" s="6" t="inlineStr">
        <is>
          <t>%</t>
        </is>
      </c>
      <c r="D38" s="2" t="inlineStr">
        <is>
          <t>User input.</t>
        </is>
      </c>
    </row>
    <row r="39">
      <c r="A39" s="6" t="inlineStr">
        <is>
          <t>Transformer + line loss to CTU meter</t>
        </is>
      </c>
      <c r="B39" s="19" t="n">
        <v>0.01</v>
      </c>
      <c r="C39" s="6" t="inlineStr">
        <is>
          <t>%</t>
        </is>
      </c>
      <c r="D39" s="2" t="inlineStr"/>
    </row>
    <row r="40">
      <c r="A40" s="6" t="inlineStr">
        <is>
          <t>ISTS loss on drawal</t>
        </is>
      </c>
      <c r="B40" s="19" t="n">
        <v>0.03</v>
      </c>
      <c r="C40" s="6" t="inlineStr">
        <is>
          <t>%</t>
        </is>
      </c>
      <c r="D40" s="2" t="inlineStr">
        <is>
          <t>Assumption.</t>
        </is>
      </c>
    </row>
    <row r="41">
      <c r="A41" s="6" t="inlineStr">
        <is>
          <t>Availability</t>
        </is>
      </c>
      <c r="B41" s="19" t="n">
        <v>0.99</v>
      </c>
      <c r="C41" s="6" t="inlineStr">
        <is>
          <t>%</t>
        </is>
      </c>
      <c r="D41" s="2" t="inlineStr">
        <is>
          <t>User input.</t>
        </is>
      </c>
    </row>
    <row r="42">
      <c r="A42" s="6" t="inlineStr">
        <is>
          <t>Augmentation year (0 = none)</t>
        </is>
      </c>
      <c r="B42" s="7" t="n">
        <v>12</v>
      </c>
      <c r="C42" s="6" t="inlineStr">
        <is>
          <t>year</t>
        </is>
      </c>
      <c r="D42" s="2" t="inlineStr"/>
    </row>
    <row r="43">
      <c r="A43" s="6" t="inlineStr">
        <is>
          <t>Augmentation cost, share of BESS capex</t>
        </is>
      </c>
      <c r="B43" s="19" t="n">
        <v>0.2</v>
      </c>
      <c r="C43" s="6" t="inlineStr">
        <is>
          <t>%</t>
        </is>
      </c>
      <c r="D43" s="2" t="inlineStr">
        <is>
          <t>Assumption.</t>
        </is>
      </c>
    </row>
    <row r="45">
      <c r="A45" s="3" t="inlineStr">
        <is>
          <t>Transmission &amp; exchange charges</t>
        </is>
      </c>
      <c r="B45" s="4" t="n"/>
      <c r="C45" s="4" t="n"/>
      <c r="D45" s="4" t="n"/>
    </row>
    <row r="46">
      <c r="A46" s="6" t="inlineStr">
        <is>
          <t>T-GNA (STOA) charge on energy drawn</t>
        </is>
      </c>
      <c r="B46" s="25" t="n">
        <v>586</v>
      </c>
      <c r="C46" s="6" t="inlineStr">
        <is>
          <t>₹ / MWh</t>
        </is>
      </c>
      <c r="D46" s="2" t="inlineStr">
        <is>
          <t>Source: SRPC RTA, billing period May 2026 (billing month July 2026): Karnataka drawee DICs 5,952 MW GNA, ₹235.8 Cr → ×1.10 ÷ (31×96×GNA) = ₹146.4/MW/block (Reg. 11, CERC Sharing Regulations 2020 as amended).</t>
        </is>
      </c>
    </row>
    <row r="47">
      <c r="A47" s="6" t="inlineStr">
        <is>
          <t>GNA (LTA) charge</t>
        </is>
      </c>
      <c r="B47" s="20" t="n">
        <v>3.96</v>
      </c>
      <c r="C47" s="6" t="inlineStr">
        <is>
          <t>₹ lakh / MW / month</t>
        </is>
      </c>
      <c r="D47" s="2" t="inlineStr">
        <is>
          <t>Source: same SRPC statement, ₹235.8 Cr ÷ 5,952 MW. Fixed on BESS MW. CTU charges on selling are zero (user input).</t>
        </is>
      </c>
    </row>
    <row r="48">
      <c r="A48" s="6" t="inlineStr">
        <is>
          <t>IEX transaction fee, each side</t>
        </is>
      </c>
      <c r="B48" s="23" t="n">
        <v>15</v>
      </c>
      <c r="C48" s="6" t="inlineStr">
        <is>
          <t>₹ / MWh</t>
        </is>
      </c>
      <c r="D48" s="2" t="inlineStr">
        <is>
          <t>User input.</t>
        </is>
      </c>
    </row>
    <row r="50">
      <c r="A50" s="3" t="inlineStr">
        <is>
          <t>Finance &amp; O&amp;M</t>
        </is>
      </c>
      <c r="B50" s="4" t="n"/>
      <c r="C50" s="4" t="n"/>
      <c r="D50" s="4" t="n"/>
    </row>
    <row r="51">
      <c r="A51" s="6" t="inlineStr">
        <is>
          <t>Project life</t>
        </is>
      </c>
      <c r="B51" s="7" t="n">
        <v>25</v>
      </c>
      <c r="C51" s="6" t="inlineStr">
        <is>
          <t>years</t>
        </is>
      </c>
      <c r="D51" s="2" t="inlineStr">
        <is>
          <t>Timeline has 25 columns; keep ≤ 25.</t>
        </is>
      </c>
    </row>
    <row r="52">
      <c r="A52" s="6" t="inlineStr">
        <is>
          <t>Corporate tax</t>
        </is>
      </c>
      <c r="B52" s="24" t="n">
        <v>0.2517</v>
      </c>
      <c r="C52" s="6" t="inlineStr">
        <is>
          <t>%</t>
        </is>
      </c>
      <c r="D52" s="2" t="inlineStr"/>
    </row>
    <row r="53">
      <c r="A53" s="6" t="inlineStr">
        <is>
          <t>IEX price escalation</t>
        </is>
      </c>
      <c r="B53" s="19" t="n">
        <v>0</v>
      </c>
      <c r="C53" s="6" t="inlineStr">
        <is>
          <t>% / yr</t>
        </is>
      </c>
      <c r="D53" s="2" t="inlineStr"/>
    </row>
    <row r="54">
      <c r="A54" s="6" t="inlineStr">
        <is>
          <t>Solar O&amp;M</t>
        </is>
      </c>
      <c r="B54" s="20" t="n">
        <v>5</v>
      </c>
      <c r="C54" s="6" t="inlineStr">
        <is>
          <t>₹ lakh / MWac / yr</t>
        </is>
      </c>
      <c r="D54" s="2" t="inlineStr"/>
    </row>
    <row r="55">
      <c r="A55" s="6" t="inlineStr">
        <is>
          <t>BESS O&amp;M, share of capex</t>
        </is>
      </c>
      <c r="B55" s="24" t="n">
        <v>0.005</v>
      </c>
      <c r="C55" s="6" t="inlineStr">
        <is>
          <t>% / yr</t>
        </is>
      </c>
      <c r="D55" s="2" t="inlineStr">
        <is>
          <t>User input.</t>
        </is>
      </c>
    </row>
    <row r="56">
      <c r="A56" s="6" t="inlineStr">
        <is>
          <t>O&amp;M escalation</t>
        </is>
      </c>
      <c r="B56" s="19" t="n">
        <v>0.03</v>
      </c>
      <c r="C56" s="6" t="inlineStr">
        <is>
          <t>% / yr</t>
        </is>
      </c>
      <c r="D56" s="2" t="inlineStr"/>
    </row>
    <row r="57">
      <c r="A57" s="6" t="inlineStr">
        <is>
          <t>Solar degradation</t>
        </is>
      </c>
      <c r="B57" s="24" t="n">
        <v>0.005</v>
      </c>
      <c r="C57" s="6" t="inlineStr">
        <is>
          <t>% / yr</t>
        </is>
      </c>
      <c r="D57" s="2" t="inlineStr">
        <is>
          <t>Included in the own-solar dispatch table.</t>
        </is>
      </c>
    </row>
    <row r="58">
      <c r="A58" s="6" t="inlineStr">
        <is>
          <t>Debt share of capex</t>
        </is>
      </c>
      <c r="B58" s="19" t="n">
        <v>0.7</v>
      </c>
      <c r="C58" s="6" t="inlineStr">
        <is>
          <t>%</t>
        </is>
      </c>
      <c r="D58" s="2" t="inlineStr"/>
    </row>
    <row r="59">
      <c r="A59" s="6" t="inlineStr">
        <is>
          <t>Interest rate (Kd)</t>
        </is>
      </c>
      <c r="B59" s="24" t="n">
        <v>0.095</v>
      </c>
      <c r="C59" s="6" t="inlineStr">
        <is>
          <t>%</t>
        </is>
      </c>
      <c r="D59" s="2" t="inlineStr"/>
    </row>
    <row r="60">
      <c r="A60" s="6" t="inlineStr">
        <is>
          <t>Loan tenor (equal principal)</t>
        </is>
      </c>
      <c r="B60" s="7" t="n">
        <v>15</v>
      </c>
      <c r="C60" s="6" t="inlineStr">
        <is>
          <t>years</t>
        </is>
      </c>
      <c r="D60" s="2" t="inlineStr"/>
    </row>
    <row r="61">
      <c r="A61" s="6" t="inlineStr">
        <is>
          <t>Cost of equity (Ke)</t>
        </is>
      </c>
      <c r="B61" s="19" t="n">
        <v>0.14</v>
      </c>
      <c r="C61" s="6" t="inlineStr">
        <is>
          <t>%</t>
        </is>
      </c>
      <c r="D61" s="2" t="inlineStr"/>
    </row>
    <row r="62">
      <c r="A62" s="6" t="inlineStr">
        <is>
          <t>Days of IEX price data</t>
        </is>
      </c>
      <c r="B62" s="7" t="n">
        <v>365</v>
      </c>
      <c r="C62" s="6" t="inlineStr">
        <is>
          <t>days</t>
        </is>
      </c>
      <c r="D62" s="2" t="inlineStr">
        <is>
          <t>IEX MCP 15-min, 2025-09-20 to 2026-09-23 (files DAM/GDAM/RTM_15min_2025-09-01_to_2026-09-23.xlsx).</t>
        </is>
      </c>
    </row>
    <row r="64">
      <c r="A64" s="3" t="inlineStr">
        <is>
          <t>CATL 12,000-cycle BESS · IEX only (CATL sheets)</t>
        </is>
      </c>
      <c r="B64" s="4" t="n"/>
      <c r="C64" s="4" t="n"/>
      <c r="D64" s="4" t="n"/>
    </row>
    <row r="65">
      <c r="A65" s="6" t="inlineStr">
        <is>
          <t>BESS duration</t>
        </is>
      </c>
      <c r="B65" s="8" t="n">
        <v>4</v>
      </c>
      <c r="C65" s="6" t="inlineStr">
        <is>
          <t>hours</t>
        </is>
      </c>
      <c r="D65" s="2" t="inlineStr"/>
    </row>
    <row r="66">
      <c r="A66" s="6" t="inlineStr">
        <is>
          <t>Transmission for purchase</t>
        </is>
      </c>
      <c r="B66" s="7" t="inlineStr">
        <is>
          <t>T-GNA</t>
        </is>
      </c>
      <c r="C66" s="6" t="inlineStr">
        <is>
          <t>text</t>
        </is>
      </c>
      <c r="D66" s="2" t="inlineStr"/>
    </row>
    <row r="67">
      <c r="A67" s="6" t="inlineStr">
        <is>
          <t>Buy market</t>
        </is>
      </c>
      <c r="B67" s="7" t="inlineStr">
        <is>
          <t>DAM</t>
        </is>
      </c>
      <c r="C67" s="6" t="inlineStr">
        <is>
          <t>market</t>
        </is>
      </c>
      <c r="D67" s="2" t="inlineStr"/>
    </row>
    <row r="68">
      <c r="A68" s="6" t="inlineStr">
        <is>
          <t>Sell market</t>
        </is>
      </c>
      <c r="B68" s="7" t="inlineStr">
        <is>
          <t>DAM</t>
        </is>
      </c>
      <c r="C68" s="6" t="inlineStr">
        <is>
          <t>market</t>
        </is>
      </c>
      <c r="D68" s="2" t="inlineStr"/>
    </row>
    <row r="69">
      <c r="A69" s="6" t="inlineStr">
        <is>
          <t>BESS capex</t>
        </is>
      </c>
      <c r="B69" s="22" t="n">
        <v>1.05</v>
      </c>
      <c r="C69" s="6" t="inlineStr">
        <is>
          <t>₹ Cr / MWh</t>
        </is>
      </c>
      <c r="D69" s="2" t="inlineStr"/>
    </row>
    <row r="70">
      <c r="A70" s="6" t="inlineStr">
        <is>
          <t>Rated cycle life</t>
        </is>
      </c>
      <c r="B70" s="23" t="n">
        <v>12000</v>
      </c>
      <c r="C70" s="6" t="inlineStr">
        <is>
          <t>cycles</t>
        </is>
      </c>
      <c r="D70" s="2" t="inlineStr">
        <is>
          <t>User input (CATL 12,000-cycle). Not checked against a CATL datasheet.</t>
        </is>
      </c>
    </row>
    <row r="71">
      <c r="A71" s="6" t="inlineStr">
        <is>
          <t>End-of-life capacity</t>
        </is>
      </c>
      <c r="B71" s="19" t="n">
        <v>0.7</v>
      </c>
      <c r="C71" s="6" t="inlineStr">
        <is>
          <t>%</t>
        </is>
      </c>
      <c r="D71" s="2" t="inlineStr">
        <is>
          <t>Assumption: check against the CATL warranty.</t>
        </is>
      </c>
    </row>
    <row r="72">
      <c r="A72" s="6" t="inlineStr">
        <is>
          <t>Calendar fade</t>
        </is>
      </c>
      <c r="B72" s="24" t="n">
        <v>0.003</v>
      </c>
      <c r="C72" s="6" t="inlineStr">
        <is>
          <t>% / yr</t>
        </is>
      </c>
      <c r="D72" s="2" t="inlineStr">
        <is>
          <t>Assumption.</t>
        </is>
      </c>
    </row>
    <row r="73">
      <c r="A73" s="6" t="inlineStr">
        <is>
          <t>Depth of discharge</t>
        </is>
      </c>
      <c r="B73" s="19" t="n">
        <v>0.9</v>
      </c>
      <c r="C73" s="6" t="inlineStr">
        <is>
          <t>%</t>
        </is>
      </c>
      <c r="D73" s="2" t="inlineStr"/>
    </row>
    <row r="74">
      <c r="A74" s="6" t="inlineStr">
        <is>
          <t>Round-trip efficiency</t>
        </is>
      </c>
      <c r="B74" s="19" t="n">
        <v>0.9</v>
      </c>
      <c r="C74" s="6" t="inlineStr">
        <is>
          <t>%</t>
        </is>
      </c>
      <c r="D74" s="2" t="inlineStr"/>
    </row>
    <row r="75">
      <c r="A75" s="6" t="inlineStr">
        <is>
          <t>HVAC auxiliary</t>
        </is>
      </c>
      <c r="B75" s="19" t="n">
        <v>0.01</v>
      </c>
      <c r="C75" s="6" t="inlineStr">
        <is>
          <t>%</t>
        </is>
      </c>
      <c r="D75" s="2" t="inlineStr"/>
    </row>
    <row r="76">
      <c r="A76" s="6" t="inlineStr">
        <is>
          <t>Availability</t>
        </is>
      </c>
      <c r="B76" s="19" t="n">
        <v>0.99</v>
      </c>
      <c r="C76" s="6" t="inlineStr">
        <is>
          <t>%</t>
        </is>
      </c>
      <c r="D76" s="2" t="inlineStr"/>
    </row>
    <row r="77">
      <c r="A77" s="6" t="inlineStr">
        <is>
          <t>Cell replacement at end of life, share of capex</t>
        </is>
      </c>
      <c r="B77" s="19" t="n">
        <v>0.35</v>
      </c>
      <c r="C77" s="6" t="inlineStr">
        <is>
          <t>%</t>
        </is>
      </c>
      <c r="D77" s="2" t="inlineStr">
        <is>
          <t>Assumption.</t>
        </is>
      </c>
    </row>
    <row r="78">
      <c r="A78" s="6" t="inlineStr">
        <is>
          <t>1 cycle/day, 2-hour: charge start</t>
        </is>
      </c>
      <c r="B78" s="7" t="n">
        <v>46</v>
      </c>
      <c r="C78" s="6" t="inlineStr">
        <is>
          <t>block</t>
        </is>
      </c>
      <c r="D78" s="2" t="inlineStr">
        <is>
          <t>Best windows from the HTML optimiser (DAM/DAM).</t>
        </is>
      </c>
    </row>
    <row r="79">
      <c r="A79" s="6" t="inlineStr">
        <is>
          <t>1 cycle/day, 2-hour: discharge start</t>
        </is>
      </c>
      <c r="B79" s="7" t="n">
        <v>73</v>
      </c>
      <c r="C79" s="6" t="inlineStr">
        <is>
          <t>block</t>
        </is>
      </c>
      <c r="D79" s="2" t="inlineStr"/>
    </row>
    <row r="80">
      <c r="A80" s="6" t="inlineStr">
        <is>
          <t>2 cycles/day, 2-hour: charge 1 start</t>
        </is>
      </c>
      <c r="B80" s="7" t="n">
        <v>11</v>
      </c>
      <c r="C80" s="6" t="inlineStr">
        <is>
          <t>block</t>
        </is>
      </c>
      <c r="D80" s="2" t="inlineStr"/>
    </row>
    <row r="81">
      <c r="A81" s="6" t="inlineStr">
        <is>
          <t>2 cycles/day, 2-hour: discharge 1 start</t>
        </is>
      </c>
      <c r="B81" s="7" t="n">
        <v>23</v>
      </c>
      <c r="C81" s="6" t="inlineStr">
        <is>
          <t>block</t>
        </is>
      </c>
      <c r="D81" s="2" t="inlineStr"/>
    </row>
    <row r="82">
      <c r="A82" s="6" t="inlineStr">
        <is>
          <t>2 cycles/day, 2-hour: charge 2 start</t>
        </is>
      </c>
      <c r="B82" s="7" t="n">
        <v>46</v>
      </c>
      <c r="C82" s="6" t="inlineStr">
        <is>
          <t>block</t>
        </is>
      </c>
      <c r="D82" s="2" t="inlineStr"/>
    </row>
    <row r="83">
      <c r="A83" s="6" t="inlineStr">
        <is>
          <t>2 cycles/day, 2-hour: discharge 2 start</t>
        </is>
      </c>
      <c r="B83" s="7" t="n">
        <v>73</v>
      </c>
      <c r="C83" s="6" t="inlineStr">
        <is>
          <t>block</t>
        </is>
      </c>
      <c r="D83" s="2" t="inlineStr"/>
    </row>
    <row r="84">
      <c r="A84" s="6" t="inlineStr">
        <is>
          <t>1 cycle/day, 4-hour: charge start</t>
        </is>
      </c>
      <c r="B84" s="7" t="n">
        <v>40</v>
      </c>
      <c r="C84" s="6" t="inlineStr">
        <is>
          <t>block</t>
        </is>
      </c>
      <c r="D84" s="2" t="inlineStr">
        <is>
          <t>Best windows from the HTML optimiser (DAM/DAM).</t>
        </is>
      </c>
    </row>
    <row r="85">
      <c r="A85" s="6" t="inlineStr">
        <is>
          <t>1 cycle/day, 4-hour: discharge start</t>
        </is>
      </c>
      <c r="B85" s="7" t="n">
        <v>73</v>
      </c>
      <c r="C85" s="6" t="inlineStr">
        <is>
          <t>block</t>
        </is>
      </c>
      <c r="D85" s="2" t="inlineStr"/>
    </row>
    <row r="86">
      <c r="A86" s="6" t="inlineStr">
        <is>
          <t>2 cycles/day, 4-hour: charge 1 start</t>
        </is>
      </c>
      <c r="B86" s="7" t="n">
        <v>40</v>
      </c>
      <c r="C86" s="6" t="inlineStr">
        <is>
          <t>block</t>
        </is>
      </c>
      <c r="D86" s="2" t="inlineStr"/>
    </row>
    <row r="87">
      <c r="A87" s="6" t="inlineStr">
        <is>
          <t>2 cycles/day, 4-hour: discharge 1 start</t>
        </is>
      </c>
      <c r="B87" s="7" t="n">
        <v>73</v>
      </c>
      <c r="C87" s="6" t="inlineStr">
        <is>
          <t>block</t>
        </is>
      </c>
      <c r="D87" s="2" t="inlineStr"/>
    </row>
    <row r="88">
      <c r="A88" s="6" t="inlineStr">
        <is>
          <t>2 cycles/day, 4-hour: charge 2 start</t>
        </is>
      </c>
      <c r="B88" s="7" t="n">
        <v>95</v>
      </c>
      <c r="C88" s="6" t="inlineStr">
        <is>
          <t>block</t>
        </is>
      </c>
      <c r="D88" s="2" t="inlineStr"/>
    </row>
    <row r="89">
      <c r="A89" s="6" t="inlineStr">
        <is>
          <t>2 cycles/day, 4-hour: discharge 2 start</t>
        </is>
      </c>
      <c r="B89" s="7" t="n">
        <v>18</v>
      </c>
      <c r="C89" s="6" t="inlineStr">
        <is>
          <t>block</t>
        </is>
      </c>
      <c r="D89" s="2" t="inlineStr"/>
    </row>
    <row r="91">
      <c r="A91" s="3" t="inlineStr">
        <is>
          <t>Solar bought at a fixed tariff (Solar PPA sheet)</t>
        </is>
      </c>
      <c r="B91" s="4" t="n"/>
      <c r="C91" s="4" t="n"/>
      <c r="D91" s="4" t="n"/>
    </row>
    <row r="92">
      <c r="A92" s="6" t="inlineStr">
        <is>
          <t>BESS duration</t>
        </is>
      </c>
      <c r="B92" s="8" t="n">
        <v>2</v>
      </c>
      <c r="C92" s="6" t="inlineStr">
        <is>
          <t>hours</t>
        </is>
      </c>
      <c r="D92" s="2" t="inlineStr"/>
    </row>
    <row r="93">
      <c r="A93" s="6" t="inlineStr">
        <is>
          <t>Sale of BESS power</t>
        </is>
      </c>
      <c r="B93" s="8" t="inlineStr">
        <is>
          <t>GDAM</t>
        </is>
      </c>
      <c r="C93" s="6" t="inlineStr">
        <is>
          <t>text</t>
        </is>
      </c>
      <c r="D93" s="2" t="inlineStr">
        <is>
          <t>DAM / GDAM / RTM at the average price in the discharge window (IEX fee applies), or Flexible at the price below (bilateral, no IEX fee).</t>
        </is>
      </c>
    </row>
    <row r="94">
      <c r="A94" s="6" t="inlineStr">
        <is>
          <t>Solar purchase tariff</t>
        </is>
      </c>
      <c r="B94" s="26" t="n">
        <v>2.545</v>
      </c>
      <c r="C94" s="6" t="inlineStr">
        <is>
          <t>₹ / kWh</t>
        </is>
      </c>
      <c r="D94" s="2" t="inlineStr">
        <is>
          <t>User input: the BESS operator buys solar from the plant at this flat price. No solar capex; behind-the-meter charging, so no CTU charge or ISTS loss.</t>
        </is>
      </c>
    </row>
    <row r="95">
      <c r="A95" s="6" t="inlineStr">
        <is>
          <t>Flexible sale price</t>
        </is>
      </c>
      <c r="B95" s="20" t="n">
        <v>7</v>
      </c>
      <c r="C95" s="6" t="inlineStr">
        <is>
          <t>₹ / kWh</t>
        </is>
      </c>
      <c r="D95" s="2" t="inlineStr">
        <is>
          <t>Used when Sale = Flexible. Flat for the project life. Placeholder: replace with the contracted price.</t>
        </is>
      </c>
    </row>
    <row r="96">
      <c r="A96" s="6" t="inlineStr">
        <is>
          <t>BESS capex</t>
        </is>
      </c>
      <c r="B96" s="22" t="n">
        <v>0.98</v>
      </c>
      <c r="C96" s="6" t="inlineStr">
        <is>
          <t>₹ Cr / MWh</t>
        </is>
      </c>
      <c r="D96" s="2" t="inlineStr"/>
    </row>
    <row r="97">
      <c r="A97" s="6" t="inlineStr">
        <is>
          <t>Discharge window start, 2-hour</t>
        </is>
      </c>
      <c r="B97" s="7" t="n">
        <v>76</v>
      </c>
      <c r="C97" s="6" t="inlineStr">
        <is>
          <t>block 0–95</t>
        </is>
      </c>
      <c r="D97" s="2" t="inlineStr">
        <is>
          <t>76 = 19:00</t>
        </is>
      </c>
    </row>
    <row r="98">
      <c r="A98" s="6" t="inlineStr">
        <is>
          <t>Discharge window start, 4-hour</t>
        </is>
      </c>
      <c r="B98" s="7" t="n">
        <v>72</v>
      </c>
      <c r="C98" s="6" t="inlineStr">
        <is>
          <t>block 0–95</t>
        </is>
      </c>
      <c r="D98" s="2" t="inlineStr">
        <is>
          <t>72 = 18:00</t>
        </is>
      </c>
    </row>
    <row r="100">
      <c r="A100" s="3" t="inlineStr">
        <is>
          <t>Plant table</t>
        </is>
      </c>
      <c r="B100" s="4" t="n"/>
      <c r="C100" s="4" t="n"/>
      <c r="D100" s="4" t="n"/>
    </row>
    <row r="101">
      <c r="A101" s="5" t="inlineStr">
        <is>
          <t>Plant · location</t>
        </is>
      </c>
      <c r="B101" s="5" t="inlineStr">
        <is>
          <t>Night connectivity MW</t>
        </is>
      </c>
      <c r="C101" s="5" t="inlineStr">
        <is>
          <t>Ref. solar MWac</t>
        </is>
      </c>
      <c r="D101" s="5" t="inlineStr">
        <is>
          <t>Ref. solar MWp DC · acres</t>
        </is>
      </c>
      <c r="E101" s="5" t="inlineStr">
        <is>
          <t>MWp DC</t>
        </is>
      </c>
      <c r="F101" s="5" t="inlineStr">
        <is>
          <t>Acres</t>
        </is>
      </c>
    </row>
    <row r="102">
      <c r="A102" s="5" t="inlineStr">
        <is>
          <t>P7</t>
        </is>
      </c>
      <c r="B102" s="25" t="n">
        <v>300</v>
      </c>
      <c r="C102" s="7" t="n">
        <v>300</v>
      </c>
      <c r="D102" s="2" t="inlineStr">
        <is>
          <t>419 MWp DC · 1200 acres · Tumkur. Source: user plant table (DC/AC ratio and acres per MWp are used to size solar).</t>
        </is>
      </c>
      <c r="E102" s="7" t="n">
        <v>419</v>
      </c>
      <c r="F102" s="7" t="n">
        <v>1200</v>
      </c>
    </row>
    <row r="103">
      <c r="A103" s="5" t="inlineStr">
        <is>
          <t>P8</t>
        </is>
      </c>
      <c r="B103" s="25" t="n">
        <v>300</v>
      </c>
      <c r="C103" s="7" t="n">
        <v>300</v>
      </c>
      <c r="D103" s="2" t="inlineStr">
        <is>
          <t>445 MWp DC · 1200 acres · Bidar. Source: user plant table (DC/AC ratio and acres per MWp are used to size solar).</t>
        </is>
      </c>
      <c r="E103" s="7" t="n">
        <v>445</v>
      </c>
      <c r="F103" s="7" t="n">
        <v>1200</v>
      </c>
    </row>
    <row r="104">
      <c r="A104" s="5" t="inlineStr">
        <is>
          <t>P12</t>
        </is>
      </c>
      <c r="B104" s="25" t="n">
        <v>250</v>
      </c>
      <c r="C104" s="7" t="n">
        <v>250</v>
      </c>
      <c r="D104" s="2" t="inlineStr">
        <is>
          <t>371 MWp DC · 1000 acres · Kunnoor 4. Source: user plant table (DC/AC ratio and acres per MWp are used to size solar).</t>
        </is>
      </c>
      <c r="E104" s="7" t="n">
        <v>371</v>
      </c>
      <c r="F104" s="7" t="n">
        <v>1000</v>
      </c>
    </row>
  </sheetData>
  <dataValidations count="15">
    <dataValidation sqref="B6" showDropDown="0" showInputMessage="0" showErrorMessage="0" allowBlank="0" type="list">
      <formula1>"P7,P8,P12"</formula1>
    </dataValidation>
    <dataValidation sqref="B7" showDropDown="0" showInputMessage="0" showErrorMessage="0" allowBlank="0" type="list">
      <formula1>"2,4"</formula1>
    </dataValidation>
    <dataValidation sqref="B8" showDropDown="0" showInputMessage="0" showErrorMessage="0" allowBlank="0" type="list">
      <formula1>"Own solar,IEX + T-GNA,IEX + GNA"</formula1>
    </dataValidation>
    <dataValidation sqref="B9" showDropDown="0" showInputMessage="0" showErrorMessage="0" allowBlank="0" type="list">
      <formula1>"DAM,GDAM,RTM"</formula1>
    </dataValidation>
    <dataValidation sqref="B10" showDropDown="0" showInputMessage="0" showErrorMessage="0" allowBlank="0" type="list">
      <formula1>"DAM,GDAM,RTM"</formula1>
    </dataValidation>
    <dataValidation sqref="B11" showDropDown="0" showInputMessage="0" showErrorMessage="0" allowBlank="0" type="list">
      <formula1>"DAM,GDAM,RTM"</formula1>
    </dataValidation>
    <dataValidation sqref="B17" showDropDown="0" showInputMessage="0" showErrorMessage="0" allowBlank="0" type="list">
      <formula1>"0,1"</formula1>
    </dataValidation>
    <dataValidation sqref="B21" showDropDown="0" showInputMessage="0" showErrorMessage="0" allowBlank="0" type="list">
      <formula1>"0,1"</formula1>
    </dataValidation>
    <dataValidation sqref="B29" showDropDown="0" showInputMessage="0" showErrorMessage="0" allowBlank="0" type="list">
      <formula1>"Lease,Buy"</formula1>
    </dataValidation>
    <dataValidation sqref="B65" showDropDown="0" showInputMessage="0" showErrorMessage="0" allowBlank="0" type="list">
      <formula1>"2,4"</formula1>
    </dataValidation>
    <dataValidation sqref="B66" showDropDown="0" showInputMessage="0" showErrorMessage="0" allowBlank="0" type="list">
      <formula1>"T-GNA,GNA"</formula1>
    </dataValidation>
    <dataValidation sqref="B67" showDropDown="0" showInputMessage="0" showErrorMessage="0" allowBlank="0" type="list">
      <formula1>"DAM,GDAM,RTM"</formula1>
    </dataValidation>
    <dataValidation sqref="B68" showDropDown="0" showInputMessage="0" showErrorMessage="0" allowBlank="0" type="list">
      <formula1>"DAM,GDAM,RTM"</formula1>
    </dataValidation>
    <dataValidation sqref="B92" showDropDown="0" showInputMessage="0" showErrorMessage="0" allowBlank="0" type="list">
      <formula1>"2,4"</formula1>
    </dataValidation>
    <dataValidation sqref="B93" showDropDown="0" showInputMessage="0" showErrorMessage="0" allowBlank="0" type="list">
      <formula1>"DAM,GDAM,RTM,Flexible"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7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8" t="inlineStr">
        <is>
          <t>IEX MCP average by 15-minute block, ₹/MWh · 2025-09-20 to 2026-09-23 (365 days)</t>
        </is>
      </c>
    </row>
    <row r="2">
      <c r="A2" s="2" t="inlineStr">
        <is>
          <t>Row 3 is the block position (0–191; blocks 96–191 repeat 0–95 so windows can run past midnight). Source: IEX DAM / GDAM / RTM 15-minute files provided.</t>
        </is>
      </c>
    </row>
    <row r="3">
      <c r="A3" s="5" t="inlineStr">
        <is>
          <t>Market / block →</t>
        </is>
      </c>
      <c r="B3" s="5" t="n">
        <v>0</v>
      </c>
      <c r="C3" s="5" t="n">
        <v>1</v>
      </c>
      <c r="D3" s="5" t="n">
        <v>2</v>
      </c>
      <c r="E3" s="5" t="n">
        <v>3</v>
      </c>
      <c r="F3" s="5" t="n">
        <v>4</v>
      </c>
      <c r="G3" s="5" t="n">
        <v>5</v>
      </c>
      <c r="H3" s="5" t="n">
        <v>6</v>
      </c>
      <c r="I3" s="5" t="n">
        <v>7</v>
      </c>
      <c r="J3" s="5" t="n">
        <v>8</v>
      </c>
      <c r="K3" s="5" t="n">
        <v>9</v>
      </c>
      <c r="L3" s="5" t="n">
        <v>10</v>
      </c>
      <c r="M3" s="5" t="n">
        <v>11</v>
      </c>
      <c r="N3" s="5" t="n">
        <v>12</v>
      </c>
      <c r="O3" s="5" t="n">
        <v>13</v>
      </c>
      <c r="P3" s="5" t="n">
        <v>14</v>
      </c>
      <c r="Q3" s="5" t="n">
        <v>15</v>
      </c>
      <c r="R3" s="5" t="n">
        <v>16</v>
      </c>
      <c r="S3" s="5" t="n">
        <v>17</v>
      </c>
      <c r="T3" s="5" t="n">
        <v>18</v>
      </c>
      <c r="U3" s="5" t="n">
        <v>19</v>
      </c>
      <c r="V3" s="5" t="n">
        <v>20</v>
      </c>
      <c r="W3" s="5" t="n">
        <v>21</v>
      </c>
      <c r="X3" s="5" t="n">
        <v>22</v>
      </c>
      <c r="Y3" s="5" t="n">
        <v>23</v>
      </c>
      <c r="Z3" s="5" t="n">
        <v>24</v>
      </c>
      <c r="AA3" s="5" t="n">
        <v>25</v>
      </c>
      <c r="AB3" s="5" t="n">
        <v>26</v>
      </c>
      <c r="AC3" s="5" t="n">
        <v>27</v>
      </c>
      <c r="AD3" s="5" t="n">
        <v>28</v>
      </c>
      <c r="AE3" s="5" t="n">
        <v>29</v>
      </c>
      <c r="AF3" s="5" t="n">
        <v>30</v>
      </c>
      <c r="AG3" s="5" t="n">
        <v>31</v>
      </c>
      <c r="AH3" s="5" t="n">
        <v>32</v>
      </c>
      <c r="AI3" s="5" t="n">
        <v>33</v>
      </c>
      <c r="AJ3" s="5" t="n">
        <v>34</v>
      </c>
      <c r="AK3" s="5" t="n">
        <v>35</v>
      </c>
      <c r="AL3" s="5" t="n">
        <v>36</v>
      </c>
      <c r="AM3" s="5" t="n">
        <v>37</v>
      </c>
      <c r="AN3" s="5" t="n">
        <v>38</v>
      </c>
      <c r="AO3" s="5" t="n">
        <v>39</v>
      </c>
      <c r="AP3" s="5" t="n">
        <v>40</v>
      </c>
      <c r="AQ3" s="5" t="n">
        <v>41</v>
      </c>
      <c r="AR3" s="5" t="n">
        <v>42</v>
      </c>
      <c r="AS3" s="5" t="n">
        <v>43</v>
      </c>
      <c r="AT3" s="5" t="n">
        <v>44</v>
      </c>
      <c r="AU3" s="5" t="n">
        <v>45</v>
      </c>
      <c r="AV3" s="5" t="n">
        <v>46</v>
      </c>
      <c r="AW3" s="5" t="n">
        <v>47</v>
      </c>
      <c r="AX3" s="5" t="n">
        <v>48</v>
      </c>
      <c r="AY3" s="5" t="n">
        <v>49</v>
      </c>
      <c r="AZ3" s="5" t="n">
        <v>50</v>
      </c>
      <c r="BA3" s="5" t="n">
        <v>51</v>
      </c>
      <c r="BB3" s="5" t="n">
        <v>52</v>
      </c>
      <c r="BC3" s="5" t="n">
        <v>53</v>
      </c>
      <c r="BD3" s="5" t="n">
        <v>54</v>
      </c>
      <c r="BE3" s="5" t="n">
        <v>55</v>
      </c>
      <c r="BF3" s="5" t="n">
        <v>56</v>
      </c>
      <c r="BG3" s="5" t="n">
        <v>57</v>
      </c>
      <c r="BH3" s="5" t="n">
        <v>58</v>
      </c>
      <c r="BI3" s="5" t="n">
        <v>59</v>
      </c>
      <c r="BJ3" s="5" t="n">
        <v>60</v>
      </c>
      <c r="BK3" s="5" t="n">
        <v>61</v>
      </c>
      <c r="BL3" s="5" t="n">
        <v>62</v>
      </c>
      <c r="BM3" s="5" t="n">
        <v>63</v>
      </c>
      <c r="BN3" s="5" t="n">
        <v>64</v>
      </c>
      <c r="BO3" s="5" t="n">
        <v>65</v>
      </c>
      <c r="BP3" s="5" t="n">
        <v>66</v>
      </c>
      <c r="BQ3" s="5" t="n">
        <v>67</v>
      </c>
      <c r="BR3" s="5" t="n">
        <v>68</v>
      </c>
      <c r="BS3" s="5" t="n">
        <v>69</v>
      </c>
      <c r="BT3" s="5" t="n">
        <v>70</v>
      </c>
      <c r="BU3" s="5" t="n">
        <v>71</v>
      </c>
      <c r="BV3" s="5" t="n">
        <v>72</v>
      </c>
      <c r="BW3" s="5" t="n">
        <v>73</v>
      </c>
      <c r="BX3" s="5" t="n">
        <v>74</v>
      </c>
      <c r="BY3" s="5" t="n">
        <v>75</v>
      </c>
      <c r="BZ3" s="5" t="n">
        <v>76</v>
      </c>
      <c r="CA3" s="5" t="n">
        <v>77</v>
      </c>
      <c r="CB3" s="5" t="n">
        <v>78</v>
      </c>
      <c r="CC3" s="5" t="n">
        <v>79</v>
      </c>
      <c r="CD3" s="5" t="n">
        <v>80</v>
      </c>
      <c r="CE3" s="5" t="n">
        <v>81</v>
      </c>
      <c r="CF3" s="5" t="n">
        <v>82</v>
      </c>
      <c r="CG3" s="5" t="n">
        <v>83</v>
      </c>
      <c r="CH3" s="5" t="n">
        <v>84</v>
      </c>
      <c r="CI3" s="5" t="n">
        <v>85</v>
      </c>
      <c r="CJ3" s="5" t="n">
        <v>86</v>
      </c>
      <c r="CK3" s="5" t="n">
        <v>87</v>
      </c>
      <c r="CL3" s="5" t="n">
        <v>88</v>
      </c>
      <c r="CM3" s="5" t="n">
        <v>89</v>
      </c>
      <c r="CN3" s="5" t="n">
        <v>90</v>
      </c>
      <c r="CO3" s="5" t="n">
        <v>91</v>
      </c>
      <c r="CP3" s="5" t="n">
        <v>92</v>
      </c>
      <c r="CQ3" s="5" t="n">
        <v>93</v>
      </c>
      <c r="CR3" s="5" t="n">
        <v>94</v>
      </c>
      <c r="CS3" s="5" t="n">
        <v>95</v>
      </c>
      <c r="CT3" s="5" t="n">
        <v>96</v>
      </c>
      <c r="CU3" s="5" t="n">
        <v>97</v>
      </c>
      <c r="CV3" s="5" t="n">
        <v>98</v>
      </c>
      <c r="CW3" s="5" t="n">
        <v>99</v>
      </c>
      <c r="CX3" s="5" t="n">
        <v>100</v>
      </c>
      <c r="CY3" s="5" t="n">
        <v>101</v>
      </c>
      <c r="CZ3" s="5" t="n">
        <v>102</v>
      </c>
      <c r="DA3" s="5" t="n">
        <v>103</v>
      </c>
      <c r="DB3" s="5" t="n">
        <v>104</v>
      </c>
      <c r="DC3" s="5" t="n">
        <v>105</v>
      </c>
      <c r="DD3" s="5" t="n">
        <v>106</v>
      </c>
      <c r="DE3" s="5" t="n">
        <v>107</v>
      </c>
      <c r="DF3" s="5" t="n">
        <v>108</v>
      </c>
      <c r="DG3" s="5" t="n">
        <v>109</v>
      </c>
      <c r="DH3" s="5" t="n">
        <v>110</v>
      </c>
      <c r="DI3" s="5" t="n">
        <v>111</v>
      </c>
      <c r="DJ3" s="5" t="n">
        <v>112</v>
      </c>
      <c r="DK3" s="5" t="n">
        <v>113</v>
      </c>
      <c r="DL3" s="5" t="n">
        <v>114</v>
      </c>
      <c r="DM3" s="5" t="n">
        <v>115</v>
      </c>
      <c r="DN3" s="5" t="n">
        <v>116</v>
      </c>
      <c r="DO3" s="5" t="n">
        <v>117</v>
      </c>
      <c r="DP3" s="5" t="n">
        <v>118</v>
      </c>
      <c r="DQ3" s="5" t="n">
        <v>119</v>
      </c>
      <c r="DR3" s="5" t="n">
        <v>120</v>
      </c>
      <c r="DS3" s="5" t="n">
        <v>121</v>
      </c>
      <c r="DT3" s="5" t="n">
        <v>122</v>
      </c>
      <c r="DU3" s="5" t="n">
        <v>123</v>
      </c>
      <c r="DV3" s="5" t="n">
        <v>124</v>
      </c>
      <c r="DW3" s="5" t="n">
        <v>125</v>
      </c>
      <c r="DX3" s="5" t="n">
        <v>126</v>
      </c>
      <c r="DY3" s="5" t="n">
        <v>127</v>
      </c>
      <c r="DZ3" s="5" t="n">
        <v>128</v>
      </c>
      <c r="EA3" s="5" t="n">
        <v>129</v>
      </c>
      <c r="EB3" s="5" t="n">
        <v>130</v>
      </c>
      <c r="EC3" s="5" t="n">
        <v>131</v>
      </c>
      <c r="ED3" s="5" t="n">
        <v>132</v>
      </c>
      <c r="EE3" s="5" t="n">
        <v>133</v>
      </c>
      <c r="EF3" s="5" t="n">
        <v>134</v>
      </c>
      <c r="EG3" s="5" t="n">
        <v>135</v>
      </c>
      <c r="EH3" s="5" t="n">
        <v>136</v>
      </c>
      <c r="EI3" s="5" t="n">
        <v>137</v>
      </c>
      <c r="EJ3" s="5" t="n">
        <v>138</v>
      </c>
      <c r="EK3" s="5" t="n">
        <v>139</v>
      </c>
      <c r="EL3" s="5" t="n">
        <v>140</v>
      </c>
      <c r="EM3" s="5" t="n">
        <v>141</v>
      </c>
      <c r="EN3" s="5" t="n">
        <v>142</v>
      </c>
      <c r="EO3" s="5" t="n">
        <v>143</v>
      </c>
      <c r="EP3" s="5" t="n">
        <v>144</v>
      </c>
      <c r="EQ3" s="5" t="n">
        <v>145</v>
      </c>
      <c r="ER3" s="5" t="n">
        <v>146</v>
      </c>
      <c r="ES3" s="5" t="n">
        <v>147</v>
      </c>
      <c r="ET3" s="5" t="n">
        <v>148</v>
      </c>
      <c r="EU3" s="5" t="n">
        <v>149</v>
      </c>
      <c r="EV3" s="5" t="n">
        <v>150</v>
      </c>
      <c r="EW3" s="5" t="n">
        <v>151</v>
      </c>
      <c r="EX3" s="5" t="n">
        <v>152</v>
      </c>
      <c r="EY3" s="5" t="n">
        <v>153</v>
      </c>
      <c r="EZ3" s="5" t="n">
        <v>154</v>
      </c>
      <c r="FA3" s="5" t="n">
        <v>155</v>
      </c>
      <c r="FB3" s="5" t="n">
        <v>156</v>
      </c>
      <c r="FC3" s="5" t="n">
        <v>157</v>
      </c>
      <c r="FD3" s="5" t="n">
        <v>158</v>
      </c>
      <c r="FE3" s="5" t="n">
        <v>159</v>
      </c>
      <c r="FF3" s="5" t="n">
        <v>160</v>
      </c>
      <c r="FG3" s="5" t="n">
        <v>161</v>
      </c>
      <c r="FH3" s="5" t="n">
        <v>162</v>
      </c>
      <c r="FI3" s="5" t="n">
        <v>163</v>
      </c>
      <c r="FJ3" s="5" t="n">
        <v>164</v>
      </c>
      <c r="FK3" s="5" t="n">
        <v>165</v>
      </c>
      <c r="FL3" s="5" t="n">
        <v>166</v>
      </c>
      <c r="FM3" s="5" t="n">
        <v>167</v>
      </c>
      <c r="FN3" s="5" t="n">
        <v>168</v>
      </c>
      <c r="FO3" s="5" t="n">
        <v>169</v>
      </c>
      <c r="FP3" s="5" t="n">
        <v>170</v>
      </c>
      <c r="FQ3" s="5" t="n">
        <v>171</v>
      </c>
      <c r="FR3" s="5" t="n">
        <v>172</v>
      </c>
      <c r="FS3" s="5" t="n">
        <v>173</v>
      </c>
      <c r="FT3" s="5" t="n">
        <v>174</v>
      </c>
      <c r="FU3" s="5" t="n">
        <v>175</v>
      </c>
      <c r="FV3" s="5" t="n">
        <v>176</v>
      </c>
      <c r="FW3" s="5" t="n">
        <v>177</v>
      </c>
      <c r="FX3" s="5" t="n">
        <v>178</v>
      </c>
      <c r="FY3" s="5" t="n">
        <v>179</v>
      </c>
      <c r="FZ3" s="5" t="n">
        <v>180</v>
      </c>
      <c r="GA3" s="5" t="n">
        <v>181</v>
      </c>
      <c r="GB3" s="5" t="n">
        <v>182</v>
      </c>
      <c r="GC3" s="5" t="n">
        <v>183</v>
      </c>
      <c r="GD3" s="5" t="n">
        <v>184</v>
      </c>
      <c r="GE3" s="5" t="n">
        <v>185</v>
      </c>
      <c r="GF3" s="5" t="n">
        <v>186</v>
      </c>
      <c r="GG3" s="5" t="n">
        <v>187</v>
      </c>
      <c r="GH3" s="5" t="n">
        <v>188</v>
      </c>
      <c r="GI3" s="5" t="n">
        <v>189</v>
      </c>
      <c r="GJ3" s="5" t="n">
        <v>190</v>
      </c>
      <c r="GK3" s="5" t="n">
        <v>191</v>
      </c>
    </row>
    <row r="4">
      <c r="B4" s="2" t="inlineStr">
        <is>
          <t>00:00</t>
        </is>
      </c>
      <c r="C4" s="2" t="inlineStr">
        <is>
          <t>00:15</t>
        </is>
      </c>
      <c r="D4" s="2" t="inlineStr">
        <is>
          <t>00:30</t>
        </is>
      </c>
      <c r="E4" s="2" t="inlineStr">
        <is>
          <t>00:45</t>
        </is>
      </c>
      <c r="F4" s="2" t="inlineStr">
        <is>
          <t>01:00</t>
        </is>
      </c>
      <c r="G4" s="2" t="inlineStr">
        <is>
          <t>01:15</t>
        </is>
      </c>
      <c r="H4" s="2" t="inlineStr">
        <is>
          <t>01:30</t>
        </is>
      </c>
      <c r="I4" s="2" t="inlineStr">
        <is>
          <t>01:45</t>
        </is>
      </c>
      <c r="J4" s="2" t="inlineStr">
        <is>
          <t>02:00</t>
        </is>
      </c>
      <c r="K4" s="2" t="inlineStr">
        <is>
          <t>02:15</t>
        </is>
      </c>
      <c r="L4" s="2" t="inlineStr">
        <is>
          <t>02:30</t>
        </is>
      </c>
      <c r="M4" s="2" t="inlineStr">
        <is>
          <t>02:45</t>
        </is>
      </c>
      <c r="N4" s="2" t="inlineStr">
        <is>
          <t>03:00</t>
        </is>
      </c>
      <c r="O4" s="2" t="inlineStr">
        <is>
          <t>03:15</t>
        </is>
      </c>
      <c r="P4" s="2" t="inlineStr">
        <is>
          <t>03:30</t>
        </is>
      </c>
      <c r="Q4" s="2" t="inlineStr">
        <is>
          <t>03:45</t>
        </is>
      </c>
      <c r="R4" s="2" t="inlineStr">
        <is>
          <t>04:00</t>
        </is>
      </c>
      <c r="S4" s="2" t="inlineStr">
        <is>
          <t>04:15</t>
        </is>
      </c>
      <c r="T4" s="2" t="inlineStr">
        <is>
          <t>04:30</t>
        </is>
      </c>
      <c r="U4" s="2" t="inlineStr">
        <is>
          <t>04:45</t>
        </is>
      </c>
      <c r="V4" s="2" t="inlineStr">
        <is>
          <t>05:00</t>
        </is>
      </c>
      <c r="W4" s="2" t="inlineStr">
        <is>
          <t>05:15</t>
        </is>
      </c>
      <c r="X4" s="2" t="inlineStr">
        <is>
          <t>05:30</t>
        </is>
      </c>
      <c r="Y4" s="2" t="inlineStr">
        <is>
          <t>05:45</t>
        </is>
      </c>
      <c r="Z4" s="2" t="inlineStr">
        <is>
          <t>06:00</t>
        </is>
      </c>
      <c r="AA4" s="2" t="inlineStr">
        <is>
          <t>06:15</t>
        </is>
      </c>
      <c r="AB4" s="2" t="inlineStr">
        <is>
          <t>06:30</t>
        </is>
      </c>
      <c r="AC4" s="2" t="inlineStr">
        <is>
          <t>06:45</t>
        </is>
      </c>
      <c r="AD4" s="2" t="inlineStr">
        <is>
          <t>07:00</t>
        </is>
      </c>
      <c r="AE4" s="2" t="inlineStr">
        <is>
          <t>07:15</t>
        </is>
      </c>
      <c r="AF4" s="2" t="inlineStr">
        <is>
          <t>07:30</t>
        </is>
      </c>
      <c r="AG4" s="2" t="inlineStr">
        <is>
          <t>07:45</t>
        </is>
      </c>
      <c r="AH4" s="2" t="inlineStr">
        <is>
          <t>08:00</t>
        </is>
      </c>
      <c r="AI4" s="2" t="inlineStr">
        <is>
          <t>08:15</t>
        </is>
      </c>
      <c r="AJ4" s="2" t="inlineStr">
        <is>
          <t>08:30</t>
        </is>
      </c>
      <c r="AK4" s="2" t="inlineStr">
        <is>
          <t>08:45</t>
        </is>
      </c>
      <c r="AL4" s="2" t="inlineStr">
        <is>
          <t>09:00</t>
        </is>
      </c>
      <c r="AM4" s="2" t="inlineStr">
        <is>
          <t>09:15</t>
        </is>
      </c>
      <c r="AN4" s="2" t="inlineStr">
        <is>
          <t>09:30</t>
        </is>
      </c>
      <c r="AO4" s="2" t="inlineStr">
        <is>
          <t>09:45</t>
        </is>
      </c>
      <c r="AP4" s="2" t="inlineStr">
        <is>
          <t>10:00</t>
        </is>
      </c>
      <c r="AQ4" s="2" t="inlineStr">
        <is>
          <t>10:15</t>
        </is>
      </c>
      <c r="AR4" s="2" t="inlineStr">
        <is>
          <t>10:30</t>
        </is>
      </c>
      <c r="AS4" s="2" t="inlineStr">
        <is>
          <t>10:45</t>
        </is>
      </c>
      <c r="AT4" s="2" t="inlineStr">
        <is>
          <t>11:00</t>
        </is>
      </c>
      <c r="AU4" s="2" t="inlineStr">
        <is>
          <t>11:15</t>
        </is>
      </c>
      <c r="AV4" s="2" t="inlineStr">
        <is>
          <t>11:30</t>
        </is>
      </c>
      <c r="AW4" s="2" t="inlineStr">
        <is>
          <t>11:45</t>
        </is>
      </c>
      <c r="AX4" s="2" t="inlineStr">
        <is>
          <t>12:00</t>
        </is>
      </c>
      <c r="AY4" s="2" t="inlineStr">
        <is>
          <t>12:15</t>
        </is>
      </c>
      <c r="AZ4" s="2" t="inlineStr">
        <is>
          <t>12:30</t>
        </is>
      </c>
      <c r="BA4" s="2" t="inlineStr">
        <is>
          <t>12:45</t>
        </is>
      </c>
      <c r="BB4" s="2" t="inlineStr">
        <is>
          <t>13:00</t>
        </is>
      </c>
      <c r="BC4" s="2" t="inlineStr">
        <is>
          <t>13:15</t>
        </is>
      </c>
      <c r="BD4" s="2" t="inlineStr">
        <is>
          <t>13:30</t>
        </is>
      </c>
      <c r="BE4" s="2" t="inlineStr">
        <is>
          <t>13:45</t>
        </is>
      </c>
      <c r="BF4" s="2" t="inlineStr">
        <is>
          <t>14:00</t>
        </is>
      </c>
      <c r="BG4" s="2" t="inlineStr">
        <is>
          <t>14:15</t>
        </is>
      </c>
      <c r="BH4" s="2" t="inlineStr">
        <is>
          <t>14:30</t>
        </is>
      </c>
      <c r="BI4" s="2" t="inlineStr">
        <is>
          <t>14:45</t>
        </is>
      </c>
      <c r="BJ4" s="2" t="inlineStr">
        <is>
          <t>15:00</t>
        </is>
      </c>
      <c r="BK4" s="2" t="inlineStr">
        <is>
          <t>15:15</t>
        </is>
      </c>
      <c r="BL4" s="2" t="inlineStr">
        <is>
          <t>15:30</t>
        </is>
      </c>
      <c r="BM4" s="2" t="inlineStr">
        <is>
          <t>15:45</t>
        </is>
      </c>
      <c r="BN4" s="2" t="inlineStr">
        <is>
          <t>16:00</t>
        </is>
      </c>
      <c r="BO4" s="2" t="inlineStr">
        <is>
          <t>16:15</t>
        </is>
      </c>
      <c r="BP4" s="2" t="inlineStr">
        <is>
          <t>16:30</t>
        </is>
      </c>
      <c r="BQ4" s="2" t="inlineStr">
        <is>
          <t>16:45</t>
        </is>
      </c>
      <c r="BR4" s="2" t="inlineStr">
        <is>
          <t>17:00</t>
        </is>
      </c>
      <c r="BS4" s="2" t="inlineStr">
        <is>
          <t>17:15</t>
        </is>
      </c>
      <c r="BT4" s="2" t="inlineStr">
        <is>
          <t>17:30</t>
        </is>
      </c>
      <c r="BU4" s="2" t="inlineStr">
        <is>
          <t>17:45</t>
        </is>
      </c>
      <c r="BV4" s="2" t="inlineStr">
        <is>
          <t>18:00</t>
        </is>
      </c>
      <c r="BW4" s="2" t="inlineStr">
        <is>
          <t>18:15</t>
        </is>
      </c>
      <c r="BX4" s="2" t="inlineStr">
        <is>
          <t>18:30</t>
        </is>
      </c>
      <c r="BY4" s="2" t="inlineStr">
        <is>
          <t>18:45</t>
        </is>
      </c>
      <c r="BZ4" s="2" t="inlineStr">
        <is>
          <t>19:00</t>
        </is>
      </c>
      <c r="CA4" s="2" t="inlineStr">
        <is>
          <t>19:15</t>
        </is>
      </c>
      <c r="CB4" s="2" t="inlineStr">
        <is>
          <t>19:30</t>
        </is>
      </c>
      <c r="CC4" s="2" t="inlineStr">
        <is>
          <t>19:45</t>
        </is>
      </c>
      <c r="CD4" s="2" t="inlineStr">
        <is>
          <t>20:00</t>
        </is>
      </c>
      <c r="CE4" s="2" t="inlineStr">
        <is>
          <t>20:15</t>
        </is>
      </c>
      <c r="CF4" s="2" t="inlineStr">
        <is>
          <t>20:30</t>
        </is>
      </c>
      <c r="CG4" s="2" t="inlineStr">
        <is>
          <t>20:45</t>
        </is>
      </c>
      <c r="CH4" s="2" t="inlineStr">
        <is>
          <t>21:00</t>
        </is>
      </c>
      <c r="CI4" s="2" t="inlineStr">
        <is>
          <t>21:15</t>
        </is>
      </c>
      <c r="CJ4" s="2" t="inlineStr">
        <is>
          <t>21:30</t>
        </is>
      </c>
      <c r="CK4" s="2" t="inlineStr">
        <is>
          <t>21:45</t>
        </is>
      </c>
      <c r="CL4" s="2" t="inlineStr">
        <is>
          <t>22:00</t>
        </is>
      </c>
      <c r="CM4" s="2" t="inlineStr">
        <is>
          <t>22:15</t>
        </is>
      </c>
      <c r="CN4" s="2" t="inlineStr">
        <is>
          <t>22:30</t>
        </is>
      </c>
      <c r="CO4" s="2" t="inlineStr">
        <is>
          <t>22:45</t>
        </is>
      </c>
      <c r="CP4" s="2" t="inlineStr">
        <is>
          <t>23:00</t>
        </is>
      </c>
      <c r="CQ4" s="2" t="inlineStr">
        <is>
          <t>23:15</t>
        </is>
      </c>
      <c r="CR4" s="2" t="inlineStr">
        <is>
          <t>23:30</t>
        </is>
      </c>
      <c r="CS4" s="2" t="inlineStr">
        <is>
          <t>23:45</t>
        </is>
      </c>
      <c r="CT4" s="2" t="inlineStr">
        <is>
          <t>00:00</t>
        </is>
      </c>
      <c r="CU4" s="2" t="inlineStr">
        <is>
          <t>00:15</t>
        </is>
      </c>
      <c r="CV4" s="2" t="inlineStr">
        <is>
          <t>00:30</t>
        </is>
      </c>
      <c r="CW4" s="2" t="inlineStr">
        <is>
          <t>00:45</t>
        </is>
      </c>
      <c r="CX4" s="2" t="inlineStr">
        <is>
          <t>01:00</t>
        </is>
      </c>
      <c r="CY4" s="2" t="inlineStr">
        <is>
          <t>01:15</t>
        </is>
      </c>
      <c r="CZ4" s="2" t="inlineStr">
        <is>
          <t>01:30</t>
        </is>
      </c>
      <c r="DA4" s="2" t="inlineStr">
        <is>
          <t>01:45</t>
        </is>
      </c>
      <c r="DB4" s="2" t="inlineStr">
        <is>
          <t>02:00</t>
        </is>
      </c>
      <c r="DC4" s="2" t="inlineStr">
        <is>
          <t>02:15</t>
        </is>
      </c>
      <c r="DD4" s="2" t="inlineStr">
        <is>
          <t>02:30</t>
        </is>
      </c>
      <c r="DE4" s="2" t="inlineStr">
        <is>
          <t>02:45</t>
        </is>
      </c>
      <c r="DF4" s="2" t="inlineStr">
        <is>
          <t>03:00</t>
        </is>
      </c>
      <c r="DG4" s="2" t="inlineStr">
        <is>
          <t>03:15</t>
        </is>
      </c>
      <c r="DH4" s="2" t="inlineStr">
        <is>
          <t>03:30</t>
        </is>
      </c>
      <c r="DI4" s="2" t="inlineStr">
        <is>
          <t>03:45</t>
        </is>
      </c>
      <c r="DJ4" s="2" t="inlineStr">
        <is>
          <t>04:00</t>
        </is>
      </c>
      <c r="DK4" s="2" t="inlineStr">
        <is>
          <t>04:15</t>
        </is>
      </c>
      <c r="DL4" s="2" t="inlineStr">
        <is>
          <t>04:30</t>
        </is>
      </c>
      <c r="DM4" s="2" t="inlineStr">
        <is>
          <t>04:45</t>
        </is>
      </c>
      <c r="DN4" s="2" t="inlineStr">
        <is>
          <t>05:00</t>
        </is>
      </c>
      <c r="DO4" s="2" t="inlineStr">
        <is>
          <t>05:15</t>
        </is>
      </c>
      <c r="DP4" s="2" t="inlineStr">
        <is>
          <t>05:30</t>
        </is>
      </c>
      <c r="DQ4" s="2" t="inlineStr">
        <is>
          <t>05:45</t>
        </is>
      </c>
      <c r="DR4" s="2" t="inlineStr">
        <is>
          <t>06:00</t>
        </is>
      </c>
      <c r="DS4" s="2" t="inlineStr">
        <is>
          <t>06:15</t>
        </is>
      </c>
      <c r="DT4" s="2" t="inlineStr">
        <is>
          <t>06:30</t>
        </is>
      </c>
      <c r="DU4" s="2" t="inlineStr">
        <is>
          <t>06:45</t>
        </is>
      </c>
      <c r="DV4" s="2" t="inlineStr">
        <is>
          <t>07:00</t>
        </is>
      </c>
      <c r="DW4" s="2" t="inlineStr">
        <is>
          <t>07:15</t>
        </is>
      </c>
      <c r="DX4" s="2" t="inlineStr">
        <is>
          <t>07:30</t>
        </is>
      </c>
      <c r="DY4" s="2" t="inlineStr">
        <is>
          <t>07:45</t>
        </is>
      </c>
      <c r="DZ4" s="2" t="inlineStr">
        <is>
          <t>08:00</t>
        </is>
      </c>
      <c r="EA4" s="2" t="inlineStr">
        <is>
          <t>08:15</t>
        </is>
      </c>
      <c r="EB4" s="2" t="inlineStr">
        <is>
          <t>08:30</t>
        </is>
      </c>
      <c r="EC4" s="2" t="inlineStr">
        <is>
          <t>08:45</t>
        </is>
      </c>
      <c r="ED4" s="2" t="inlineStr">
        <is>
          <t>09:00</t>
        </is>
      </c>
      <c r="EE4" s="2" t="inlineStr">
        <is>
          <t>09:15</t>
        </is>
      </c>
      <c r="EF4" s="2" t="inlineStr">
        <is>
          <t>09:30</t>
        </is>
      </c>
      <c r="EG4" s="2" t="inlineStr">
        <is>
          <t>09:45</t>
        </is>
      </c>
      <c r="EH4" s="2" t="inlineStr">
        <is>
          <t>10:00</t>
        </is>
      </c>
      <c r="EI4" s="2" t="inlineStr">
        <is>
          <t>10:15</t>
        </is>
      </c>
      <c r="EJ4" s="2" t="inlineStr">
        <is>
          <t>10:30</t>
        </is>
      </c>
      <c r="EK4" s="2" t="inlineStr">
        <is>
          <t>10:45</t>
        </is>
      </c>
      <c r="EL4" s="2" t="inlineStr">
        <is>
          <t>11:00</t>
        </is>
      </c>
      <c r="EM4" s="2" t="inlineStr">
        <is>
          <t>11:15</t>
        </is>
      </c>
      <c r="EN4" s="2" t="inlineStr">
        <is>
          <t>11:30</t>
        </is>
      </c>
      <c r="EO4" s="2" t="inlineStr">
        <is>
          <t>11:45</t>
        </is>
      </c>
      <c r="EP4" s="2" t="inlineStr">
        <is>
          <t>12:00</t>
        </is>
      </c>
      <c r="EQ4" s="2" t="inlineStr">
        <is>
          <t>12:15</t>
        </is>
      </c>
      <c r="ER4" s="2" t="inlineStr">
        <is>
          <t>12:30</t>
        </is>
      </c>
      <c r="ES4" s="2" t="inlineStr">
        <is>
          <t>12:45</t>
        </is>
      </c>
      <c r="ET4" s="2" t="inlineStr">
        <is>
          <t>13:00</t>
        </is>
      </c>
      <c r="EU4" s="2" t="inlineStr">
        <is>
          <t>13:15</t>
        </is>
      </c>
      <c r="EV4" s="2" t="inlineStr">
        <is>
          <t>13:30</t>
        </is>
      </c>
      <c r="EW4" s="2" t="inlineStr">
        <is>
          <t>13:45</t>
        </is>
      </c>
      <c r="EX4" s="2" t="inlineStr">
        <is>
          <t>14:00</t>
        </is>
      </c>
      <c r="EY4" s="2" t="inlineStr">
        <is>
          <t>14:15</t>
        </is>
      </c>
      <c r="EZ4" s="2" t="inlineStr">
        <is>
          <t>14:30</t>
        </is>
      </c>
      <c r="FA4" s="2" t="inlineStr">
        <is>
          <t>14:45</t>
        </is>
      </c>
      <c r="FB4" s="2" t="inlineStr">
        <is>
          <t>15:00</t>
        </is>
      </c>
      <c r="FC4" s="2" t="inlineStr">
        <is>
          <t>15:15</t>
        </is>
      </c>
      <c r="FD4" s="2" t="inlineStr">
        <is>
          <t>15:30</t>
        </is>
      </c>
      <c r="FE4" s="2" t="inlineStr">
        <is>
          <t>15:45</t>
        </is>
      </c>
      <c r="FF4" s="2" t="inlineStr">
        <is>
          <t>16:00</t>
        </is>
      </c>
      <c r="FG4" s="2" t="inlineStr">
        <is>
          <t>16:15</t>
        </is>
      </c>
      <c r="FH4" s="2" t="inlineStr">
        <is>
          <t>16:30</t>
        </is>
      </c>
      <c r="FI4" s="2" t="inlineStr">
        <is>
          <t>16:45</t>
        </is>
      </c>
      <c r="FJ4" s="2" t="inlineStr">
        <is>
          <t>17:00</t>
        </is>
      </c>
      <c r="FK4" s="2" t="inlineStr">
        <is>
          <t>17:15</t>
        </is>
      </c>
      <c r="FL4" s="2" t="inlineStr">
        <is>
          <t>17:30</t>
        </is>
      </c>
      <c r="FM4" s="2" t="inlineStr">
        <is>
          <t>17:45</t>
        </is>
      </c>
      <c r="FN4" s="2" t="inlineStr">
        <is>
          <t>18:00</t>
        </is>
      </c>
      <c r="FO4" s="2" t="inlineStr">
        <is>
          <t>18:15</t>
        </is>
      </c>
      <c r="FP4" s="2" t="inlineStr">
        <is>
          <t>18:30</t>
        </is>
      </c>
      <c r="FQ4" s="2" t="inlineStr">
        <is>
          <t>18:45</t>
        </is>
      </c>
      <c r="FR4" s="2" t="inlineStr">
        <is>
          <t>19:00</t>
        </is>
      </c>
      <c r="FS4" s="2" t="inlineStr">
        <is>
          <t>19:15</t>
        </is>
      </c>
      <c r="FT4" s="2" t="inlineStr">
        <is>
          <t>19:30</t>
        </is>
      </c>
      <c r="FU4" s="2" t="inlineStr">
        <is>
          <t>19:45</t>
        </is>
      </c>
      <c r="FV4" s="2" t="inlineStr">
        <is>
          <t>20:00</t>
        </is>
      </c>
      <c r="FW4" s="2" t="inlineStr">
        <is>
          <t>20:15</t>
        </is>
      </c>
      <c r="FX4" s="2" t="inlineStr">
        <is>
          <t>20:30</t>
        </is>
      </c>
      <c r="FY4" s="2" t="inlineStr">
        <is>
          <t>20:45</t>
        </is>
      </c>
      <c r="FZ4" s="2" t="inlineStr">
        <is>
          <t>21:00</t>
        </is>
      </c>
      <c r="GA4" s="2" t="inlineStr">
        <is>
          <t>21:15</t>
        </is>
      </c>
      <c r="GB4" s="2" t="inlineStr">
        <is>
          <t>21:30</t>
        </is>
      </c>
      <c r="GC4" s="2" t="inlineStr">
        <is>
          <t>21:45</t>
        </is>
      </c>
      <c r="GD4" s="2" t="inlineStr">
        <is>
          <t>22:00</t>
        </is>
      </c>
      <c r="GE4" s="2" t="inlineStr">
        <is>
          <t>22:15</t>
        </is>
      </c>
      <c r="GF4" s="2" t="inlineStr">
        <is>
          <t>22:30</t>
        </is>
      </c>
      <c r="GG4" s="2" t="inlineStr">
        <is>
          <t>22:45</t>
        </is>
      </c>
      <c r="GH4" s="2" t="inlineStr">
        <is>
          <t>23:00</t>
        </is>
      </c>
      <c r="GI4" s="2" t="inlineStr">
        <is>
          <t>23:15</t>
        </is>
      </c>
      <c r="GJ4" s="2" t="inlineStr">
        <is>
          <t>23:30</t>
        </is>
      </c>
      <c r="GK4" s="2" t="inlineStr">
        <is>
          <t>23:45</t>
        </is>
      </c>
    </row>
    <row r="5">
      <c r="A5" s="5" t="inlineStr">
        <is>
          <t>DAM</t>
        </is>
      </c>
      <c r="B5" s="27" t="n">
        <v>5636.31</v>
      </c>
      <c r="C5" s="27" t="n">
        <v>5572.25</v>
      </c>
      <c r="D5" s="27" t="n">
        <v>5519.6</v>
      </c>
      <c r="E5" s="27" t="n">
        <v>5480.04</v>
      </c>
      <c r="F5" s="27" t="n">
        <v>5314.34</v>
      </c>
      <c r="G5" s="27" t="n">
        <v>5212.18</v>
      </c>
      <c r="H5" s="27" t="n">
        <v>5113.96</v>
      </c>
      <c r="I5" s="27" t="n">
        <v>5036.12</v>
      </c>
      <c r="J5" s="27" t="n">
        <v>4850.19</v>
      </c>
      <c r="K5" s="27" t="n">
        <v>4835.98</v>
      </c>
      <c r="L5" s="27" t="n">
        <v>4770.02</v>
      </c>
      <c r="M5" s="27" t="n">
        <v>4748.17</v>
      </c>
      <c r="N5" s="27" t="n">
        <v>4605.4</v>
      </c>
      <c r="O5" s="27" t="n">
        <v>4542.17</v>
      </c>
      <c r="P5" s="27" t="n">
        <v>4512.48</v>
      </c>
      <c r="Q5" s="27" t="n">
        <v>4491.37</v>
      </c>
      <c r="R5" s="27" t="n">
        <v>4476.52</v>
      </c>
      <c r="S5" s="27" t="n">
        <v>4560.99</v>
      </c>
      <c r="T5" s="27" t="n">
        <v>4600.29</v>
      </c>
      <c r="U5" s="27" t="n">
        <v>4660.79</v>
      </c>
      <c r="V5" s="27" t="n">
        <v>4680.77</v>
      </c>
      <c r="W5" s="27" t="n">
        <v>4904.59</v>
      </c>
      <c r="X5" s="27" t="n">
        <v>5029.6</v>
      </c>
      <c r="Y5" s="27" t="n">
        <v>5112.4</v>
      </c>
      <c r="Z5" s="27" t="n">
        <v>5286.2</v>
      </c>
      <c r="AA5" s="27" t="n">
        <v>5468.65</v>
      </c>
      <c r="AB5" s="27" t="n">
        <v>5532.77</v>
      </c>
      <c r="AC5" s="27" t="n">
        <v>5573.73</v>
      </c>
      <c r="AD5" s="27" t="n">
        <v>5538.62</v>
      </c>
      <c r="AE5" s="27" t="n">
        <v>5471.15</v>
      </c>
      <c r="AF5" s="27" t="n">
        <v>5303.05</v>
      </c>
      <c r="AG5" s="27" t="n">
        <v>4870.23</v>
      </c>
      <c r="AH5" s="27" t="n">
        <v>4205.7</v>
      </c>
      <c r="AI5" s="27" t="n">
        <v>3688.1</v>
      </c>
      <c r="AJ5" s="27" t="n">
        <v>3189.15</v>
      </c>
      <c r="AK5" s="27" t="n">
        <v>2897.18</v>
      </c>
      <c r="AL5" s="27" t="n">
        <v>2600.27</v>
      </c>
      <c r="AM5" s="27" t="n">
        <v>2476.37</v>
      </c>
      <c r="AN5" s="27" t="n">
        <v>2323.33</v>
      </c>
      <c r="AO5" s="27" t="n">
        <v>2195.37</v>
      </c>
      <c r="AP5" s="27" t="n">
        <v>1993.6</v>
      </c>
      <c r="AQ5" s="27" t="n">
        <v>1954.39</v>
      </c>
      <c r="AR5" s="27" t="n">
        <v>1906.44</v>
      </c>
      <c r="AS5" s="27" t="n">
        <v>1857.88</v>
      </c>
      <c r="AT5" s="27" t="n">
        <v>1795.24</v>
      </c>
      <c r="AU5" s="27" t="n">
        <v>1787.55</v>
      </c>
      <c r="AV5" s="27" t="n">
        <v>1760.42</v>
      </c>
      <c r="AW5" s="27" t="n">
        <v>1740.58</v>
      </c>
      <c r="AX5" s="27" t="n">
        <v>1686.99</v>
      </c>
      <c r="AY5" s="27" t="n">
        <v>1674.77</v>
      </c>
      <c r="AZ5" s="27" t="n">
        <v>1649.2</v>
      </c>
      <c r="BA5" s="27" t="n">
        <v>1611.26</v>
      </c>
      <c r="BB5" s="27" t="n">
        <v>1477.73</v>
      </c>
      <c r="BC5" s="27" t="n">
        <v>1466.13</v>
      </c>
      <c r="BD5" s="27" t="n">
        <v>1544.97</v>
      </c>
      <c r="BE5" s="27" t="n">
        <v>1617.01</v>
      </c>
      <c r="BF5" s="27" t="n">
        <v>1770.37</v>
      </c>
      <c r="BG5" s="27" t="n">
        <v>1866.57</v>
      </c>
      <c r="BH5" s="27" t="n">
        <v>1984.85</v>
      </c>
      <c r="BI5" s="27" t="n">
        <v>2077.87</v>
      </c>
      <c r="BJ5" s="27" t="n">
        <v>2311.41</v>
      </c>
      <c r="BK5" s="27" t="n">
        <v>2447.48</v>
      </c>
      <c r="BL5" s="27" t="n">
        <v>2660.82</v>
      </c>
      <c r="BM5" s="27" t="n">
        <v>2824.15</v>
      </c>
      <c r="BN5" s="27" t="n">
        <v>2990.45</v>
      </c>
      <c r="BO5" s="27" t="n">
        <v>3131.68</v>
      </c>
      <c r="BP5" s="27" t="n">
        <v>3363.8</v>
      </c>
      <c r="BQ5" s="27" t="n">
        <v>3712.11</v>
      </c>
      <c r="BR5" s="27" t="n">
        <v>4058.81</v>
      </c>
      <c r="BS5" s="27" t="n">
        <v>4539.75</v>
      </c>
      <c r="BT5" s="27" t="n">
        <v>5184.93</v>
      </c>
      <c r="BU5" s="27" t="n">
        <v>5715.53</v>
      </c>
      <c r="BV5" s="27" t="n">
        <v>6040.39</v>
      </c>
      <c r="BW5" s="27" t="n">
        <v>6724.43</v>
      </c>
      <c r="BX5" s="27" t="n">
        <v>7533.29</v>
      </c>
      <c r="BY5" s="27" t="n">
        <v>7938.22</v>
      </c>
      <c r="BZ5" s="27" t="n">
        <v>7997.16</v>
      </c>
      <c r="CA5" s="27" t="n">
        <v>7805.05</v>
      </c>
      <c r="CB5" s="27" t="n">
        <v>7401.2</v>
      </c>
      <c r="CC5" s="27" t="n">
        <v>7070.78</v>
      </c>
      <c r="CD5" s="27" t="n">
        <v>6745.28</v>
      </c>
      <c r="CE5" s="27" t="n">
        <v>6692.92</v>
      </c>
      <c r="CF5" s="27" t="n">
        <v>6641.91</v>
      </c>
      <c r="CG5" s="27" t="n">
        <v>6618.7</v>
      </c>
      <c r="CH5" s="27" t="n">
        <v>6513.92</v>
      </c>
      <c r="CI5" s="27" t="n">
        <v>6484.82</v>
      </c>
      <c r="CJ5" s="27" t="n">
        <v>6439.27</v>
      </c>
      <c r="CK5" s="27" t="n">
        <v>6396.63</v>
      </c>
      <c r="CL5" s="27" t="n">
        <v>6300.95</v>
      </c>
      <c r="CM5" s="27" t="n">
        <v>6352.84</v>
      </c>
      <c r="CN5" s="27" t="n">
        <v>6351.27</v>
      </c>
      <c r="CO5" s="27" t="n">
        <v>6305.36</v>
      </c>
      <c r="CP5" s="27" t="n">
        <v>6176.55</v>
      </c>
      <c r="CQ5" s="27" t="n">
        <v>6116.83</v>
      </c>
      <c r="CR5" s="27" t="n">
        <v>6030.99</v>
      </c>
      <c r="CS5" s="27" t="n">
        <v>5978.47</v>
      </c>
      <c r="CT5" s="27" t="n">
        <v>5636.31</v>
      </c>
      <c r="CU5" s="27" t="n">
        <v>5572.25</v>
      </c>
      <c r="CV5" s="27" t="n">
        <v>5519.6</v>
      </c>
      <c r="CW5" s="27" t="n">
        <v>5480.04</v>
      </c>
      <c r="CX5" s="27" t="n">
        <v>5314.34</v>
      </c>
      <c r="CY5" s="27" t="n">
        <v>5212.18</v>
      </c>
      <c r="CZ5" s="27" t="n">
        <v>5113.96</v>
      </c>
      <c r="DA5" s="27" t="n">
        <v>5036.12</v>
      </c>
      <c r="DB5" s="27" t="n">
        <v>4850.19</v>
      </c>
      <c r="DC5" s="27" t="n">
        <v>4835.98</v>
      </c>
      <c r="DD5" s="27" t="n">
        <v>4770.02</v>
      </c>
      <c r="DE5" s="27" t="n">
        <v>4748.17</v>
      </c>
      <c r="DF5" s="27" t="n">
        <v>4605.4</v>
      </c>
      <c r="DG5" s="27" t="n">
        <v>4542.17</v>
      </c>
      <c r="DH5" s="27" t="n">
        <v>4512.48</v>
      </c>
      <c r="DI5" s="27" t="n">
        <v>4491.37</v>
      </c>
      <c r="DJ5" s="27" t="n">
        <v>4476.52</v>
      </c>
      <c r="DK5" s="27" t="n">
        <v>4560.99</v>
      </c>
      <c r="DL5" s="27" t="n">
        <v>4600.29</v>
      </c>
      <c r="DM5" s="27" t="n">
        <v>4660.79</v>
      </c>
      <c r="DN5" s="27" t="n">
        <v>4680.77</v>
      </c>
      <c r="DO5" s="27" t="n">
        <v>4904.59</v>
      </c>
      <c r="DP5" s="27" t="n">
        <v>5029.6</v>
      </c>
      <c r="DQ5" s="27" t="n">
        <v>5112.4</v>
      </c>
      <c r="DR5" s="27" t="n">
        <v>5286.2</v>
      </c>
      <c r="DS5" s="27" t="n">
        <v>5468.65</v>
      </c>
      <c r="DT5" s="27" t="n">
        <v>5532.77</v>
      </c>
      <c r="DU5" s="27" t="n">
        <v>5573.73</v>
      </c>
      <c r="DV5" s="27" t="n">
        <v>5538.62</v>
      </c>
      <c r="DW5" s="27" t="n">
        <v>5471.15</v>
      </c>
      <c r="DX5" s="27" t="n">
        <v>5303.05</v>
      </c>
      <c r="DY5" s="27" t="n">
        <v>4870.23</v>
      </c>
      <c r="DZ5" s="27" t="n">
        <v>4205.7</v>
      </c>
      <c r="EA5" s="27" t="n">
        <v>3688.1</v>
      </c>
      <c r="EB5" s="27" t="n">
        <v>3189.15</v>
      </c>
      <c r="EC5" s="27" t="n">
        <v>2897.18</v>
      </c>
      <c r="ED5" s="27" t="n">
        <v>2600.27</v>
      </c>
      <c r="EE5" s="27" t="n">
        <v>2476.37</v>
      </c>
      <c r="EF5" s="27" t="n">
        <v>2323.33</v>
      </c>
      <c r="EG5" s="27" t="n">
        <v>2195.37</v>
      </c>
      <c r="EH5" s="27" t="n">
        <v>1993.6</v>
      </c>
      <c r="EI5" s="27" t="n">
        <v>1954.39</v>
      </c>
      <c r="EJ5" s="27" t="n">
        <v>1906.44</v>
      </c>
      <c r="EK5" s="27" t="n">
        <v>1857.88</v>
      </c>
      <c r="EL5" s="27" t="n">
        <v>1795.24</v>
      </c>
      <c r="EM5" s="27" t="n">
        <v>1787.55</v>
      </c>
      <c r="EN5" s="27" t="n">
        <v>1760.42</v>
      </c>
      <c r="EO5" s="27" t="n">
        <v>1740.58</v>
      </c>
      <c r="EP5" s="27" t="n">
        <v>1686.99</v>
      </c>
      <c r="EQ5" s="27" t="n">
        <v>1674.77</v>
      </c>
      <c r="ER5" s="27" t="n">
        <v>1649.2</v>
      </c>
      <c r="ES5" s="27" t="n">
        <v>1611.26</v>
      </c>
      <c r="ET5" s="27" t="n">
        <v>1477.73</v>
      </c>
      <c r="EU5" s="27" t="n">
        <v>1466.13</v>
      </c>
      <c r="EV5" s="27" t="n">
        <v>1544.97</v>
      </c>
      <c r="EW5" s="27" t="n">
        <v>1617.01</v>
      </c>
      <c r="EX5" s="27" t="n">
        <v>1770.37</v>
      </c>
      <c r="EY5" s="27" t="n">
        <v>1866.57</v>
      </c>
      <c r="EZ5" s="27" t="n">
        <v>1984.85</v>
      </c>
      <c r="FA5" s="27" t="n">
        <v>2077.87</v>
      </c>
      <c r="FB5" s="27" t="n">
        <v>2311.41</v>
      </c>
      <c r="FC5" s="27" t="n">
        <v>2447.48</v>
      </c>
      <c r="FD5" s="27" t="n">
        <v>2660.82</v>
      </c>
      <c r="FE5" s="27" t="n">
        <v>2824.15</v>
      </c>
      <c r="FF5" s="27" t="n">
        <v>2990.45</v>
      </c>
      <c r="FG5" s="27" t="n">
        <v>3131.68</v>
      </c>
      <c r="FH5" s="27" t="n">
        <v>3363.8</v>
      </c>
      <c r="FI5" s="27" t="n">
        <v>3712.11</v>
      </c>
      <c r="FJ5" s="27" t="n">
        <v>4058.81</v>
      </c>
      <c r="FK5" s="27" t="n">
        <v>4539.75</v>
      </c>
      <c r="FL5" s="27" t="n">
        <v>5184.93</v>
      </c>
      <c r="FM5" s="27" t="n">
        <v>5715.53</v>
      </c>
      <c r="FN5" s="27" t="n">
        <v>6040.39</v>
      </c>
      <c r="FO5" s="27" t="n">
        <v>6724.43</v>
      </c>
      <c r="FP5" s="27" t="n">
        <v>7533.29</v>
      </c>
      <c r="FQ5" s="27" t="n">
        <v>7938.22</v>
      </c>
      <c r="FR5" s="27" t="n">
        <v>7997.16</v>
      </c>
      <c r="FS5" s="27" t="n">
        <v>7805.05</v>
      </c>
      <c r="FT5" s="27" t="n">
        <v>7401.2</v>
      </c>
      <c r="FU5" s="27" t="n">
        <v>7070.78</v>
      </c>
      <c r="FV5" s="27" t="n">
        <v>6745.28</v>
      </c>
      <c r="FW5" s="27" t="n">
        <v>6692.92</v>
      </c>
      <c r="FX5" s="27" t="n">
        <v>6641.91</v>
      </c>
      <c r="FY5" s="27" t="n">
        <v>6618.7</v>
      </c>
      <c r="FZ5" s="27" t="n">
        <v>6513.92</v>
      </c>
      <c r="GA5" s="27" t="n">
        <v>6484.82</v>
      </c>
      <c r="GB5" s="27" t="n">
        <v>6439.27</v>
      </c>
      <c r="GC5" s="27" t="n">
        <v>6396.63</v>
      </c>
      <c r="GD5" s="27" t="n">
        <v>6300.95</v>
      </c>
      <c r="GE5" s="27" t="n">
        <v>6352.84</v>
      </c>
      <c r="GF5" s="27" t="n">
        <v>6351.27</v>
      </c>
      <c r="GG5" s="27" t="n">
        <v>6305.36</v>
      </c>
      <c r="GH5" s="27" t="n">
        <v>6176.55</v>
      </c>
      <c r="GI5" s="27" t="n">
        <v>6116.83</v>
      </c>
      <c r="GJ5" s="27" t="n">
        <v>6030.99</v>
      </c>
      <c r="GK5" s="27" t="n">
        <v>5978.47</v>
      </c>
    </row>
    <row r="6">
      <c r="A6" s="5" t="inlineStr">
        <is>
          <t>GDAM</t>
        </is>
      </c>
      <c r="B6" s="27" t="n">
        <v>6044.83</v>
      </c>
      <c r="C6" s="27" t="n">
        <v>6032.8</v>
      </c>
      <c r="D6" s="27" t="n">
        <v>6029.71</v>
      </c>
      <c r="E6" s="27" t="n">
        <v>5991.5</v>
      </c>
      <c r="F6" s="27" t="n">
        <v>5894.81</v>
      </c>
      <c r="G6" s="27" t="n">
        <v>5861.7</v>
      </c>
      <c r="H6" s="27" t="n">
        <v>5810.62</v>
      </c>
      <c r="I6" s="27" t="n">
        <v>5742.95</v>
      </c>
      <c r="J6" s="27" t="n">
        <v>5662.87</v>
      </c>
      <c r="K6" s="27" t="n">
        <v>5618.85</v>
      </c>
      <c r="L6" s="27" t="n">
        <v>5626.2</v>
      </c>
      <c r="M6" s="27" t="n">
        <v>5603.75</v>
      </c>
      <c r="N6" s="27" t="n">
        <v>5433.16</v>
      </c>
      <c r="O6" s="27" t="n">
        <v>5435.86</v>
      </c>
      <c r="P6" s="27" t="n">
        <v>5459.55</v>
      </c>
      <c r="Q6" s="27" t="n">
        <v>5469.56</v>
      </c>
      <c r="R6" s="27" t="n">
        <v>5428.36</v>
      </c>
      <c r="S6" s="27" t="n">
        <v>5423.42</v>
      </c>
      <c r="T6" s="27" t="n">
        <v>5430.74</v>
      </c>
      <c r="U6" s="27" t="n">
        <v>5447.45</v>
      </c>
      <c r="V6" s="27" t="n">
        <v>5433.24</v>
      </c>
      <c r="W6" s="27" t="n">
        <v>5492.25</v>
      </c>
      <c r="X6" s="27" t="n">
        <v>5522.31</v>
      </c>
      <c r="Y6" s="27" t="n">
        <v>5564.34</v>
      </c>
      <c r="Z6" s="27" t="n">
        <v>5990.55</v>
      </c>
      <c r="AA6" s="27" t="n">
        <v>6058.76</v>
      </c>
      <c r="AB6" s="27" t="n">
        <v>6074.78</v>
      </c>
      <c r="AC6" s="27" t="n">
        <v>5959.75</v>
      </c>
      <c r="AD6" s="27" t="n">
        <v>6011.7</v>
      </c>
      <c r="AE6" s="27" t="n">
        <v>5640.33</v>
      </c>
      <c r="AF6" s="27" t="n">
        <v>5261.12</v>
      </c>
      <c r="AG6" s="27" t="n">
        <v>4840.03</v>
      </c>
      <c r="AH6" s="27" t="n">
        <v>4426.12</v>
      </c>
      <c r="AI6" s="27" t="n">
        <v>3933.95</v>
      </c>
      <c r="AJ6" s="27" t="n">
        <v>3428.43</v>
      </c>
      <c r="AK6" s="27" t="n">
        <v>2870.42</v>
      </c>
      <c r="AL6" s="27" t="n">
        <v>2696.16</v>
      </c>
      <c r="AM6" s="27" t="n">
        <v>2585.3</v>
      </c>
      <c r="AN6" s="27" t="n">
        <v>2449.84</v>
      </c>
      <c r="AO6" s="27" t="n">
        <v>2376.27</v>
      </c>
      <c r="AP6" s="27" t="n">
        <v>2163.14</v>
      </c>
      <c r="AQ6" s="27" t="n">
        <v>2154.9</v>
      </c>
      <c r="AR6" s="27" t="n">
        <v>2142.93</v>
      </c>
      <c r="AS6" s="27" t="n">
        <v>2118.87</v>
      </c>
      <c r="AT6" s="27" t="n">
        <v>2093.67</v>
      </c>
      <c r="AU6" s="27" t="n">
        <v>2085.8</v>
      </c>
      <c r="AV6" s="27" t="n">
        <v>2059.9</v>
      </c>
      <c r="AW6" s="27" t="n">
        <v>2035.6</v>
      </c>
      <c r="AX6" s="27" t="n">
        <v>1982.22</v>
      </c>
      <c r="AY6" s="27" t="n">
        <v>1944.75</v>
      </c>
      <c r="AZ6" s="27" t="n">
        <v>1927.25</v>
      </c>
      <c r="BA6" s="27" t="n">
        <v>1898.36</v>
      </c>
      <c r="BB6" s="27" t="n">
        <v>1787.53</v>
      </c>
      <c r="BC6" s="27" t="n">
        <v>1778.82</v>
      </c>
      <c r="BD6" s="27" t="n">
        <v>1841.16</v>
      </c>
      <c r="BE6" s="27" t="n">
        <v>1899.44</v>
      </c>
      <c r="BF6" s="27" t="n">
        <v>2023.22</v>
      </c>
      <c r="BG6" s="27" t="n">
        <v>2092.48</v>
      </c>
      <c r="BH6" s="27" t="n">
        <v>2179.82</v>
      </c>
      <c r="BI6" s="27" t="n">
        <v>2248.16</v>
      </c>
      <c r="BJ6" s="27" t="n">
        <v>2558.08</v>
      </c>
      <c r="BK6" s="27" t="n">
        <v>2662.24</v>
      </c>
      <c r="BL6" s="27" t="n">
        <v>2816.82</v>
      </c>
      <c r="BM6" s="27" t="n">
        <v>2968.21</v>
      </c>
      <c r="BN6" s="27" t="n">
        <v>3078.57</v>
      </c>
      <c r="BO6" s="27" t="n">
        <v>3231.01</v>
      </c>
      <c r="BP6" s="27" t="n">
        <v>3444.03</v>
      </c>
      <c r="BQ6" s="27" t="n">
        <v>3742.6</v>
      </c>
      <c r="BR6" s="27" t="n">
        <v>4369.97</v>
      </c>
      <c r="BS6" s="27" t="n">
        <v>4845.14</v>
      </c>
      <c r="BT6" s="27" t="n">
        <v>5480.67</v>
      </c>
      <c r="BU6" s="27" t="n">
        <v>5960.22</v>
      </c>
      <c r="BV6" s="27" t="n">
        <v>7010.96</v>
      </c>
      <c r="BW6" s="27" t="n">
        <v>7650.66</v>
      </c>
      <c r="BX6" s="27" t="n">
        <v>8125.99</v>
      </c>
      <c r="BY6" s="27" t="n">
        <v>8536.24</v>
      </c>
      <c r="BZ6" s="27" t="n">
        <v>8626.85</v>
      </c>
      <c r="CA6" s="27" t="n">
        <v>8390.889999999999</v>
      </c>
      <c r="CB6" s="27" t="n">
        <v>8154.15</v>
      </c>
      <c r="CC6" s="27" t="n">
        <v>7890.35</v>
      </c>
      <c r="CD6" s="27" t="n">
        <v>7609.86</v>
      </c>
      <c r="CE6" s="27" t="n">
        <v>7460.05</v>
      </c>
      <c r="CF6" s="27" t="n">
        <v>7390.38</v>
      </c>
      <c r="CG6" s="27" t="n">
        <v>7374.59</v>
      </c>
      <c r="CH6" s="27" t="n">
        <v>7336.73</v>
      </c>
      <c r="CI6" s="27" t="n">
        <v>7250.89</v>
      </c>
      <c r="CJ6" s="27" t="n">
        <v>7225.65</v>
      </c>
      <c r="CK6" s="27" t="n">
        <v>7210.66</v>
      </c>
      <c r="CL6" s="27" t="n">
        <v>6750.48</v>
      </c>
      <c r="CM6" s="27" t="n">
        <v>6731.28</v>
      </c>
      <c r="CN6" s="27" t="n">
        <v>6727.64</v>
      </c>
      <c r="CO6" s="27" t="n">
        <v>6682.92</v>
      </c>
      <c r="CP6" s="27" t="n">
        <v>6594.48</v>
      </c>
      <c r="CQ6" s="27" t="n">
        <v>6564.37</v>
      </c>
      <c r="CR6" s="27" t="n">
        <v>6543.96</v>
      </c>
      <c r="CS6" s="27" t="n">
        <v>6518.7</v>
      </c>
      <c r="CT6" s="27" t="n">
        <v>6044.83</v>
      </c>
      <c r="CU6" s="27" t="n">
        <v>6032.8</v>
      </c>
      <c r="CV6" s="27" t="n">
        <v>6029.71</v>
      </c>
      <c r="CW6" s="27" t="n">
        <v>5991.5</v>
      </c>
      <c r="CX6" s="27" t="n">
        <v>5894.81</v>
      </c>
      <c r="CY6" s="27" t="n">
        <v>5861.7</v>
      </c>
      <c r="CZ6" s="27" t="n">
        <v>5810.62</v>
      </c>
      <c r="DA6" s="27" t="n">
        <v>5742.95</v>
      </c>
      <c r="DB6" s="27" t="n">
        <v>5662.87</v>
      </c>
      <c r="DC6" s="27" t="n">
        <v>5618.85</v>
      </c>
      <c r="DD6" s="27" t="n">
        <v>5626.2</v>
      </c>
      <c r="DE6" s="27" t="n">
        <v>5603.75</v>
      </c>
      <c r="DF6" s="27" t="n">
        <v>5433.16</v>
      </c>
      <c r="DG6" s="27" t="n">
        <v>5435.86</v>
      </c>
      <c r="DH6" s="27" t="n">
        <v>5459.55</v>
      </c>
      <c r="DI6" s="27" t="n">
        <v>5469.56</v>
      </c>
      <c r="DJ6" s="27" t="n">
        <v>5428.36</v>
      </c>
      <c r="DK6" s="27" t="n">
        <v>5423.42</v>
      </c>
      <c r="DL6" s="27" t="n">
        <v>5430.74</v>
      </c>
      <c r="DM6" s="27" t="n">
        <v>5447.45</v>
      </c>
      <c r="DN6" s="27" t="n">
        <v>5433.24</v>
      </c>
      <c r="DO6" s="27" t="n">
        <v>5492.25</v>
      </c>
      <c r="DP6" s="27" t="n">
        <v>5522.31</v>
      </c>
      <c r="DQ6" s="27" t="n">
        <v>5564.34</v>
      </c>
      <c r="DR6" s="27" t="n">
        <v>5990.55</v>
      </c>
      <c r="DS6" s="27" t="n">
        <v>6058.76</v>
      </c>
      <c r="DT6" s="27" t="n">
        <v>6074.78</v>
      </c>
      <c r="DU6" s="27" t="n">
        <v>5959.75</v>
      </c>
      <c r="DV6" s="27" t="n">
        <v>6011.7</v>
      </c>
      <c r="DW6" s="27" t="n">
        <v>5640.33</v>
      </c>
      <c r="DX6" s="27" t="n">
        <v>5261.12</v>
      </c>
      <c r="DY6" s="27" t="n">
        <v>4840.03</v>
      </c>
      <c r="DZ6" s="27" t="n">
        <v>4426.12</v>
      </c>
      <c r="EA6" s="27" t="n">
        <v>3933.95</v>
      </c>
      <c r="EB6" s="27" t="n">
        <v>3428.43</v>
      </c>
      <c r="EC6" s="27" t="n">
        <v>2870.42</v>
      </c>
      <c r="ED6" s="27" t="n">
        <v>2696.16</v>
      </c>
      <c r="EE6" s="27" t="n">
        <v>2585.3</v>
      </c>
      <c r="EF6" s="27" t="n">
        <v>2449.84</v>
      </c>
      <c r="EG6" s="27" t="n">
        <v>2376.27</v>
      </c>
      <c r="EH6" s="27" t="n">
        <v>2163.14</v>
      </c>
      <c r="EI6" s="27" t="n">
        <v>2154.9</v>
      </c>
      <c r="EJ6" s="27" t="n">
        <v>2142.93</v>
      </c>
      <c r="EK6" s="27" t="n">
        <v>2118.87</v>
      </c>
      <c r="EL6" s="27" t="n">
        <v>2093.67</v>
      </c>
      <c r="EM6" s="27" t="n">
        <v>2085.8</v>
      </c>
      <c r="EN6" s="27" t="n">
        <v>2059.9</v>
      </c>
      <c r="EO6" s="27" t="n">
        <v>2035.6</v>
      </c>
      <c r="EP6" s="27" t="n">
        <v>1982.22</v>
      </c>
      <c r="EQ6" s="27" t="n">
        <v>1944.75</v>
      </c>
      <c r="ER6" s="27" t="n">
        <v>1927.25</v>
      </c>
      <c r="ES6" s="27" t="n">
        <v>1898.36</v>
      </c>
      <c r="ET6" s="27" t="n">
        <v>1787.53</v>
      </c>
      <c r="EU6" s="27" t="n">
        <v>1778.82</v>
      </c>
      <c r="EV6" s="27" t="n">
        <v>1841.16</v>
      </c>
      <c r="EW6" s="27" t="n">
        <v>1899.44</v>
      </c>
      <c r="EX6" s="27" t="n">
        <v>2023.22</v>
      </c>
      <c r="EY6" s="27" t="n">
        <v>2092.48</v>
      </c>
      <c r="EZ6" s="27" t="n">
        <v>2179.82</v>
      </c>
      <c r="FA6" s="27" t="n">
        <v>2248.16</v>
      </c>
      <c r="FB6" s="27" t="n">
        <v>2558.08</v>
      </c>
      <c r="FC6" s="27" t="n">
        <v>2662.24</v>
      </c>
      <c r="FD6" s="27" t="n">
        <v>2816.82</v>
      </c>
      <c r="FE6" s="27" t="n">
        <v>2968.21</v>
      </c>
      <c r="FF6" s="27" t="n">
        <v>3078.57</v>
      </c>
      <c r="FG6" s="27" t="n">
        <v>3231.01</v>
      </c>
      <c r="FH6" s="27" t="n">
        <v>3444.03</v>
      </c>
      <c r="FI6" s="27" t="n">
        <v>3742.6</v>
      </c>
      <c r="FJ6" s="27" t="n">
        <v>4369.97</v>
      </c>
      <c r="FK6" s="27" t="n">
        <v>4845.14</v>
      </c>
      <c r="FL6" s="27" t="n">
        <v>5480.67</v>
      </c>
      <c r="FM6" s="27" t="n">
        <v>5960.22</v>
      </c>
      <c r="FN6" s="27" t="n">
        <v>7010.96</v>
      </c>
      <c r="FO6" s="27" t="n">
        <v>7650.66</v>
      </c>
      <c r="FP6" s="27" t="n">
        <v>8125.99</v>
      </c>
      <c r="FQ6" s="27" t="n">
        <v>8536.24</v>
      </c>
      <c r="FR6" s="27" t="n">
        <v>8626.85</v>
      </c>
      <c r="FS6" s="27" t="n">
        <v>8390.889999999999</v>
      </c>
      <c r="FT6" s="27" t="n">
        <v>8154.15</v>
      </c>
      <c r="FU6" s="27" t="n">
        <v>7890.35</v>
      </c>
      <c r="FV6" s="27" t="n">
        <v>7609.86</v>
      </c>
      <c r="FW6" s="27" t="n">
        <v>7460.05</v>
      </c>
      <c r="FX6" s="27" t="n">
        <v>7390.38</v>
      </c>
      <c r="FY6" s="27" t="n">
        <v>7374.59</v>
      </c>
      <c r="FZ6" s="27" t="n">
        <v>7336.73</v>
      </c>
      <c r="GA6" s="27" t="n">
        <v>7250.89</v>
      </c>
      <c r="GB6" s="27" t="n">
        <v>7225.65</v>
      </c>
      <c r="GC6" s="27" t="n">
        <v>7210.66</v>
      </c>
      <c r="GD6" s="27" t="n">
        <v>6750.48</v>
      </c>
      <c r="GE6" s="27" t="n">
        <v>6731.28</v>
      </c>
      <c r="GF6" s="27" t="n">
        <v>6727.64</v>
      </c>
      <c r="GG6" s="27" t="n">
        <v>6682.92</v>
      </c>
      <c r="GH6" s="27" t="n">
        <v>6594.48</v>
      </c>
      <c r="GI6" s="27" t="n">
        <v>6564.37</v>
      </c>
      <c r="GJ6" s="27" t="n">
        <v>6543.96</v>
      </c>
      <c r="GK6" s="27" t="n">
        <v>6518.7</v>
      </c>
    </row>
    <row r="7">
      <c r="A7" s="5" t="inlineStr">
        <is>
          <t>RTM</t>
        </is>
      </c>
      <c r="B7" s="27" t="n">
        <v>5214.98</v>
      </c>
      <c r="C7" s="27" t="n">
        <v>5195.48</v>
      </c>
      <c r="D7" s="27" t="n">
        <v>5086.54</v>
      </c>
      <c r="E7" s="27" t="n">
        <v>4967.16</v>
      </c>
      <c r="F7" s="27" t="n">
        <v>4764.57</v>
      </c>
      <c r="G7" s="27" t="n">
        <v>4653.84</v>
      </c>
      <c r="H7" s="27" t="n">
        <v>4525.8</v>
      </c>
      <c r="I7" s="27" t="n">
        <v>4382.11</v>
      </c>
      <c r="J7" s="27" t="n">
        <v>4304.69</v>
      </c>
      <c r="K7" s="27" t="n">
        <v>4287.05</v>
      </c>
      <c r="L7" s="27" t="n">
        <v>4152.56</v>
      </c>
      <c r="M7" s="27" t="n">
        <v>4148.56</v>
      </c>
      <c r="N7" s="27" t="n">
        <v>4031.33</v>
      </c>
      <c r="O7" s="27" t="n">
        <v>3994.14</v>
      </c>
      <c r="P7" s="27" t="n">
        <v>3982.34</v>
      </c>
      <c r="Q7" s="27" t="n">
        <v>3954.77</v>
      </c>
      <c r="R7" s="27" t="n">
        <v>4004.67</v>
      </c>
      <c r="S7" s="27" t="n">
        <v>4129.41</v>
      </c>
      <c r="T7" s="27" t="n">
        <v>4163.4</v>
      </c>
      <c r="U7" s="27" t="n">
        <v>4215.82</v>
      </c>
      <c r="V7" s="27" t="n">
        <v>4337.28</v>
      </c>
      <c r="W7" s="27" t="n">
        <v>4585.07</v>
      </c>
      <c r="X7" s="27" t="n">
        <v>4737.03</v>
      </c>
      <c r="Y7" s="27" t="n">
        <v>4800.63</v>
      </c>
      <c r="Z7" s="27" t="n">
        <v>4821.53</v>
      </c>
      <c r="AA7" s="27" t="n">
        <v>5096.8</v>
      </c>
      <c r="AB7" s="27" t="n">
        <v>5117.09</v>
      </c>
      <c r="AC7" s="27" t="n">
        <v>5262.47</v>
      </c>
      <c r="AD7" s="27" t="n">
        <v>5152.91</v>
      </c>
      <c r="AE7" s="27" t="n">
        <v>4977.45</v>
      </c>
      <c r="AF7" s="27" t="n">
        <v>4605.86</v>
      </c>
      <c r="AG7" s="27" t="n">
        <v>4127.85</v>
      </c>
      <c r="AH7" s="27" t="n">
        <v>3729.15</v>
      </c>
      <c r="AI7" s="27" t="n">
        <v>3426.19</v>
      </c>
      <c r="AJ7" s="27" t="n">
        <v>3026.74</v>
      </c>
      <c r="AK7" s="27" t="n">
        <v>2784.52</v>
      </c>
      <c r="AL7" s="27" t="n">
        <v>2729.62</v>
      </c>
      <c r="AM7" s="27" t="n">
        <v>2634.46</v>
      </c>
      <c r="AN7" s="27" t="n">
        <v>2588.53</v>
      </c>
      <c r="AO7" s="27" t="n">
        <v>2385.09</v>
      </c>
      <c r="AP7" s="27" t="n">
        <v>2263.18</v>
      </c>
      <c r="AQ7" s="27" t="n">
        <v>2230.03</v>
      </c>
      <c r="AR7" s="27" t="n">
        <v>2227.28</v>
      </c>
      <c r="AS7" s="27" t="n">
        <v>2140.13</v>
      </c>
      <c r="AT7" s="27" t="n">
        <v>2056.79</v>
      </c>
      <c r="AU7" s="27" t="n">
        <v>2057.02</v>
      </c>
      <c r="AV7" s="27" t="n">
        <v>1984.68</v>
      </c>
      <c r="AW7" s="27" t="n">
        <v>1957.02</v>
      </c>
      <c r="AX7" s="27" t="n">
        <v>1838.78</v>
      </c>
      <c r="AY7" s="27" t="n">
        <v>1839.47</v>
      </c>
      <c r="AZ7" s="27" t="n">
        <v>1779.37</v>
      </c>
      <c r="BA7" s="27" t="n">
        <v>1715.07</v>
      </c>
      <c r="BB7" s="27" t="n">
        <v>1405.84</v>
      </c>
      <c r="BC7" s="27" t="n">
        <v>1453.09</v>
      </c>
      <c r="BD7" s="27" t="n">
        <v>1706.57</v>
      </c>
      <c r="BE7" s="27" t="n">
        <v>1882.82</v>
      </c>
      <c r="BF7" s="27" t="n">
        <v>2014.37</v>
      </c>
      <c r="BG7" s="27" t="n">
        <v>2214.18</v>
      </c>
      <c r="BH7" s="27" t="n">
        <v>2329.55</v>
      </c>
      <c r="BI7" s="27" t="n">
        <v>2497.12</v>
      </c>
      <c r="BJ7" s="27" t="n">
        <v>2599.13</v>
      </c>
      <c r="BK7" s="27" t="n">
        <v>2742.06</v>
      </c>
      <c r="BL7" s="27" t="n">
        <v>2953.44</v>
      </c>
      <c r="BM7" s="27" t="n">
        <v>3111.12</v>
      </c>
      <c r="BN7" s="27" t="n">
        <v>3013.1</v>
      </c>
      <c r="BO7" s="27" t="n">
        <v>3229.74</v>
      </c>
      <c r="BP7" s="27" t="n">
        <v>3492.71</v>
      </c>
      <c r="BQ7" s="27" t="n">
        <v>4047.85</v>
      </c>
      <c r="BR7" s="27" t="n">
        <v>3993.33</v>
      </c>
      <c r="BS7" s="27" t="n">
        <v>4563.86</v>
      </c>
      <c r="BT7" s="27" t="n">
        <v>5130.72</v>
      </c>
      <c r="BU7" s="27" t="n">
        <v>5733.04</v>
      </c>
      <c r="BV7" s="27" t="n">
        <v>5294.96</v>
      </c>
      <c r="BW7" s="27" t="n">
        <v>6131.98</v>
      </c>
      <c r="BX7" s="27" t="n">
        <v>6644.96</v>
      </c>
      <c r="BY7" s="27" t="n">
        <v>6892.9</v>
      </c>
      <c r="BZ7" s="27" t="n">
        <v>6671.43</v>
      </c>
      <c r="CA7" s="27" t="n">
        <v>6709.36</v>
      </c>
      <c r="CB7" s="27" t="n">
        <v>6358.19</v>
      </c>
      <c r="CC7" s="27" t="n">
        <v>6053.68</v>
      </c>
      <c r="CD7" s="27" t="n">
        <v>5791.52</v>
      </c>
      <c r="CE7" s="27" t="n">
        <v>5808.03</v>
      </c>
      <c r="CF7" s="27" t="n">
        <v>5825.08</v>
      </c>
      <c r="CG7" s="27" t="n">
        <v>5887.45</v>
      </c>
      <c r="CH7" s="27" t="n">
        <v>5823.66</v>
      </c>
      <c r="CI7" s="27" t="n">
        <v>5827.64</v>
      </c>
      <c r="CJ7" s="27" t="n">
        <v>5697.16</v>
      </c>
      <c r="CK7" s="27" t="n">
        <v>5583.63</v>
      </c>
      <c r="CL7" s="27" t="n">
        <v>5673.64</v>
      </c>
      <c r="CM7" s="27" t="n">
        <v>5803.06</v>
      </c>
      <c r="CN7" s="27" t="n">
        <v>5797.87</v>
      </c>
      <c r="CO7" s="27" t="n">
        <v>5727.26</v>
      </c>
      <c r="CP7" s="27" t="n">
        <v>5521.91</v>
      </c>
      <c r="CQ7" s="27" t="n">
        <v>5415.09</v>
      </c>
      <c r="CR7" s="27" t="n">
        <v>5192.5</v>
      </c>
      <c r="CS7" s="27" t="n">
        <v>5048.25</v>
      </c>
      <c r="CT7" s="27" t="n">
        <v>5214.98</v>
      </c>
      <c r="CU7" s="27" t="n">
        <v>5195.48</v>
      </c>
      <c r="CV7" s="27" t="n">
        <v>5086.54</v>
      </c>
      <c r="CW7" s="27" t="n">
        <v>4967.16</v>
      </c>
      <c r="CX7" s="27" t="n">
        <v>4764.57</v>
      </c>
      <c r="CY7" s="27" t="n">
        <v>4653.84</v>
      </c>
      <c r="CZ7" s="27" t="n">
        <v>4525.8</v>
      </c>
      <c r="DA7" s="27" t="n">
        <v>4382.11</v>
      </c>
      <c r="DB7" s="27" t="n">
        <v>4304.69</v>
      </c>
      <c r="DC7" s="27" t="n">
        <v>4287.05</v>
      </c>
      <c r="DD7" s="27" t="n">
        <v>4152.56</v>
      </c>
      <c r="DE7" s="27" t="n">
        <v>4148.56</v>
      </c>
      <c r="DF7" s="27" t="n">
        <v>4031.33</v>
      </c>
      <c r="DG7" s="27" t="n">
        <v>3994.14</v>
      </c>
      <c r="DH7" s="27" t="n">
        <v>3982.34</v>
      </c>
      <c r="DI7" s="27" t="n">
        <v>3954.77</v>
      </c>
      <c r="DJ7" s="27" t="n">
        <v>4004.67</v>
      </c>
      <c r="DK7" s="27" t="n">
        <v>4129.41</v>
      </c>
      <c r="DL7" s="27" t="n">
        <v>4163.4</v>
      </c>
      <c r="DM7" s="27" t="n">
        <v>4215.82</v>
      </c>
      <c r="DN7" s="27" t="n">
        <v>4337.28</v>
      </c>
      <c r="DO7" s="27" t="n">
        <v>4585.07</v>
      </c>
      <c r="DP7" s="27" t="n">
        <v>4737.03</v>
      </c>
      <c r="DQ7" s="27" t="n">
        <v>4800.63</v>
      </c>
      <c r="DR7" s="27" t="n">
        <v>4821.53</v>
      </c>
      <c r="DS7" s="27" t="n">
        <v>5096.8</v>
      </c>
      <c r="DT7" s="27" t="n">
        <v>5117.09</v>
      </c>
      <c r="DU7" s="27" t="n">
        <v>5262.47</v>
      </c>
      <c r="DV7" s="27" t="n">
        <v>5152.91</v>
      </c>
      <c r="DW7" s="27" t="n">
        <v>4977.45</v>
      </c>
      <c r="DX7" s="27" t="n">
        <v>4605.86</v>
      </c>
      <c r="DY7" s="27" t="n">
        <v>4127.85</v>
      </c>
      <c r="DZ7" s="27" t="n">
        <v>3729.15</v>
      </c>
      <c r="EA7" s="27" t="n">
        <v>3426.19</v>
      </c>
      <c r="EB7" s="27" t="n">
        <v>3026.74</v>
      </c>
      <c r="EC7" s="27" t="n">
        <v>2784.52</v>
      </c>
      <c r="ED7" s="27" t="n">
        <v>2729.62</v>
      </c>
      <c r="EE7" s="27" t="n">
        <v>2634.46</v>
      </c>
      <c r="EF7" s="27" t="n">
        <v>2588.53</v>
      </c>
      <c r="EG7" s="27" t="n">
        <v>2385.09</v>
      </c>
      <c r="EH7" s="27" t="n">
        <v>2263.18</v>
      </c>
      <c r="EI7" s="27" t="n">
        <v>2230.03</v>
      </c>
      <c r="EJ7" s="27" t="n">
        <v>2227.28</v>
      </c>
      <c r="EK7" s="27" t="n">
        <v>2140.13</v>
      </c>
      <c r="EL7" s="27" t="n">
        <v>2056.79</v>
      </c>
      <c r="EM7" s="27" t="n">
        <v>2057.02</v>
      </c>
      <c r="EN7" s="27" t="n">
        <v>1984.68</v>
      </c>
      <c r="EO7" s="27" t="n">
        <v>1957.02</v>
      </c>
      <c r="EP7" s="27" t="n">
        <v>1838.78</v>
      </c>
      <c r="EQ7" s="27" t="n">
        <v>1839.47</v>
      </c>
      <c r="ER7" s="27" t="n">
        <v>1779.37</v>
      </c>
      <c r="ES7" s="27" t="n">
        <v>1715.07</v>
      </c>
      <c r="ET7" s="27" t="n">
        <v>1405.84</v>
      </c>
      <c r="EU7" s="27" t="n">
        <v>1453.09</v>
      </c>
      <c r="EV7" s="27" t="n">
        <v>1706.57</v>
      </c>
      <c r="EW7" s="27" t="n">
        <v>1882.82</v>
      </c>
      <c r="EX7" s="27" t="n">
        <v>2014.37</v>
      </c>
      <c r="EY7" s="27" t="n">
        <v>2214.18</v>
      </c>
      <c r="EZ7" s="27" t="n">
        <v>2329.55</v>
      </c>
      <c r="FA7" s="27" t="n">
        <v>2497.12</v>
      </c>
      <c r="FB7" s="27" t="n">
        <v>2599.13</v>
      </c>
      <c r="FC7" s="27" t="n">
        <v>2742.06</v>
      </c>
      <c r="FD7" s="27" t="n">
        <v>2953.44</v>
      </c>
      <c r="FE7" s="27" t="n">
        <v>3111.12</v>
      </c>
      <c r="FF7" s="27" t="n">
        <v>3013.1</v>
      </c>
      <c r="FG7" s="27" t="n">
        <v>3229.74</v>
      </c>
      <c r="FH7" s="27" t="n">
        <v>3492.71</v>
      </c>
      <c r="FI7" s="27" t="n">
        <v>4047.85</v>
      </c>
      <c r="FJ7" s="27" t="n">
        <v>3993.33</v>
      </c>
      <c r="FK7" s="27" t="n">
        <v>4563.86</v>
      </c>
      <c r="FL7" s="27" t="n">
        <v>5130.72</v>
      </c>
      <c r="FM7" s="27" t="n">
        <v>5733.04</v>
      </c>
      <c r="FN7" s="27" t="n">
        <v>5294.96</v>
      </c>
      <c r="FO7" s="27" t="n">
        <v>6131.98</v>
      </c>
      <c r="FP7" s="27" t="n">
        <v>6644.96</v>
      </c>
      <c r="FQ7" s="27" t="n">
        <v>6892.9</v>
      </c>
      <c r="FR7" s="27" t="n">
        <v>6671.43</v>
      </c>
      <c r="FS7" s="27" t="n">
        <v>6709.36</v>
      </c>
      <c r="FT7" s="27" t="n">
        <v>6358.19</v>
      </c>
      <c r="FU7" s="27" t="n">
        <v>6053.68</v>
      </c>
      <c r="FV7" s="27" t="n">
        <v>5791.52</v>
      </c>
      <c r="FW7" s="27" t="n">
        <v>5808.03</v>
      </c>
      <c r="FX7" s="27" t="n">
        <v>5825.08</v>
      </c>
      <c r="FY7" s="27" t="n">
        <v>5887.45</v>
      </c>
      <c r="FZ7" s="27" t="n">
        <v>5823.66</v>
      </c>
      <c r="GA7" s="27" t="n">
        <v>5827.64</v>
      </c>
      <c r="GB7" s="27" t="n">
        <v>5697.16</v>
      </c>
      <c r="GC7" s="27" t="n">
        <v>5583.63</v>
      </c>
      <c r="GD7" s="27" t="n">
        <v>5673.64</v>
      </c>
      <c r="GE7" s="27" t="n">
        <v>5803.06</v>
      </c>
      <c r="GF7" s="27" t="n">
        <v>5797.87</v>
      </c>
      <c r="GG7" s="27" t="n">
        <v>5727.26</v>
      </c>
      <c r="GH7" s="27" t="n">
        <v>5521.91</v>
      </c>
      <c r="GI7" s="27" t="n">
        <v>5415.09</v>
      </c>
      <c r="GJ7" s="27" t="n">
        <v>5192.5</v>
      </c>
      <c r="GK7" s="27" t="n">
        <v>5048.25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L93"/>
  <sheetViews>
    <sheetView showGridLines="0" workbookViewId="0">
      <selection activeCell="A1" sqref="A1"/>
    </sheetView>
  </sheetViews>
  <sheetFormatPr baseColWidth="8" defaultRowHeight="15"/>
  <sheetData>
    <row r="1">
      <c r="A1" s="18" t="inlineStr">
        <is>
          <t>September daily IEX prices, ₹/MWh, for booster-day calculations</t>
        </is>
      </c>
    </row>
    <row r="2">
      <c r="A2" s="2" t="inlineStr">
        <is>
          <t>One row per market and September day (latest year in the data: 1–23 Sep 2026, 24–30 Sep 2025). Columns repeat blocks 0–95 twice.</t>
        </is>
      </c>
    </row>
    <row r="3">
      <c r="A3" s="5" t="inlineStr">
        <is>
          <t>Market</t>
        </is>
      </c>
      <c r="B3" s="5" t="inlineStr">
        <is>
          <t>Day / block →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  <c r="M3" s="5" t="n">
        <v>10</v>
      </c>
      <c r="N3" s="5" t="n">
        <v>11</v>
      </c>
      <c r="O3" s="5" t="n">
        <v>12</v>
      </c>
      <c r="P3" s="5" t="n">
        <v>13</v>
      </c>
      <c r="Q3" s="5" t="n">
        <v>14</v>
      </c>
      <c r="R3" s="5" t="n">
        <v>15</v>
      </c>
      <c r="S3" s="5" t="n">
        <v>16</v>
      </c>
      <c r="T3" s="5" t="n">
        <v>17</v>
      </c>
      <c r="U3" s="5" t="n">
        <v>18</v>
      </c>
      <c r="V3" s="5" t="n">
        <v>19</v>
      </c>
      <c r="W3" s="5" t="n">
        <v>20</v>
      </c>
      <c r="X3" s="5" t="n">
        <v>21</v>
      </c>
      <c r="Y3" s="5" t="n">
        <v>22</v>
      </c>
      <c r="Z3" s="5" t="n">
        <v>23</v>
      </c>
      <c r="AA3" s="5" t="n">
        <v>24</v>
      </c>
      <c r="AB3" s="5" t="n">
        <v>25</v>
      </c>
      <c r="AC3" s="5" t="n">
        <v>26</v>
      </c>
      <c r="AD3" s="5" t="n">
        <v>27</v>
      </c>
      <c r="AE3" s="5" t="n">
        <v>28</v>
      </c>
      <c r="AF3" s="5" t="n">
        <v>29</v>
      </c>
      <c r="AG3" s="5" t="n">
        <v>30</v>
      </c>
      <c r="AH3" s="5" t="n">
        <v>31</v>
      </c>
      <c r="AI3" s="5" t="n">
        <v>32</v>
      </c>
      <c r="AJ3" s="5" t="n">
        <v>33</v>
      </c>
      <c r="AK3" s="5" t="n">
        <v>34</v>
      </c>
      <c r="AL3" s="5" t="n">
        <v>35</v>
      </c>
      <c r="AM3" s="5" t="n">
        <v>36</v>
      </c>
      <c r="AN3" s="5" t="n">
        <v>37</v>
      </c>
      <c r="AO3" s="5" t="n">
        <v>38</v>
      </c>
      <c r="AP3" s="5" t="n">
        <v>39</v>
      </c>
      <c r="AQ3" s="5" t="n">
        <v>40</v>
      </c>
      <c r="AR3" s="5" t="n">
        <v>41</v>
      </c>
      <c r="AS3" s="5" t="n">
        <v>42</v>
      </c>
      <c r="AT3" s="5" t="n">
        <v>43</v>
      </c>
      <c r="AU3" s="5" t="n">
        <v>44</v>
      </c>
      <c r="AV3" s="5" t="n">
        <v>45</v>
      </c>
      <c r="AW3" s="5" t="n">
        <v>46</v>
      </c>
      <c r="AX3" s="5" t="n">
        <v>47</v>
      </c>
      <c r="AY3" s="5" t="n">
        <v>48</v>
      </c>
      <c r="AZ3" s="5" t="n">
        <v>49</v>
      </c>
      <c r="BA3" s="5" t="n">
        <v>50</v>
      </c>
      <c r="BB3" s="5" t="n">
        <v>51</v>
      </c>
      <c r="BC3" s="5" t="n">
        <v>52</v>
      </c>
      <c r="BD3" s="5" t="n">
        <v>53</v>
      </c>
      <c r="BE3" s="5" t="n">
        <v>54</v>
      </c>
      <c r="BF3" s="5" t="n">
        <v>55</v>
      </c>
      <c r="BG3" s="5" t="n">
        <v>56</v>
      </c>
      <c r="BH3" s="5" t="n">
        <v>57</v>
      </c>
      <c r="BI3" s="5" t="n">
        <v>58</v>
      </c>
      <c r="BJ3" s="5" t="n">
        <v>59</v>
      </c>
      <c r="BK3" s="5" t="n">
        <v>60</v>
      </c>
      <c r="BL3" s="5" t="n">
        <v>61</v>
      </c>
      <c r="BM3" s="5" t="n">
        <v>62</v>
      </c>
      <c r="BN3" s="5" t="n">
        <v>63</v>
      </c>
      <c r="BO3" s="5" t="n">
        <v>64</v>
      </c>
      <c r="BP3" s="5" t="n">
        <v>65</v>
      </c>
      <c r="BQ3" s="5" t="n">
        <v>66</v>
      </c>
      <c r="BR3" s="5" t="n">
        <v>67</v>
      </c>
      <c r="BS3" s="5" t="n">
        <v>68</v>
      </c>
      <c r="BT3" s="5" t="n">
        <v>69</v>
      </c>
      <c r="BU3" s="5" t="n">
        <v>70</v>
      </c>
      <c r="BV3" s="5" t="n">
        <v>71</v>
      </c>
      <c r="BW3" s="5" t="n">
        <v>72</v>
      </c>
      <c r="BX3" s="5" t="n">
        <v>73</v>
      </c>
      <c r="BY3" s="5" t="n">
        <v>74</v>
      </c>
      <c r="BZ3" s="5" t="n">
        <v>75</v>
      </c>
      <c r="CA3" s="5" t="n">
        <v>76</v>
      </c>
      <c r="CB3" s="5" t="n">
        <v>77</v>
      </c>
      <c r="CC3" s="5" t="n">
        <v>78</v>
      </c>
      <c r="CD3" s="5" t="n">
        <v>79</v>
      </c>
      <c r="CE3" s="5" t="n">
        <v>80</v>
      </c>
      <c r="CF3" s="5" t="n">
        <v>81</v>
      </c>
      <c r="CG3" s="5" t="n">
        <v>82</v>
      </c>
      <c r="CH3" s="5" t="n">
        <v>83</v>
      </c>
      <c r="CI3" s="5" t="n">
        <v>84</v>
      </c>
      <c r="CJ3" s="5" t="n">
        <v>85</v>
      </c>
      <c r="CK3" s="5" t="n">
        <v>86</v>
      </c>
      <c r="CL3" s="5" t="n">
        <v>87</v>
      </c>
      <c r="CM3" s="5" t="n">
        <v>88</v>
      </c>
      <c r="CN3" s="5" t="n">
        <v>89</v>
      </c>
      <c r="CO3" s="5" t="n">
        <v>90</v>
      </c>
      <c r="CP3" s="5" t="n">
        <v>91</v>
      </c>
      <c r="CQ3" s="5" t="n">
        <v>92</v>
      </c>
      <c r="CR3" s="5" t="n">
        <v>93</v>
      </c>
      <c r="CS3" s="5" t="n">
        <v>94</v>
      </c>
      <c r="CT3" s="5" t="n">
        <v>95</v>
      </c>
      <c r="CU3" s="5" t="n">
        <v>96</v>
      </c>
      <c r="CV3" s="5" t="n">
        <v>97</v>
      </c>
      <c r="CW3" s="5" t="n">
        <v>98</v>
      </c>
      <c r="CX3" s="5" t="n">
        <v>99</v>
      </c>
      <c r="CY3" s="5" t="n">
        <v>100</v>
      </c>
      <c r="CZ3" s="5" t="n">
        <v>101</v>
      </c>
      <c r="DA3" s="5" t="n">
        <v>102</v>
      </c>
      <c r="DB3" s="5" t="n">
        <v>103</v>
      </c>
      <c r="DC3" s="5" t="n">
        <v>104</v>
      </c>
      <c r="DD3" s="5" t="n">
        <v>105</v>
      </c>
      <c r="DE3" s="5" t="n">
        <v>106</v>
      </c>
      <c r="DF3" s="5" t="n">
        <v>107</v>
      </c>
      <c r="DG3" s="5" t="n">
        <v>108</v>
      </c>
      <c r="DH3" s="5" t="n">
        <v>109</v>
      </c>
      <c r="DI3" s="5" t="n">
        <v>110</v>
      </c>
      <c r="DJ3" s="5" t="n">
        <v>111</v>
      </c>
      <c r="DK3" s="5" t="n">
        <v>112</v>
      </c>
      <c r="DL3" s="5" t="n">
        <v>113</v>
      </c>
      <c r="DM3" s="5" t="n">
        <v>114</v>
      </c>
      <c r="DN3" s="5" t="n">
        <v>115</v>
      </c>
      <c r="DO3" s="5" t="n">
        <v>116</v>
      </c>
      <c r="DP3" s="5" t="n">
        <v>117</v>
      </c>
      <c r="DQ3" s="5" t="n">
        <v>118</v>
      </c>
      <c r="DR3" s="5" t="n">
        <v>119</v>
      </c>
      <c r="DS3" s="5" t="n">
        <v>120</v>
      </c>
      <c r="DT3" s="5" t="n">
        <v>121</v>
      </c>
      <c r="DU3" s="5" t="n">
        <v>122</v>
      </c>
      <c r="DV3" s="5" t="n">
        <v>123</v>
      </c>
      <c r="DW3" s="5" t="n">
        <v>124</v>
      </c>
      <c r="DX3" s="5" t="n">
        <v>125</v>
      </c>
      <c r="DY3" s="5" t="n">
        <v>126</v>
      </c>
      <c r="DZ3" s="5" t="n">
        <v>127</v>
      </c>
      <c r="EA3" s="5" t="n">
        <v>128</v>
      </c>
      <c r="EB3" s="5" t="n">
        <v>129</v>
      </c>
      <c r="EC3" s="5" t="n">
        <v>130</v>
      </c>
      <c r="ED3" s="5" t="n">
        <v>131</v>
      </c>
      <c r="EE3" s="5" t="n">
        <v>132</v>
      </c>
      <c r="EF3" s="5" t="n">
        <v>133</v>
      </c>
      <c r="EG3" s="5" t="n">
        <v>134</v>
      </c>
      <c r="EH3" s="5" t="n">
        <v>135</v>
      </c>
      <c r="EI3" s="5" t="n">
        <v>136</v>
      </c>
      <c r="EJ3" s="5" t="n">
        <v>137</v>
      </c>
      <c r="EK3" s="5" t="n">
        <v>138</v>
      </c>
      <c r="EL3" s="5" t="n">
        <v>139</v>
      </c>
      <c r="EM3" s="5" t="n">
        <v>140</v>
      </c>
      <c r="EN3" s="5" t="n">
        <v>141</v>
      </c>
      <c r="EO3" s="5" t="n">
        <v>142</v>
      </c>
      <c r="EP3" s="5" t="n">
        <v>143</v>
      </c>
      <c r="EQ3" s="5" t="n">
        <v>144</v>
      </c>
      <c r="ER3" s="5" t="n">
        <v>145</v>
      </c>
      <c r="ES3" s="5" t="n">
        <v>146</v>
      </c>
      <c r="ET3" s="5" t="n">
        <v>147</v>
      </c>
      <c r="EU3" s="5" t="n">
        <v>148</v>
      </c>
      <c r="EV3" s="5" t="n">
        <v>149</v>
      </c>
      <c r="EW3" s="5" t="n">
        <v>150</v>
      </c>
      <c r="EX3" s="5" t="n">
        <v>151</v>
      </c>
      <c r="EY3" s="5" t="n">
        <v>152</v>
      </c>
      <c r="EZ3" s="5" t="n">
        <v>153</v>
      </c>
      <c r="FA3" s="5" t="n">
        <v>154</v>
      </c>
      <c r="FB3" s="5" t="n">
        <v>155</v>
      </c>
      <c r="FC3" s="5" t="n">
        <v>156</v>
      </c>
      <c r="FD3" s="5" t="n">
        <v>157</v>
      </c>
      <c r="FE3" s="5" t="n">
        <v>158</v>
      </c>
      <c r="FF3" s="5" t="n">
        <v>159</v>
      </c>
      <c r="FG3" s="5" t="n">
        <v>160</v>
      </c>
      <c r="FH3" s="5" t="n">
        <v>161</v>
      </c>
      <c r="FI3" s="5" t="n">
        <v>162</v>
      </c>
      <c r="FJ3" s="5" t="n">
        <v>163</v>
      </c>
      <c r="FK3" s="5" t="n">
        <v>164</v>
      </c>
      <c r="FL3" s="5" t="n">
        <v>165</v>
      </c>
      <c r="FM3" s="5" t="n">
        <v>166</v>
      </c>
      <c r="FN3" s="5" t="n">
        <v>167</v>
      </c>
      <c r="FO3" s="5" t="n">
        <v>168</v>
      </c>
      <c r="FP3" s="5" t="n">
        <v>169</v>
      </c>
      <c r="FQ3" s="5" t="n">
        <v>170</v>
      </c>
      <c r="FR3" s="5" t="n">
        <v>171</v>
      </c>
      <c r="FS3" s="5" t="n">
        <v>172</v>
      </c>
      <c r="FT3" s="5" t="n">
        <v>173</v>
      </c>
      <c r="FU3" s="5" t="n">
        <v>174</v>
      </c>
      <c r="FV3" s="5" t="n">
        <v>175</v>
      </c>
      <c r="FW3" s="5" t="n">
        <v>176</v>
      </c>
      <c r="FX3" s="5" t="n">
        <v>177</v>
      </c>
      <c r="FY3" s="5" t="n">
        <v>178</v>
      </c>
      <c r="FZ3" s="5" t="n">
        <v>179</v>
      </c>
      <c r="GA3" s="5" t="n">
        <v>180</v>
      </c>
      <c r="GB3" s="5" t="n">
        <v>181</v>
      </c>
      <c r="GC3" s="5" t="n">
        <v>182</v>
      </c>
      <c r="GD3" s="5" t="n">
        <v>183</v>
      </c>
      <c r="GE3" s="5" t="n">
        <v>184</v>
      </c>
      <c r="GF3" s="5" t="n">
        <v>185</v>
      </c>
      <c r="GG3" s="5" t="n">
        <v>186</v>
      </c>
      <c r="GH3" s="5" t="n">
        <v>187</v>
      </c>
      <c r="GI3" s="5" t="n">
        <v>188</v>
      </c>
      <c r="GJ3" s="5" t="n">
        <v>189</v>
      </c>
      <c r="GK3" s="5" t="n">
        <v>190</v>
      </c>
      <c r="GL3" s="5" t="n">
        <v>191</v>
      </c>
    </row>
    <row r="4">
      <c r="A4" s="6" t="inlineStr">
        <is>
          <t>DAM</t>
        </is>
      </c>
      <c r="B4" s="6" t="n">
        <v>1</v>
      </c>
      <c r="C4" s="6" t="n">
        <v>10000</v>
      </c>
      <c r="D4" s="6" t="n">
        <v>10000</v>
      </c>
      <c r="E4" s="6" t="n">
        <v>10000</v>
      </c>
      <c r="F4" s="6" t="n">
        <v>10000</v>
      </c>
      <c r="G4" s="6" t="n">
        <v>10000</v>
      </c>
      <c r="H4" s="6" t="n">
        <v>10000</v>
      </c>
      <c r="I4" s="6" t="n">
        <v>8000</v>
      </c>
      <c r="J4" s="6" t="n">
        <v>8000</v>
      </c>
      <c r="K4" s="6" t="n">
        <v>4401</v>
      </c>
      <c r="L4" s="6" t="n">
        <v>4169</v>
      </c>
      <c r="M4" s="6" t="n">
        <v>4204</v>
      </c>
      <c r="N4" s="6" t="n">
        <v>4500</v>
      </c>
      <c r="O4" s="6" t="n">
        <v>4061</v>
      </c>
      <c r="P4" s="6" t="n">
        <v>4000</v>
      </c>
      <c r="Q4" s="6" t="n">
        <v>3995</v>
      </c>
      <c r="R4" s="6" t="n">
        <v>3899</v>
      </c>
      <c r="S4" s="6" t="n">
        <v>4000</v>
      </c>
      <c r="T4" s="6" t="n">
        <v>4170</v>
      </c>
      <c r="U4" s="6" t="n">
        <v>5000</v>
      </c>
      <c r="V4" s="6" t="n">
        <v>5432</v>
      </c>
      <c r="W4" s="6" t="n">
        <v>10000</v>
      </c>
      <c r="X4" s="6" t="n">
        <v>10000</v>
      </c>
      <c r="Y4" s="6" t="n">
        <v>10000</v>
      </c>
      <c r="Z4" s="6" t="n">
        <v>10000</v>
      </c>
      <c r="AA4" s="6" t="n">
        <v>10000</v>
      </c>
      <c r="AB4" s="6" t="n">
        <v>10000</v>
      </c>
      <c r="AC4" s="6" t="n">
        <v>10000</v>
      </c>
      <c r="AD4" s="6" t="n">
        <v>10000</v>
      </c>
      <c r="AE4" s="6" t="n">
        <v>10000</v>
      </c>
      <c r="AF4" s="6" t="n">
        <v>10000</v>
      </c>
      <c r="AG4" s="6" t="n">
        <v>8364</v>
      </c>
      <c r="AH4" s="6" t="n">
        <v>5910</v>
      </c>
      <c r="AI4" s="6" t="n">
        <v>3439</v>
      </c>
      <c r="AJ4" s="6" t="n">
        <v>3320</v>
      </c>
      <c r="AK4" s="6" t="n">
        <v>3250</v>
      </c>
      <c r="AL4" s="6" t="n">
        <v>3000</v>
      </c>
      <c r="AM4" s="6" t="n">
        <v>2760</v>
      </c>
      <c r="AN4" s="6" t="n">
        <v>2561</v>
      </c>
      <c r="AO4" s="6" t="n">
        <v>2159</v>
      </c>
      <c r="AP4" s="6" t="n">
        <v>2001</v>
      </c>
      <c r="AQ4" s="6" t="n">
        <v>1860</v>
      </c>
      <c r="AR4" s="6" t="n">
        <v>1706</v>
      </c>
      <c r="AS4" s="6" t="n">
        <v>1619</v>
      </c>
      <c r="AT4" s="6" t="n">
        <v>1699</v>
      </c>
      <c r="AU4" s="6" t="n">
        <v>1699</v>
      </c>
      <c r="AV4" s="6" t="n">
        <v>1620</v>
      </c>
      <c r="AW4" s="6" t="n">
        <v>1301</v>
      </c>
      <c r="AX4" s="6" t="n">
        <v>1300</v>
      </c>
      <c r="AY4" s="6" t="n">
        <v>1217</v>
      </c>
      <c r="AZ4" s="6" t="n">
        <v>1235</v>
      </c>
      <c r="BA4" s="6" t="n">
        <v>1221</v>
      </c>
      <c r="BB4" s="6" t="n">
        <v>1175</v>
      </c>
      <c r="BC4" s="6" t="n">
        <v>1112</v>
      </c>
      <c r="BD4" s="6" t="n">
        <v>1112</v>
      </c>
      <c r="BE4" s="6" t="n">
        <v>1263</v>
      </c>
      <c r="BF4" s="6" t="n">
        <v>1368</v>
      </c>
      <c r="BG4" s="6" t="n">
        <v>1500</v>
      </c>
      <c r="BH4" s="6" t="n">
        <v>1564</v>
      </c>
      <c r="BI4" s="6" t="n">
        <v>1860</v>
      </c>
      <c r="BJ4" s="6" t="n">
        <v>1861</v>
      </c>
      <c r="BK4" s="6" t="n">
        <v>2001</v>
      </c>
      <c r="BL4" s="6" t="n">
        <v>2159</v>
      </c>
      <c r="BM4" s="6" t="n">
        <v>2450</v>
      </c>
      <c r="BN4" s="6" t="n">
        <v>2682</v>
      </c>
      <c r="BO4" s="6" t="n">
        <v>3232</v>
      </c>
      <c r="BP4" s="6" t="n">
        <v>3411</v>
      </c>
      <c r="BQ4" s="6" t="n">
        <v>3599</v>
      </c>
      <c r="BR4" s="6" t="n">
        <v>3857</v>
      </c>
      <c r="BS4" s="6" t="n">
        <v>3998</v>
      </c>
      <c r="BT4" s="6" t="n">
        <v>3998</v>
      </c>
      <c r="BU4" s="6" t="n">
        <v>4168</v>
      </c>
      <c r="BV4" s="6" t="n">
        <v>4500</v>
      </c>
      <c r="BW4" s="6" t="n">
        <v>8250</v>
      </c>
      <c r="BX4" s="6" t="n">
        <v>10000</v>
      </c>
      <c r="BY4" s="6" t="n">
        <v>10000</v>
      </c>
      <c r="BZ4" s="6" t="n">
        <v>10000</v>
      </c>
      <c r="CA4" s="6" t="n">
        <v>10000</v>
      </c>
      <c r="CB4" s="6" t="n">
        <v>10000</v>
      </c>
      <c r="CC4" s="6" t="n">
        <v>10000</v>
      </c>
      <c r="CD4" s="6" t="n">
        <v>10000</v>
      </c>
      <c r="CE4" s="6" t="n">
        <v>10000</v>
      </c>
      <c r="CF4" s="6" t="n">
        <v>10000</v>
      </c>
      <c r="CG4" s="6" t="n">
        <v>10000</v>
      </c>
      <c r="CH4" s="6" t="n">
        <v>10000</v>
      </c>
      <c r="CI4" s="6" t="n">
        <v>10000</v>
      </c>
      <c r="CJ4" s="6" t="n">
        <v>10000</v>
      </c>
      <c r="CK4" s="6" t="n">
        <v>10000</v>
      </c>
      <c r="CL4" s="6" t="n">
        <v>10000</v>
      </c>
      <c r="CM4" s="6" t="n">
        <v>10000</v>
      </c>
      <c r="CN4" s="6" t="n">
        <v>10000</v>
      </c>
      <c r="CO4" s="6" t="n">
        <v>10000</v>
      </c>
      <c r="CP4" s="6" t="n">
        <v>10000</v>
      </c>
      <c r="CQ4" s="6" t="n">
        <v>10000</v>
      </c>
      <c r="CR4" s="6" t="n">
        <v>10000</v>
      </c>
      <c r="CS4" s="6" t="n">
        <v>10000</v>
      </c>
      <c r="CT4" s="6" t="n">
        <v>10000</v>
      </c>
      <c r="CU4" s="6" t="n">
        <v>10000</v>
      </c>
      <c r="CV4" s="6" t="n">
        <v>10000</v>
      </c>
      <c r="CW4" s="6" t="n">
        <v>10000</v>
      </c>
      <c r="CX4" s="6" t="n">
        <v>10000</v>
      </c>
      <c r="CY4" s="6" t="n">
        <v>10000</v>
      </c>
      <c r="CZ4" s="6" t="n">
        <v>10000</v>
      </c>
      <c r="DA4" s="6" t="n">
        <v>8000</v>
      </c>
      <c r="DB4" s="6" t="n">
        <v>8000</v>
      </c>
      <c r="DC4" s="6" t="n">
        <v>4401</v>
      </c>
      <c r="DD4" s="6" t="n">
        <v>4169</v>
      </c>
      <c r="DE4" s="6" t="n">
        <v>4204</v>
      </c>
      <c r="DF4" s="6" t="n">
        <v>4500</v>
      </c>
      <c r="DG4" s="6" t="n">
        <v>4061</v>
      </c>
      <c r="DH4" s="6" t="n">
        <v>4000</v>
      </c>
      <c r="DI4" s="6" t="n">
        <v>3995</v>
      </c>
      <c r="DJ4" s="6" t="n">
        <v>3899</v>
      </c>
      <c r="DK4" s="6" t="n">
        <v>4000</v>
      </c>
      <c r="DL4" s="6" t="n">
        <v>4170</v>
      </c>
      <c r="DM4" s="6" t="n">
        <v>5000</v>
      </c>
      <c r="DN4" s="6" t="n">
        <v>5432</v>
      </c>
      <c r="DO4" s="6" t="n">
        <v>10000</v>
      </c>
      <c r="DP4" s="6" t="n">
        <v>10000</v>
      </c>
      <c r="DQ4" s="6" t="n">
        <v>10000</v>
      </c>
      <c r="DR4" s="6" t="n">
        <v>10000</v>
      </c>
      <c r="DS4" s="6" t="n">
        <v>10000</v>
      </c>
      <c r="DT4" s="6" t="n">
        <v>10000</v>
      </c>
      <c r="DU4" s="6" t="n">
        <v>10000</v>
      </c>
      <c r="DV4" s="6" t="n">
        <v>10000</v>
      </c>
      <c r="DW4" s="6" t="n">
        <v>10000</v>
      </c>
      <c r="DX4" s="6" t="n">
        <v>10000</v>
      </c>
      <c r="DY4" s="6" t="n">
        <v>8364</v>
      </c>
      <c r="DZ4" s="6" t="n">
        <v>5910</v>
      </c>
      <c r="EA4" s="6" t="n">
        <v>3439</v>
      </c>
      <c r="EB4" s="6" t="n">
        <v>3320</v>
      </c>
      <c r="EC4" s="6" t="n">
        <v>3250</v>
      </c>
      <c r="ED4" s="6" t="n">
        <v>3000</v>
      </c>
      <c r="EE4" s="6" t="n">
        <v>2760</v>
      </c>
      <c r="EF4" s="6" t="n">
        <v>2561</v>
      </c>
      <c r="EG4" s="6" t="n">
        <v>2159</v>
      </c>
      <c r="EH4" s="6" t="n">
        <v>2001</v>
      </c>
      <c r="EI4" s="6" t="n">
        <v>1860</v>
      </c>
      <c r="EJ4" s="6" t="n">
        <v>1706</v>
      </c>
      <c r="EK4" s="6" t="n">
        <v>1619</v>
      </c>
      <c r="EL4" s="6" t="n">
        <v>1699</v>
      </c>
      <c r="EM4" s="6" t="n">
        <v>1699</v>
      </c>
      <c r="EN4" s="6" t="n">
        <v>1620</v>
      </c>
      <c r="EO4" s="6" t="n">
        <v>1301</v>
      </c>
      <c r="EP4" s="6" t="n">
        <v>1300</v>
      </c>
      <c r="EQ4" s="6" t="n">
        <v>1217</v>
      </c>
      <c r="ER4" s="6" t="n">
        <v>1235</v>
      </c>
      <c r="ES4" s="6" t="n">
        <v>1221</v>
      </c>
      <c r="ET4" s="6" t="n">
        <v>1175</v>
      </c>
      <c r="EU4" s="6" t="n">
        <v>1112</v>
      </c>
      <c r="EV4" s="6" t="n">
        <v>1112</v>
      </c>
      <c r="EW4" s="6" t="n">
        <v>1263</v>
      </c>
      <c r="EX4" s="6" t="n">
        <v>1368</v>
      </c>
      <c r="EY4" s="6" t="n">
        <v>1500</v>
      </c>
      <c r="EZ4" s="6" t="n">
        <v>1564</v>
      </c>
      <c r="FA4" s="6" t="n">
        <v>1860</v>
      </c>
      <c r="FB4" s="6" t="n">
        <v>1861</v>
      </c>
      <c r="FC4" s="6" t="n">
        <v>2001</v>
      </c>
      <c r="FD4" s="6" t="n">
        <v>2159</v>
      </c>
      <c r="FE4" s="6" t="n">
        <v>2450</v>
      </c>
      <c r="FF4" s="6" t="n">
        <v>2682</v>
      </c>
      <c r="FG4" s="6" t="n">
        <v>3232</v>
      </c>
      <c r="FH4" s="6" t="n">
        <v>3411</v>
      </c>
      <c r="FI4" s="6" t="n">
        <v>3599</v>
      </c>
      <c r="FJ4" s="6" t="n">
        <v>3857</v>
      </c>
      <c r="FK4" s="6" t="n">
        <v>3998</v>
      </c>
      <c r="FL4" s="6" t="n">
        <v>3998</v>
      </c>
      <c r="FM4" s="6" t="n">
        <v>4168</v>
      </c>
      <c r="FN4" s="6" t="n">
        <v>4500</v>
      </c>
      <c r="FO4" s="6" t="n">
        <v>8250</v>
      </c>
      <c r="FP4" s="6" t="n">
        <v>10000</v>
      </c>
      <c r="FQ4" s="6" t="n">
        <v>10000</v>
      </c>
      <c r="FR4" s="6" t="n">
        <v>10000</v>
      </c>
      <c r="FS4" s="6" t="n">
        <v>10000</v>
      </c>
      <c r="FT4" s="6" t="n">
        <v>10000</v>
      </c>
      <c r="FU4" s="6" t="n">
        <v>10000</v>
      </c>
      <c r="FV4" s="6" t="n">
        <v>10000</v>
      </c>
      <c r="FW4" s="6" t="n">
        <v>10000</v>
      </c>
      <c r="FX4" s="6" t="n">
        <v>10000</v>
      </c>
      <c r="FY4" s="6" t="n">
        <v>10000</v>
      </c>
      <c r="FZ4" s="6" t="n">
        <v>10000</v>
      </c>
      <c r="GA4" s="6" t="n">
        <v>10000</v>
      </c>
      <c r="GB4" s="6" t="n">
        <v>10000</v>
      </c>
      <c r="GC4" s="6" t="n">
        <v>10000</v>
      </c>
      <c r="GD4" s="6" t="n">
        <v>10000</v>
      </c>
      <c r="GE4" s="6" t="n">
        <v>10000</v>
      </c>
      <c r="GF4" s="6" t="n">
        <v>10000</v>
      </c>
      <c r="GG4" s="6" t="n">
        <v>10000</v>
      </c>
      <c r="GH4" s="6" t="n">
        <v>10000</v>
      </c>
      <c r="GI4" s="6" t="n">
        <v>10000</v>
      </c>
      <c r="GJ4" s="6" t="n">
        <v>10000</v>
      </c>
      <c r="GK4" s="6" t="n">
        <v>10000</v>
      </c>
      <c r="GL4" s="6" t="n">
        <v>10000</v>
      </c>
    </row>
    <row r="5">
      <c r="A5" s="6" t="inlineStr">
        <is>
          <t>DAM</t>
        </is>
      </c>
      <c r="B5" s="6" t="n">
        <v>2</v>
      </c>
      <c r="C5" s="6" t="n">
        <v>10000</v>
      </c>
      <c r="D5" s="6" t="n">
        <v>10000</v>
      </c>
      <c r="E5" s="6" t="n">
        <v>10000</v>
      </c>
      <c r="F5" s="6" t="n">
        <v>10000</v>
      </c>
      <c r="G5" s="6" t="n">
        <v>10000</v>
      </c>
      <c r="H5" s="6" t="n">
        <v>10000</v>
      </c>
      <c r="I5" s="6" t="n">
        <v>10000</v>
      </c>
      <c r="J5" s="6" t="n">
        <v>10000</v>
      </c>
      <c r="K5" s="6" t="n">
        <v>10000</v>
      </c>
      <c r="L5" s="6" t="n">
        <v>10000</v>
      </c>
      <c r="M5" s="6" t="n">
        <v>10000</v>
      </c>
      <c r="N5" s="6" t="n">
        <v>10000</v>
      </c>
      <c r="O5" s="6" t="n">
        <v>10000</v>
      </c>
      <c r="P5" s="6" t="n">
        <v>8500</v>
      </c>
      <c r="Q5" s="6" t="n">
        <v>7501</v>
      </c>
      <c r="R5" s="6" t="n">
        <v>8149</v>
      </c>
      <c r="S5" s="6" t="n">
        <v>10000</v>
      </c>
      <c r="T5" s="6" t="n">
        <v>9991</v>
      </c>
      <c r="U5" s="6" t="n">
        <v>10000</v>
      </c>
      <c r="V5" s="6" t="n">
        <v>10000</v>
      </c>
      <c r="W5" s="6" t="n">
        <v>10000</v>
      </c>
      <c r="X5" s="6" t="n">
        <v>10000</v>
      </c>
      <c r="Y5" s="6" t="n">
        <v>10000</v>
      </c>
      <c r="Z5" s="6" t="n">
        <v>10000</v>
      </c>
      <c r="AA5" s="6" t="n">
        <v>10000</v>
      </c>
      <c r="AB5" s="6" t="n">
        <v>10000</v>
      </c>
      <c r="AC5" s="6" t="n">
        <v>10000</v>
      </c>
      <c r="AD5" s="6" t="n">
        <v>10000</v>
      </c>
      <c r="AE5" s="6" t="n">
        <v>10000</v>
      </c>
      <c r="AF5" s="6" t="n">
        <v>10000</v>
      </c>
      <c r="AG5" s="6" t="n">
        <v>10000</v>
      </c>
      <c r="AH5" s="6" t="n">
        <v>10000</v>
      </c>
      <c r="AI5" s="6" t="n">
        <v>8735</v>
      </c>
      <c r="AJ5" s="6" t="n">
        <v>6500</v>
      </c>
      <c r="AK5" s="6" t="n">
        <v>5060</v>
      </c>
      <c r="AL5" s="6" t="n">
        <v>4300</v>
      </c>
      <c r="AM5" s="6" t="n">
        <v>4020</v>
      </c>
      <c r="AN5" s="6" t="n">
        <v>3741</v>
      </c>
      <c r="AO5" s="6" t="n">
        <v>3500</v>
      </c>
      <c r="AP5" s="6" t="n">
        <v>3201</v>
      </c>
      <c r="AQ5" s="6" t="n">
        <v>2520</v>
      </c>
      <c r="AR5" s="6" t="n">
        <v>2450</v>
      </c>
      <c r="AS5" s="6" t="n">
        <v>2169</v>
      </c>
      <c r="AT5" s="6" t="n">
        <v>2090</v>
      </c>
      <c r="AU5" s="6" t="n">
        <v>1966</v>
      </c>
      <c r="AV5" s="6" t="n">
        <v>1961</v>
      </c>
      <c r="AW5" s="6" t="n">
        <v>1961</v>
      </c>
      <c r="AX5" s="6" t="n">
        <v>1961</v>
      </c>
      <c r="AY5" s="6" t="n">
        <v>1960</v>
      </c>
      <c r="AZ5" s="6" t="n">
        <v>1961</v>
      </c>
      <c r="BA5" s="6" t="n">
        <v>1892</v>
      </c>
      <c r="BB5" s="6" t="n">
        <v>1902</v>
      </c>
      <c r="BC5" s="6" t="n">
        <v>1800</v>
      </c>
      <c r="BD5" s="6" t="n">
        <v>1800</v>
      </c>
      <c r="BE5" s="6" t="n">
        <v>1870</v>
      </c>
      <c r="BF5" s="6" t="n">
        <v>1960</v>
      </c>
      <c r="BG5" s="6" t="n">
        <v>1961</v>
      </c>
      <c r="BH5" s="6" t="n">
        <v>2145</v>
      </c>
      <c r="BI5" s="6" t="n">
        <v>2171</v>
      </c>
      <c r="BJ5" s="6" t="n">
        <v>2279</v>
      </c>
      <c r="BK5" s="6" t="n">
        <v>2520</v>
      </c>
      <c r="BL5" s="6" t="n">
        <v>2708</v>
      </c>
      <c r="BM5" s="6" t="n">
        <v>3045</v>
      </c>
      <c r="BN5" s="6" t="n">
        <v>3562</v>
      </c>
      <c r="BO5" s="6" t="n">
        <v>4020</v>
      </c>
      <c r="BP5" s="6" t="n">
        <v>4321</v>
      </c>
      <c r="BQ5" s="6" t="n">
        <v>5084</v>
      </c>
      <c r="BR5" s="6" t="n">
        <v>5250</v>
      </c>
      <c r="BS5" s="6" t="n">
        <v>5613</v>
      </c>
      <c r="BT5" s="6" t="n">
        <v>6001</v>
      </c>
      <c r="BU5" s="6" t="n">
        <v>10000</v>
      </c>
      <c r="BV5" s="6" t="n">
        <v>10000</v>
      </c>
      <c r="BW5" s="6" t="n">
        <v>10000</v>
      </c>
      <c r="BX5" s="6" t="n">
        <v>10000</v>
      </c>
      <c r="BY5" s="6" t="n">
        <v>10000</v>
      </c>
      <c r="BZ5" s="6" t="n">
        <v>10000</v>
      </c>
      <c r="CA5" s="6" t="n">
        <v>10000</v>
      </c>
      <c r="CB5" s="6" t="n">
        <v>10000</v>
      </c>
      <c r="CC5" s="6" t="n">
        <v>10000</v>
      </c>
      <c r="CD5" s="6" t="n">
        <v>10000</v>
      </c>
      <c r="CE5" s="6" t="n">
        <v>10000</v>
      </c>
      <c r="CF5" s="6" t="n">
        <v>10000</v>
      </c>
      <c r="CG5" s="6" t="n">
        <v>10000</v>
      </c>
      <c r="CH5" s="6" t="n">
        <v>10000</v>
      </c>
      <c r="CI5" s="6" t="n">
        <v>10000</v>
      </c>
      <c r="CJ5" s="6" t="n">
        <v>10000</v>
      </c>
      <c r="CK5" s="6" t="n">
        <v>10000</v>
      </c>
      <c r="CL5" s="6" t="n">
        <v>10000</v>
      </c>
      <c r="CM5" s="6" t="n">
        <v>10000</v>
      </c>
      <c r="CN5" s="6" t="n">
        <v>10000</v>
      </c>
      <c r="CO5" s="6" t="n">
        <v>10000</v>
      </c>
      <c r="CP5" s="6" t="n">
        <v>10000</v>
      </c>
      <c r="CQ5" s="6" t="n">
        <v>10000</v>
      </c>
      <c r="CR5" s="6" t="n">
        <v>10000</v>
      </c>
      <c r="CS5" s="6" t="n">
        <v>10000</v>
      </c>
      <c r="CT5" s="6" t="n">
        <v>10000</v>
      </c>
      <c r="CU5" s="6" t="n">
        <v>10000</v>
      </c>
      <c r="CV5" s="6" t="n">
        <v>10000</v>
      </c>
      <c r="CW5" s="6" t="n">
        <v>10000</v>
      </c>
      <c r="CX5" s="6" t="n">
        <v>10000</v>
      </c>
      <c r="CY5" s="6" t="n">
        <v>10000</v>
      </c>
      <c r="CZ5" s="6" t="n">
        <v>10000</v>
      </c>
      <c r="DA5" s="6" t="n">
        <v>10000</v>
      </c>
      <c r="DB5" s="6" t="n">
        <v>10000</v>
      </c>
      <c r="DC5" s="6" t="n">
        <v>10000</v>
      </c>
      <c r="DD5" s="6" t="n">
        <v>10000</v>
      </c>
      <c r="DE5" s="6" t="n">
        <v>10000</v>
      </c>
      <c r="DF5" s="6" t="n">
        <v>10000</v>
      </c>
      <c r="DG5" s="6" t="n">
        <v>10000</v>
      </c>
      <c r="DH5" s="6" t="n">
        <v>8500</v>
      </c>
      <c r="DI5" s="6" t="n">
        <v>7501</v>
      </c>
      <c r="DJ5" s="6" t="n">
        <v>8149</v>
      </c>
      <c r="DK5" s="6" t="n">
        <v>10000</v>
      </c>
      <c r="DL5" s="6" t="n">
        <v>9991</v>
      </c>
      <c r="DM5" s="6" t="n">
        <v>10000</v>
      </c>
      <c r="DN5" s="6" t="n">
        <v>10000</v>
      </c>
      <c r="DO5" s="6" t="n">
        <v>10000</v>
      </c>
      <c r="DP5" s="6" t="n">
        <v>10000</v>
      </c>
      <c r="DQ5" s="6" t="n">
        <v>10000</v>
      </c>
      <c r="DR5" s="6" t="n">
        <v>10000</v>
      </c>
      <c r="DS5" s="6" t="n">
        <v>10000</v>
      </c>
      <c r="DT5" s="6" t="n">
        <v>10000</v>
      </c>
      <c r="DU5" s="6" t="n">
        <v>10000</v>
      </c>
      <c r="DV5" s="6" t="n">
        <v>10000</v>
      </c>
      <c r="DW5" s="6" t="n">
        <v>10000</v>
      </c>
      <c r="DX5" s="6" t="n">
        <v>10000</v>
      </c>
      <c r="DY5" s="6" t="n">
        <v>10000</v>
      </c>
      <c r="DZ5" s="6" t="n">
        <v>10000</v>
      </c>
      <c r="EA5" s="6" t="n">
        <v>8735</v>
      </c>
      <c r="EB5" s="6" t="n">
        <v>6500</v>
      </c>
      <c r="EC5" s="6" t="n">
        <v>5060</v>
      </c>
      <c r="ED5" s="6" t="n">
        <v>4300</v>
      </c>
      <c r="EE5" s="6" t="n">
        <v>4020</v>
      </c>
      <c r="EF5" s="6" t="n">
        <v>3741</v>
      </c>
      <c r="EG5" s="6" t="n">
        <v>3500</v>
      </c>
      <c r="EH5" s="6" t="n">
        <v>3201</v>
      </c>
      <c r="EI5" s="6" t="n">
        <v>2520</v>
      </c>
      <c r="EJ5" s="6" t="n">
        <v>2450</v>
      </c>
      <c r="EK5" s="6" t="n">
        <v>2169</v>
      </c>
      <c r="EL5" s="6" t="n">
        <v>2090</v>
      </c>
      <c r="EM5" s="6" t="n">
        <v>1966</v>
      </c>
      <c r="EN5" s="6" t="n">
        <v>1961</v>
      </c>
      <c r="EO5" s="6" t="n">
        <v>1961</v>
      </c>
      <c r="EP5" s="6" t="n">
        <v>1961</v>
      </c>
      <c r="EQ5" s="6" t="n">
        <v>1960</v>
      </c>
      <c r="ER5" s="6" t="n">
        <v>1961</v>
      </c>
      <c r="ES5" s="6" t="n">
        <v>1892</v>
      </c>
      <c r="ET5" s="6" t="n">
        <v>1902</v>
      </c>
      <c r="EU5" s="6" t="n">
        <v>1800</v>
      </c>
      <c r="EV5" s="6" t="n">
        <v>1800</v>
      </c>
      <c r="EW5" s="6" t="n">
        <v>1870</v>
      </c>
      <c r="EX5" s="6" t="n">
        <v>1960</v>
      </c>
      <c r="EY5" s="6" t="n">
        <v>1961</v>
      </c>
      <c r="EZ5" s="6" t="n">
        <v>2145</v>
      </c>
      <c r="FA5" s="6" t="n">
        <v>2171</v>
      </c>
      <c r="FB5" s="6" t="n">
        <v>2279</v>
      </c>
      <c r="FC5" s="6" t="n">
        <v>2520</v>
      </c>
      <c r="FD5" s="6" t="n">
        <v>2708</v>
      </c>
      <c r="FE5" s="6" t="n">
        <v>3045</v>
      </c>
      <c r="FF5" s="6" t="n">
        <v>3562</v>
      </c>
      <c r="FG5" s="6" t="n">
        <v>4020</v>
      </c>
      <c r="FH5" s="6" t="n">
        <v>4321</v>
      </c>
      <c r="FI5" s="6" t="n">
        <v>5084</v>
      </c>
      <c r="FJ5" s="6" t="n">
        <v>5250</v>
      </c>
      <c r="FK5" s="6" t="n">
        <v>5613</v>
      </c>
      <c r="FL5" s="6" t="n">
        <v>6001</v>
      </c>
      <c r="FM5" s="6" t="n">
        <v>10000</v>
      </c>
      <c r="FN5" s="6" t="n">
        <v>10000</v>
      </c>
      <c r="FO5" s="6" t="n">
        <v>10000</v>
      </c>
      <c r="FP5" s="6" t="n">
        <v>10000</v>
      </c>
      <c r="FQ5" s="6" t="n">
        <v>10000</v>
      </c>
      <c r="FR5" s="6" t="n">
        <v>10000</v>
      </c>
      <c r="FS5" s="6" t="n">
        <v>10000</v>
      </c>
      <c r="FT5" s="6" t="n">
        <v>10000</v>
      </c>
      <c r="FU5" s="6" t="n">
        <v>10000</v>
      </c>
      <c r="FV5" s="6" t="n">
        <v>10000</v>
      </c>
      <c r="FW5" s="6" t="n">
        <v>10000</v>
      </c>
      <c r="FX5" s="6" t="n">
        <v>10000</v>
      </c>
      <c r="FY5" s="6" t="n">
        <v>10000</v>
      </c>
      <c r="FZ5" s="6" t="n">
        <v>10000</v>
      </c>
      <c r="GA5" s="6" t="n">
        <v>10000</v>
      </c>
      <c r="GB5" s="6" t="n">
        <v>10000</v>
      </c>
      <c r="GC5" s="6" t="n">
        <v>10000</v>
      </c>
      <c r="GD5" s="6" t="n">
        <v>10000</v>
      </c>
      <c r="GE5" s="6" t="n">
        <v>10000</v>
      </c>
      <c r="GF5" s="6" t="n">
        <v>10000</v>
      </c>
      <c r="GG5" s="6" t="n">
        <v>10000</v>
      </c>
      <c r="GH5" s="6" t="n">
        <v>10000</v>
      </c>
      <c r="GI5" s="6" t="n">
        <v>10000</v>
      </c>
      <c r="GJ5" s="6" t="n">
        <v>10000</v>
      </c>
      <c r="GK5" s="6" t="n">
        <v>10000</v>
      </c>
      <c r="GL5" s="6" t="n">
        <v>10000</v>
      </c>
    </row>
    <row r="6">
      <c r="A6" s="6" t="inlineStr">
        <is>
          <t>DAM</t>
        </is>
      </c>
      <c r="B6" s="6" t="n">
        <v>3</v>
      </c>
      <c r="C6" s="6" t="n">
        <v>10000</v>
      </c>
      <c r="D6" s="6" t="n">
        <v>10000</v>
      </c>
      <c r="E6" s="6" t="n">
        <v>10000</v>
      </c>
      <c r="F6" s="6" t="n">
        <v>10000</v>
      </c>
      <c r="G6" s="6" t="n">
        <v>10000</v>
      </c>
      <c r="H6" s="6" t="n">
        <v>10000</v>
      </c>
      <c r="I6" s="6" t="n">
        <v>10000</v>
      </c>
      <c r="J6" s="6" t="n">
        <v>10000</v>
      </c>
      <c r="K6" s="6" t="n">
        <v>10000</v>
      </c>
      <c r="L6" s="6" t="n">
        <v>10000</v>
      </c>
      <c r="M6" s="6" t="n">
        <v>10000</v>
      </c>
      <c r="N6" s="6" t="n">
        <v>10000</v>
      </c>
      <c r="O6" s="6" t="n">
        <v>10000</v>
      </c>
      <c r="P6" s="6" t="n">
        <v>10000</v>
      </c>
      <c r="Q6" s="6" t="n">
        <v>10000</v>
      </c>
      <c r="R6" s="6" t="n">
        <v>10000</v>
      </c>
      <c r="S6" s="6" t="n">
        <v>10000</v>
      </c>
      <c r="T6" s="6" t="n">
        <v>10000</v>
      </c>
      <c r="U6" s="6" t="n">
        <v>10000</v>
      </c>
      <c r="V6" s="6" t="n">
        <v>10000</v>
      </c>
      <c r="W6" s="6" t="n">
        <v>10000</v>
      </c>
      <c r="X6" s="6" t="n">
        <v>10000</v>
      </c>
      <c r="Y6" s="6" t="n">
        <v>10000</v>
      </c>
      <c r="Z6" s="6" t="n">
        <v>10000</v>
      </c>
      <c r="AA6" s="6" t="n">
        <v>10000</v>
      </c>
      <c r="AB6" s="6" t="n">
        <v>10000</v>
      </c>
      <c r="AC6" s="6" t="n">
        <v>10000</v>
      </c>
      <c r="AD6" s="6" t="n">
        <v>10000</v>
      </c>
      <c r="AE6" s="6" t="n">
        <v>10000</v>
      </c>
      <c r="AF6" s="6" t="n">
        <v>10000</v>
      </c>
      <c r="AG6" s="6" t="n">
        <v>10000</v>
      </c>
      <c r="AH6" s="6" t="n">
        <v>10000</v>
      </c>
      <c r="AI6" s="6" t="n">
        <v>10000</v>
      </c>
      <c r="AJ6" s="6" t="n">
        <v>8001</v>
      </c>
      <c r="AK6" s="6" t="n">
        <v>6902</v>
      </c>
      <c r="AL6" s="6" t="n">
        <v>4913</v>
      </c>
      <c r="AM6" s="6" t="n">
        <v>4118</v>
      </c>
      <c r="AN6" s="6" t="n">
        <v>3712</v>
      </c>
      <c r="AO6" s="6" t="n">
        <v>3289</v>
      </c>
      <c r="AP6" s="6" t="n">
        <v>3067</v>
      </c>
      <c r="AQ6" s="6" t="n">
        <v>2514</v>
      </c>
      <c r="AR6" s="6" t="n">
        <v>2279</v>
      </c>
      <c r="AS6" s="6" t="n">
        <v>2231</v>
      </c>
      <c r="AT6" s="6" t="n">
        <v>2199</v>
      </c>
      <c r="AU6" s="6" t="n">
        <v>2164</v>
      </c>
      <c r="AV6" s="6" t="n">
        <v>2159</v>
      </c>
      <c r="AW6" s="6" t="n">
        <v>2101</v>
      </c>
      <c r="AX6" s="6" t="n">
        <v>2075</v>
      </c>
      <c r="AY6" s="6" t="n">
        <v>1991</v>
      </c>
      <c r="AZ6" s="6" t="n">
        <v>1967</v>
      </c>
      <c r="BA6" s="6" t="n">
        <v>1960</v>
      </c>
      <c r="BB6" s="6" t="n">
        <v>1941</v>
      </c>
      <c r="BC6" s="6" t="n">
        <v>1870</v>
      </c>
      <c r="BD6" s="6" t="n">
        <v>1885</v>
      </c>
      <c r="BE6" s="6" t="n">
        <v>1960</v>
      </c>
      <c r="BF6" s="6" t="n">
        <v>1967</v>
      </c>
      <c r="BG6" s="6" t="n">
        <v>2158</v>
      </c>
      <c r="BH6" s="6" t="n">
        <v>2200</v>
      </c>
      <c r="BI6" s="6" t="n">
        <v>2545</v>
      </c>
      <c r="BJ6" s="6" t="n">
        <v>2709</v>
      </c>
      <c r="BK6" s="6" t="n">
        <v>3257</v>
      </c>
      <c r="BL6" s="6" t="n">
        <v>3475</v>
      </c>
      <c r="BM6" s="6" t="n">
        <v>3500</v>
      </c>
      <c r="BN6" s="6" t="n">
        <v>3614</v>
      </c>
      <c r="BO6" s="6" t="n">
        <v>4116</v>
      </c>
      <c r="BP6" s="6" t="n">
        <v>4364</v>
      </c>
      <c r="BQ6" s="6" t="n">
        <v>5484</v>
      </c>
      <c r="BR6" s="6" t="n">
        <v>5571</v>
      </c>
      <c r="BS6" s="6" t="n">
        <v>10000</v>
      </c>
      <c r="BT6" s="6" t="n">
        <v>10000</v>
      </c>
      <c r="BU6" s="6" t="n">
        <v>10000</v>
      </c>
      <c r="BV6" s="6" t="n">
        <v>10000</v>
      </c>
      <c r="BW6" s="6" t="n">
        <v>10000</v>
      </c>
      <c r="BX6" s="6" t="n">
        <v>10000</v>
      </c>
      <c r="BY6" s="6" t="n">
        <v>10000</v>
      </c>
      <c r="BZ6" s="6" t="n">
        <v>10000</v>
      </c>
      <c r="CA6" s="6" t="n">
        <v>10000</v>
      </c>
      <c r="CB6" s="6" t="n">
        <v>10000</v>
      </c>
      <c r="CC6" s="6" t="n">
        <v>10000</v>
      </c>
      <c r="CD6" s="6" t="n">
        <v>10000</v>
      </c>
      <c r="CE6" s="6" t="n">
        <v>10000</v>
      </c>
      <c r="CF6" s="6" t="n">
        <v>10000</v>
      </c>
      <c r="CG6" s="6" t="n">
        <v>10000</v>
      </c>
      <c r="CH6" s="6" t="n">
        <v>10000</v>
      </c>
      <c r="CI6" s="6" t="n">
        <v>10000</v>
      </c>
      <c r="CJ6" s="6" t="n">
        <v>10000</v>
      </c>
      <c r="CK6" s="6" t="n">
        <v>10000</v>
      </c>
      <c r="CL6" s="6" t="n">
        <v>10000</v>
      </c>
      <c r="CM6" s="6" t="n">
        <v>10000</v>
      </c>
      <c r="CN6" s="6" t="n">
        <v>10000</v>
      </c>
      <c r="CO6" s="6" t="n">
        <v>10000</v>
      </c>
      <c r="CP6" s="6" t="n">
        <v>10000</v>
      </c>
      <c r="CQ6" s="6" t="n">
        <v>10000</v>
      </c>
      <c r="CR6" s="6" t="n">
        <v>10000</v>
      </c>
      <c r="CS6" s="6" t="n">
        <v>10000</v>
      </c>
      <c r="CT6" s="6" t="n">
        <v>10000</v>
      </c>
      <c r="CU6" s="6" t="n">
        <v>10000</v>
      </c>
      <c r="CV6" s="6" t="n">
        <v>10000</v>
      </c>
      <c r="CW6" s="6" t="n">
        <v>10000</v>
      </c>
      <c r="CX6" s="6" t="n">
        <v>10000</v>
      </c>
      <c r="CY6" s="6" t="n">
        <v>10000</v>
      </c>
      <c r="CZ6" s="6" t="n">
        <v>10000</v>
      </c>
      <c r="DA6" s="6" t="n">
        <v>10000</v>
      </c>
      <c r="DB6" s="6" t="n">
        <v>10000</v>
      </c>
      <c r="DC6" s="6" t="n">
        <v>10000</v>
      </c>
      <c r="DD6" s="6" t="n">
        <v>10000</v>
      </c>
      <c r="DE6" s="6" t="n">
        <v>10000</v>
      </c>
      <c r="DF6" s="6" t="n">
        <v>10000</v>
      </c>
      <c r="DG6" s="6" t="n">
        <v>10000</v>
      </c>
      <c r="DH6" s="6" t="n">
        <v>10000</v>
      </c>
      <c r="DI6" s="6" t="n">
        <v>10000</v>
      </c>
      <c r="DJ6" s="6" t="n">
        <v>10000</v>
      </c>
      <c r="DK6" s="6" t="n">
        <v>10000</v>
      </c>
      <c r="DL6" s="6" t="n">
        <v>10000</v>
      </c>
      <c r="DM6" s="6" t="n">
        <v>10000</v>
      </c>
      <c r="DN6" s="6" t="n">
        <v>10000</v>
      </c>
      <c r="DO6" s="6" t="n">
        <v>10000</v>
      </c>
      <c r="DP6" s="6" t="n">
        <v>10000</v>
      </c>
      <c r="DQ6" s="6" t="n">
        <v>10000</v>
      </c>
      <c r="DR6" s="6" t="n">
        <v>10000</v>
      </c>
      <c r="DS6" s="6" t="n">
        <v>10000</v>
      </c>
      <c r="DT6" s="6" t="n">
        <v>10000</v>
      </c>
      <c r="DU6" s="6" t="n">
        <v>10000</v>
      </c>
      <c r="DV6" s="6" t="n">
        <v>10000</v>
      </c>
      <c r="DW6" s="6" t="n">
        <v>10000</v>
      </c>
      <c r="DX6" s="6" t="n">
        <v>10000</v>
      </c>
      <c r="DY6" s="6" t="n">
        <v>10000</v>
      </c>
      <c r="DZ6" s="6" t="n">
        <v>10000</v>
      </c>
      <c r="EA6" s="6" t="n">
        <v>10000</v>
      </c>
      <c r="EB6" s="6" t="n">
        <v>8001</v>
      </c>
      <c r="EC6" s="6" t="n">
        <v>6902</v>
      </c>
      <c r="ED6" s="6" t="n">
        <v>4913</v>
      </c>
      <c r="EE6" s="6" t="n">
        <v>4118</v>
      </c>
      <c r="EF6" s="6" t="n">
        <v>3712</v>
      </c>
      <c r="EG6" s="6" t="n">
        <v>3289</v>
      </c>
      <c r="EH6" s="6" t="n">
        <v>3067</v>
      </c>
      <c r="EI6" s="6" t="n">
        <v>2514</v>
      </c>
      <c r="EJ6" s="6" t="n">
        <v>2279</v>
      </c>
      <c r="EK6" s="6" t="n">
        <v>2231</v>
      </c>
      <c r="EL6" s="6" t="n">
        <v>2199</v>
      </c>
      <c r="EM6" s="6" t="n">
        <v>2164</v>
      </c>
      <c r="EN6" s="6" t="n">
        <v>2159</v>
      </c>
      <c r="EO6" s="6" t="n">
        <v>2101</v>
      </c>
      <c r="EP6" s="6" t="n">
        <v>2075</v>
      </c>
      <c r="EQ6" s="6" t="n">
        <v>1991</v>
      </c>
      <c r="ER6" s="6" t="n">
        <v>1967</v>
      </c>
      <c r="ES6" s="6" t="n">
        <v>1960</v>
      </c>
      <c r="ET6" s="6" t="n">
        <v>1941</v>
      </c>
      <c r="EU6" s="6" t="n">
        <v>1870</v>
      </c>
      <c r="EV6" s="6" t="n">
        <v>1885</v>
      </c>
      <c r="EW6" s="6" t="n">
        <v>1960</v>
      </c>
      <c r="EX6" s="6" t="n">
        <v>1967</v>
      </c>
      <c r="EY6" s="6" t="n">
        <v>2158</v>
      </c>
      <c r="EZ6" s="6" t="n">
        <v>2200</v>
      </c>
      <c r="FA6" s="6" t="n">
        <v>2545</v>
      </c>
      <c r="FB6" s="6" t="n">
        <v>2709</v>
      </c>
      <c r="FC6" s="6" t="n">
        <v>3257</v>
      </c>
      <c r="FD6" s="6" t="n">
        <v>3475</v>
      </c>
      <c r="FE6" s="6" t="n">
        <v>3500</v>
      </c>
      <c r="FF6" s="6" t="n">
        <v>3614</v>
      </c>
      <c r="FG6" s="6" t="n">
        <v>4116</v>
      </c>
      <c r="FH6" s="6" t="n">
        <v>4364</v>
      </c>
      <c r="FI6" s="6" t="n">
        <v>5484</v>
      </c>
      <c r="FJ6" s="6" t="n">
        <v>5571</v>
      </c>
      <c r="FK6" s="6" t="n">
        <v>10000</v>
      </c>
      <c r="FL6" s="6" t="n">
        <v>10000</v>
      </c>
      <c r="FM6" s="6" t="n">
        <v>10000</v>
      </c>
      <c r="FN6" s="6" t="n">
        <v>10000</v>
      </c>
      <c r="FO6" s="6" t="n">
        <v>10000</v>
      </c>
      <c r="FP6" s="6" t="n">
        <v>10000</v>
      </c>
      <c r="FQ6" s="6" t="n">
        <v>10000</v>
      </c>
      <c r="FR6" s="6" t="n">
        <v>10000</v>
      </c>
      <c r="FS6" s="6" t="n">
        <v>10000</v>
      </c>
      <c r="FT6" s="6" t="n">
        <v>10000</v>
      </c>
      <c r="FU6" s="6" t="n">
        <v>10000</v>
      </c>
      <c r="FV6" s="6" t="n">
        <v>10000</v>
      </c>
      <c r="FW6" s="6" t="n">
        <v>10000</v>
      </c>
      <c r="FX6" s="6" t="n">
        <v>10000</v>
      </c>
      <c r="FY6" s="6" t="n">
        <v>10000</v>
      </c>
      <c r="FZ6" s="6" t="n">
        <v>10000</v>
      </c>
      <c r="GA6" s="6" t="n">
        <v>10000</v>
      </c>
      <c r="GB6" s="6" t="n">
        <v>10000</v>
      </c>
      <c r="GC6" s="6" t="n">
        <v>10000</v>
      </c>
      <c r="GD6" s="6" t="n">
        <v>10000</v>
      </c>
      <c r="GE6" s="6" t="n">
        <v>10000</v>
      </c>
      <c r="GF6" s="6" t="n">
        <v>10000</v>
      </c>
      <c r="GG6" s="6" t="n">
        <v>10000</v>
      </c>
      <c r="GH6" s="6" t="n">
        <v>10000</v>
      </c>
      <c r="GI6" s="6" t="n">
        <v>10000</v>
      </c>
      <c r="GJ6" s="6" t="n">
        <v>10000</v>
      </c>
      <c r="GK6" s="6" t="n">
        <v>10000</v>
      </c>
      <c r="GL6" s="6" t="n">
        <v>10000</v>
      </c>
    </row>
    <row r="7">
      <c r="A7" s="6" t="inlineStr">
        <is>
          <t>DAM</t>
        </is>
      </c>
      <c r="B7" s="6" t="n">
        <v>4</v>
      </c>
      <c r="C7" s="6" t="n">
        <v>10000</v>
      </c>
      <c r="D7" s="6" t="n">
        <v>10000</v>
      </c>
      <c r="E7" s="6" t="n">
        <v>10000</v>
      </c>
      <c r="F7" s="6" t="n">
        <v>10000</v>
      </c>
      <c r="G7" s="6" t="n">
        <v>10000</v>
      </c>
      <c r="H7" s="6" t="n">
        <v>10000</v>
      </c>
      <c r="I7" s="6" t="n">
        <v>10000</v>
      </c>
      <c r="J7" s="6" t="n">
        <v>10000</v>
      </c>
      <c r="K7" s="6" t="n">
        <v>10000</v>
      </c>
      <c r="L7" s="6" t="n">
        <v>10000</v>
      </c>
      <c r="M7" s="6" t="n">
        <v>10000</v>
      </c>
      <c r="N7" s="6" t="n">
        <v>10000</v>
      </c>
      <c r="O7" s="6" t="n">
        <v>10000</v>
      </c>
      <c r="P7" s="6" t="n">
        <v>10000</v>
      </c>
      <c r="Q7" s="6" t="n">
        <v>10000</v>
      </c>
      <c r="R7" s="6" t="n">
        <v>10000</v>
      </c>
      <c r="S7" s="6" t="n">
        <v>10000</v>
      </c>
      <c r="T7" s="6" t="n">
        <v>10000</v>
      </c>
      <c r="U7" s="6" t="n">
        <v>10000</v>
      </c>
      <c r="V7" s="6" t="n">
        <v>10000</v>
      </c>
      <c r="W7" s="6" t="n">
        <v>10000</v>
      </c>
      <c r="X7" s="6" t="n">
        <v>10000</v>
      </c>
      <c r="Y7" s="6" t="n">
        <v>10000</v>
      </c>
      <c r="Z7" s="6" t="n">
        <v>10000</v>
      </c>
      <c r="AA7" s="6" t="n">
        <v>10000</v>
      </c>
      <c r="AB7" s="6" t="n">
        <v>10000</v>
      </c>
      <c r="AC7" s="6" t="n">
        <v>10000</v>
      </c>
      <c r="AD7" s="6" t="n">
        <v>10000</v>
      </c>
      <c r="AE7" s="6" t="n">
        <v>10000</v>
      </c>
      <c r="AF7" s="6" t="n">
        <v>10000</v>
      </c>
      <c r="AG7" s="6" t="n">
        <v>10000</v>
      </c>
      <c r="AH7" s="6" t="n">
        <v>10000</v>
      </c>
      <c r="AI7" s="6" t="n">
        <v>10000</v>
      </c>
      <c r="AJ7" s="6" t="n">
        <v>10000</v>
      </c>
      <c r="AK7" s="6" t="n">
        <v>4364</v>
      </c>
      <c r="AL7" s="6" t="n">
        <v>4012</v>
      </c>
      <c r="AM7" s="6" t="n">
        <v>3311</v>
      </c>
      <c r="AN7" s="6" t="n">
        <v>3000</v>
      </c>
      <c r="AO7" s="6" t="n">
        <v>2670</v>
      </c>
      <c r="AP7" s="6" t="n">
        <v>2661</v>
      </c>
      <c r="AQ7" s="6" t="n">
        <v>2449</v>
      </c>
      <c r="AR7" s="6" t="n">
        <v>2279</v>
      </c>
      <c r="AS7" s="6" t="n">
        <v>2093</v>
      </c>
      <c r="AT7" s="6" t="n">
        <v>2094</v>
      </c>
      <c r="AU7" s="6" t="n">
        <v>1966</v>
      </c>
      <c r="AV7" s="6" t="n">
        <v>1966</v>
      </c>
      <c r="AW7" s="6" t="n">
        <v>1966</v>
      </c>
      <c r="AX7" s="6" t="n">
        <v>1961</v>
      </c>
      <c r="AY7" s="6" t="n">
        <v>1916</v>
      </c>
      <c r="AZ7" s="6" t="n">
        <v>1897</v>
      </c>
      <c r="BA7" s="6" t="n">
        <v>1701</v>
      </c>
      <c r="BB7" s="6" t="n">
        <v>1701</v>
      </c>
      <c r="BC7" s="6" t="n">
        <v>1700</v>
      </c>
      <c r="BD7" s="6" t="n">
        <v>1700</v>
      </c>
      <c r="BE7" s="6" t="n">
        <v>1700</v>
      </c>
      <c r="BF7" s="6" t="n">
        <v>1700</v>
      </c>
      <c r="BG7" s="6" t="n">
        <v>1751</v>
      </c>
      <c r="BH7" s="6" t="n">
        <v>1960</v>
      </c>
      <c r="BI7" s="6" t="n">
        <v>2159</v>
      </c>
      <c r="BJ7" s="6" t="n">
        <v>2341</v>
      </c>
      <c r="BK7" s="6" t="n">
        <v>2671</v>
      </c>
      <c r="BL7" s="6" t="n">
        <v>2871</v>
      </c>
      <c r="BM7" s="6" t="n">
        <v>3160</v>
      </c>
      <c r="BN7" s="6" t="n">
        <v>3301</v>
      </c>
      <c r="BO7" s="6" t="n">
        <v>3499</v>
      </c>
      <c r="BP7" s="6" t="n">
        <v>3974</v>
      </c>
      <c r="BQ7" s="6" t="n">
        <v>4020</v>
      </c>
      <c r="BR7" s="6" t="n">
        <v>4167</v>
      </c>
      <c r="BS7" s="6" t="n">
        <v>6501</v>
      </c>
      <c r="BT7" s="6" t="n">
        <v>9999</v>
      </c>
      <c r="BU7" s="6" t="n">
        <v>10000</v>
      </c>
      <c r="BV7" s="6" t="n">
        <v>10000</v>
      </c>
      <c r="BW7" s="6" t="n">
        <v>10000</v>
      </c>
      <c r="BX7" s="6" t="n">
        <v>10000</v>
      </c>
      <c r="BY7" s="6" t="n">
        <v>10000</v>
      </c>
      <c r="BZ7" s="6" t="n">
        <v>10000</v>
      </c>
      <c r="CA7" s="6" t="n">
        <v>10000</v>
      </c>
      <c r="CB7" s="6" t="n">
        <v>10000</v>
      </c>
      <c r="CC7" s="6" t="n">
        <v>10000</v>
      </c>
      <c r="CD7" s="6" t="n">
        <v>10000</v>
      </c>
      <c r="CE7" s="6" t="n">
        <v>10000</v>
      </c>
      <c r="CF7" s="6" t="n">
        <v>10000</v>
      </c>
      <c r="CG7" s="6" t="n">
        <v>10000</v>
      </c>
      <c r="CH7" s="6" t="n">
        <v>10000</v>
      </c>
      <c r="CI7" s="6" t="n">
        <v>10000</v>
      </c>
      <c r="CJ7" s="6" t="n">
        <v>10000</v>
      </c>
      <c r="CK7" s="6" t="n">
        <v>10000</v>
      </c>
      <c r="CL7" s="6" t="n">
        <v>10000</v>
      </c>
      <c r="CM7" s="6" t="n">
        <v>10000</v>
      </c>
      <c r="CN7" s="6" t="n">
        <v>10000</v>
      </c>
      <c r="CO7" s="6" t="n">
        <v>10000</v>
      </c>
      <c r="CP7" s="6" t="n">
        <v>10000</v>
      </c>
      <c r="CQ7" s="6" t="n">
        <v>10000</v>
      </c>
      <c r="CR7" s="6" t="n">
        <v>10000</v>
      </c>
      <c r="CS7" s="6" t="n">
        <v>10000</v>
      </c>
      <c r="CT7" s="6" t="n">
        <v>10000</v>
      </c>
      <c r="CU7" s="6" t="n">
        <v>10000</v>
      </c>
      <c r="CV7" s="6" t="n">
        <v>10000</v>
      </c>
      <c r="CW7" s="6" t="n">
        <v>10000</v>
      </c>
      <c r="CX7" s="6" t="n">
        <v>10000</v>
      </c>
      <c r="CY7" s="6" t="n">
        <v>10000</v>
      </c>
      <c r="CZ7" s="6" t="n">
        <v>10000</v>
      </c>
      <c r="DA7" s="6" t="n">
        <v>10000</v>
      </c>
      <c r="DB7" s="6" t="n">
        <v>10000</v>
      </c>
      <c r="DC7" s="6" t="n">
        <v>10000</v>
      </c>
      <c r="DD7" s="6" t="n">
        <v>10000</v>
      </c>
      <c r="DE7" s="6" t="n">
        <v>10000</v>
      </c>
      <c r="DF7" s="6" t="n">
        <v>10000</v>
      </c>
      <c r="DG7" s="6" t="n">
        <v>10000</v>
      </c>
      <c r="DH7" s="6" t="n">
        <v>10000</v>
      </c>
      <c r="DI7" s="6" t="n">
        <v>10000</v>
      </c>
      <c r="DJ7" s="6" t="n">
        <v>10000</v>
      </c>
      <c r="DK7" s="6" t="n">
        <v>10000</v>
      </c>
      <c r="DL7" s="6" t="n">
        <v>10000</v>
      </c>
      <c r="DM7" s="6" t="n">
        <v>10000</v>
      </c>
      <c r="DN7" s="6" t="n">
        <v>10000</v>
      </c>
      <c r="DO7" s="6" t="n">
        <v>10000</v>
      </c>
      <c r="DP7" s="6" t="n">
        <v>10000</v>
      </c>
      <c r="DQ7" s="6" t="n">
        <v>10000</v>
      </c>
      <c r="DR7" s="6" t="n">
        <v>10000</v>
      </c>
      <c r="DS7" s="6" t="n">
        <v>10000</v>
      </c>
      <c r="DT7" s="6" t="n">
        <v>10000</v>
      </c>
      <c r="DU7" s="6" t="n">
        <v>10000</v>
      </c>
      <c r="DV7" s="6" t="n">
        <v>10000</v>
      </c>
      <c r="DW7" s="6" t="n">
        <v>10000</v>
      </c>
      <c r="DX7" s="6" t="n">
        <v>10000</v>
      </c>
      <c r="DY7" s="6" t="n">
        <v>10000</v>
      </c>
      <c r="DZ7" s="6" t="n">
        <v>10000</v>
      </c>
      <c r="EA7" s="6" t="n">
        <v>10000</v>
      </c>
      <c r="EB7" s="6" t="n">
        <v>10000</v>
      </c>
      <c r="EC7" s="6" t="n">
        <v>4364</v>
      </c>
      <c r="ED7" s="6" t="n">
        <v>4012</v>
      </c>
      <c r="EE7" s="6" t="n">
        <v>3311</v>
      </c>
      <c r="EF7" s="6" t="n">
        <v>3000</v>
      </c>
      <c r="EG7" s="6" t="n">
        <v>2670</v>
      </c>
      <c r="EH7" s="6" t="n">
        <v>2661</v>
      </c>
      <c r="EI7" s="6" t="n">
        <v>2449</v>
      </c>
      <c r="EJ7" s="6" t="n">
        <v>2279</v>
      </c>
      <c r="EK7" s="6" t="n">
        <v>2093</v>
      </c>
      <c r="EL7" s="6" t="n">
        <v>2094</v>
      </c>
      <c r="EM7" s="6" t="n">
        <v>1966</v>
      </c>
      <c r="EN7" s="6" t="n">
        <v>1966</v>
      </c>
      <c r="EO7" s="6" t="n">
        <v>1966</v>
      </c>
      <c r="EP7" s="6" t="n">
        <v>1961</v>
      </c>
      <c r="EQ7" s="6" t="n">
        <v>1916</v>
      </c>
      <c r="ER7" s="6" t="n">
        <v>1897</v>
      </c>
      <c r="ES7" s="6" t="n">
        <v>1701</v>
      </c>
      <c r="ET7" s="6" t="n">
        <v>1701</v>
      </c>
      <c r="EU7" s="6" t="n">
        <v>1700</v>
      </c>
      <c r="EV7" s="6" t="n">
        <v>1700</v>
      </c>
      <c r="EW7" s="6" t="n">
        <v>1700</v>
      </c>
      <c r="EX7" s="6" t="n">
        <v>1700</v>
      </c>
      <c r="EY7" s="6" t="n">
        <v>1751</v>
      </c>
      <c r="EZ7" s="6" t="n">
        <v>1960</v>
      </c>
      <c r="FA7" s="6" t="n">
        <v>2159</v>
      </c>
      <c r="FB7" s="6" t="n">
        <v>2341</v>
      </c>
      <c r="FC7" s="6" t="n">
        <v>2671</v>
      </c>
      <c r="FD7" s="6" t="n">
        <v>2871</v>
      </c>
      <c r="FE7" s="6" t="n">
        <v>3160</v>
      </c>
      <c r="FF7" s="6" t="n">
        <v>3301</v>
      </c>
      <c r="FG7" s="6" t="n">
        <v>3499</v>
      </c>
      <c r="FH7" s="6" t="n">
        <v>3974</v>
      </c>
      <c r="FI7" s="6" t="n">
        <v>4020</v>
      </c>
      <c r="FJ7" s="6" t="n">
        <v>4167</v>
      </c>
      <c r="FK7" s="6" t="n">
        <v>6501</v>
      </c>
      <c r="FL7" s="6" t="n">
        <v>9999</v>
      </c>
      <c r="FM7" s="6" t="n">
        <v>10000</v>
      </c>
      <c r="FN7" s="6" t="n">
        <v>10000</v>
      </c>
      <c r="FO7" s="6" t="n">
        <v>10000</v>
      </c>
      <c r="FP7" s="6" t="n">
        <v>10000</v>
      </c>
      <c r="FQ7" s="6" t="n">
        <v>10000</v>
      </c>
      <c r="FR7" s="6" t="n">
        <v>10000</v>
      </c>
      <c r="FS7" s="6" t="n">
        <v>10000</v>
      </c>
      <c r="FT7" s="6" t="n">
        <v>10000</v>
      </c>
      <c r="FU7" s="6" t="n">
        <v>10000</v>
      </c>
      <c r="FV7" s="6" t="n">
        <v>10000</v>
      </c>
      <c r="FW7" s="6" t="n">
        <v>10000</v>
      </c>
      <c r="FX7" s="6" t="n">
        <v>10000</v>
      </c>
      <c r="FY7" s="6" t="n">
        <v>10000</v>
      </c>
      <c r="FZ7" s="6" t="n">
        <v>10000</v>
      </c>
      <c r="GA7" s="6" t="n">
        <v>10000</v>
      </c>
      <c r="GB7" s="6" t="n">
        <v>10000</v>
      </c>
      <c r="GC7" s="6" t="n">
        <v>10000</v>
      </c>
      <c r="GD7" s="6" t="n">
        <v>10000</v>
      </c>
      <c r="GE7" s="6" t="n">
        <v>10000</v>
      </c>
      <c r="GF7" s="6" t="n">
        <v>10000</v>
      </c>
      <c r="GG7" s="6" t="n">
        <v>10000</v>
      </c>
      <c r="GH7" s="6" t="n">
        <v>10000</v>
      </c>
      <c r="GI7" s="6" t="n">
        <v>10000</v>
      </c>
      <c r="GJ7" s="6" t="n">
        <v>10000</v>
      </c>
      <c r="GK7" s="6" t="n">
        <v>10000</v>
      </c>
      <c r="GL7" s="6" t="n">
        <v>10000</v>
      </c>
    </row>
    <row r="8">
      <c r="A8" s="6" t="inlineStr">
        <is>
          <t>DAM</t>
        </is>
      </c>
      <c r="B8" s="6" t="n">
        <v>5</v>
      </c>
      <c r="C8" s="6" t="n">
        <v>10000</v>
      </c>
      <c r="D8" s="6" t="n">
        <v>10000</v>
      </c>
      <c r="E8" s="6" t="n">
        <v>10000</v>
      </c>
      <c r="F8" s="6" t="n">
        <v>10000</v>
      </c>
      <c r="G8" s="6" t="n">
        <v>10000</v>
      </c>
      <c r="H8" s="6" t="n">
        <v>10000</v>
      </c>
      <c r="I8" s="6" t="n">
        <v>10000</v>
      </c>
      <c r="J8" s="6" t="n">
        <v>10000</v>
      </c>
      <c r="K8" s="6" t="n">
        <v>10000</v>
      </c>
      <c r="L8" s="6" t="n">
        <v>10000</v>
      </c>
      <c r="M8" s="6" t="n">
        <v>10000</v>
      </c>
      <c r="N8" s="6" t="n">
        <v>10000</v>
      </c>
      <c r="O8" s="6" t="n">
        <v>10000</v>
      </c>
      <c r="P8" s="6" t="n">
        <v>10000</v>
      </c>
      <c r="Q8" s="6" t="n">
        <v>10000</v>
      </c>
      <c r="R8" s="6" t="n">
        <v>10000</v>
      </c>
      <c r="S8" s="6" t="n">
        <v>10000</v>
      </c>
      <c r="T8" s="6" t="n">
        <v>10000</v>
      </c>
      <c r="U8" s="6" t="n">
        <v>10000</v>
      </c>
      <c r="V8" s="6" t="n">
        <v>10000</v>
      </c>
      <c r="W8" s="6" t="n">
        <v>10000</v>
      </c>
      <c r="X8" s="6" t="n">
        <v>10000</v>
      </c>
      <c r="Y8" s="6" t="n">
        <v>10000</v>
      </c>
      <c r="Z8" s="6" t="n">
        <v>10000</v>
      </c>
      <c r="AA8" s="6" t="n">
        <v>10000</v>
      </c>
      <c r="AB8" s="6" t="n">
        <v>10000</v>
      </c>
      <c r="AC8" s="6" t="n">
        <v>10000</v>
      </c>
      <c r="AD8" s="6" t="n">
        <v>10000</v>
      </c>
      <c r="AE8" s="6" t="n">
        <v>10000</v>
      </c>
      <c r="AF8" s="6" t="n">
        <v>10000</v>
      </c>
      <c r="AG8" s="6" t="n">
        <v>10000</v>
      </c>
      <c r="AH8" s="6" t="n">
        <v>10000</v>
      </c>
      <c r="AI8" s="6" t="n">
        <v>10000</v>
      </c>
      <c r="AJ8" s="6" t="n">
        <v>10000</v>
      </c>
      <c r="AK8" s="6" t="n">
        <v>10000</v>
      </c>
      <c r="AL8" s="6" t="n">
        <v>10000</v>
      </c>
      <c r="AM8" s="6" t="n">
        <v>5571</v>
      </c>
      <c r="AN8" s="6" t="n">
        <v>5400</v>
      </c>
      <c r="AO8" s="6" t="n">
        <v>3988</v>
      </c>
      <c r="AP8" s="6" t="n">
        <v>3966</v>
      </c>
      <c r="AQ8" s="6" t="n">
        <v>3528</v>
      </c>
      <c r="AR8" s="6" t="n">
        <v>3408</v>
      </c>
      <c r="AS8" s="6" t="n">
        <v>3370</v>
      </c>
      <c r="AT8" s="6" t="n">
        <v>3296</v>
      </c>
      <c r="AU8" s="6" t="n">
        <v>3050</v>
      </c>
      <c r="AV8" s="6" t="n">
        <v>2999</v>
      </c>
      <c r="AW8" s="6" t="n">
        <v>2900</v>
      </c>
      <c r="AX8" s="6" t="n">
        <v>2850</v>
      </c>
      <c r="AY8" s="6" t="n">
        <v>2744</v>
      </c>
      <c r="AZ8" s="6" t="n">
        <v>2713</v>
      </c>
      <c r="BA8" s="6" t="n">
        <v>2707</v>
      </c>
      <c r="BB8" s="6" t="n">
        <v>2728</v>
      </c>
      <c r="BC8" s="6" t="n">
        <v>2723</v>
      </c>
      <c r="BD8" s="6" t="n">
        <v>2747</v>
      </c>
      <c r="BE8" s="6" t="n">
        <v>2850</v>
      </c>
      <c r="BF8" s="6" t="n">
        <v>2900</v>
      </c>
      <c r="BG8" s="6" t="n">
        <v>3251</v>
      </c>
      <c r="BH8" s="6" t="n">
        <v>3329</v>
      </c>
      <c r="BI8" s="6" t="n">
        <v>3466</v>
      </c>
      <c r="BJ8" s="6" t="n">
        <v>3545</v>
      </c>
      <c r="BK8" s="6" t="n">
        <v>3966</v>
      </c>
      <c r="BL8" s="6" t="n">
        <v>4000</v>
      </c>
      <c r="BM8" s="6" t="n">
        <v>4938</v>
      </c>
      <c r="BN8" s="6" t="n">
        <v>5512</v>
      </c>
      <c r="BO8" s="6" t="n">
        <v>9992</v>
      </c>
      <c r="BP8" s="6" t="n">
        <v>9994</v>
      </c>
      <c r="BQ8" s="6" t="n">
        <v>10000</v>
      </c>
      <c r="BR8" s="6" t="n">
        <v>10000</v>
      </c>
      <c r="BS8" s="6" t="n">
        <v>10000</v>
      </c>
      <c r="BT8" s="6" t="n">
        <v>10000</v>
      </c>
      <c r="BU8" s="6" t="n">
        <v>10000</v>
      </c>
      <c r="BV8" s="6" t="n">
        <v>10000</v>
      </c>
      <c r="BW8" s="6" t="n">
        <v>10000</v>
      </c>
      <c r="BX8" s="6" t="n">
        <v>10000</v>
      </c>
      <c r="BY8" s="6" t="n">
        <v>10000</v>
      </c>
      <c r="BZ8" s="6" t="n">
        <v>10000</v>
      </c>
      <c r="CA8" s="6" t="n">
        <v>10000</v>
      </c>
      <c r="CB8" s="6" t="n">
        <v>10000</v>
      </c>
      <c r="CC8" s="6" t="n">
        <v>10000</v>
      </c>
      <c r="CD8" s="6" t="n">
        <v>10000</v>
      </c>
      <c r="CE8" s="6" t="n">
        <v>10000</v>
      </c>
      <c r="CF8" s="6" t="n">
        <v>10000</v>
      </c>
      <c r="CG8" s="6" t="n">
        <v>10000</v>
      </c>
      <c r="CH8" s="6" t="n">
        <v>10000</v>
      </c>
      <c r="CI8" s="6" t="n">
        <v>10000</v>
      </c>
      <c r="CJ8" s="6" t="n">
        <v>10000</v>
      </c>
      <c r="CK8" s="6" t="n">
        <v>10000</v>
      </c>
      <c r="CL8" s="6" t="n">
        <v>10000</v>
      </c>
      <c r="CM8" s="6" t="n">
        <v>10000</v>
      </c>
      <c r="CN8" s="6" t="n">
        <v>10000</v>
      </c>
      <c r="CO8" s="6" t="n">
        <v>10000</v>
      </c>
      <c r="CP8" s="6" t="n">
        <v>10000</v>
      </c>
      <c r="CQ8" s="6" t="n">
        <v>10000</v>
      </c>
      <c r="CR8" s="6" t="n">
        <v>10000</v>
      </c>
      <c r="CS8" s="6" t="n">
        <v>10000</v>
      </c>
      <c r="CT8" s="6" t="n">
        <v>10000</v>
      </c>
      <c r="CU8" s="6" t="n">
        <v>10000</v>
      </c>
      <c r="CV8" s="6" t="n">
        <v>10000</v>
      </c>
      <c r="CW8" s="6" t="n">
        <v>10000</v>
      </c>
      <c r="CX8" s="6" t="n">
        <v>10000</v>
      </c>
      <c r="CY8" s="6" t="n">
        <v>10000</v>
      </c>
      <c r="CZ8" s="6" t="n">
        <v>10000</v>
      </c>
      <c r="DA8" s="6" t="n">
        <v>10000</v>
      </c>
      <c r="DB8" s="6" t="n">
        <v>10000</v>
      </c>
      <c r="DC8" s="6" t="n">
        <v>10000</v>
      </c>
      <c r="DD8" s="6" t="n">
        <v>10000</v>
      </c>
      <c r="DE8" s="6" t="n">
        <v>10000</v>
      </c>
      <c r="DF8" s="6" t="n">
        <v>10000</v>
      </c>
      <c r="DG8" s="6" t="n">
        <v>10000</v>
      </c>
      <c r="DH8" s="6" t="n">
        <v>10000</v>
      </c>
      <c r="DI8" s="6" t="n">
        <v>10000</v>
      </c>
      <c r="DJ8" s="6" t="n">
        <v>10000</v>
      </c>
      <c r="DK8" s="6" t="n">
        <v>10000</v>
      </c>
      <c r="DL8" s="6" t="n">
        <v>10000</v>
      </c>
      <c r="DM8" s="6" t="n">
        <v>10000</v>
      </c>
      <c r="DN8" s="6" t="n">
        <v>10000</v>
      </c>
      <c r="DO8" s="6" t="n">
        <v>10000</v>
      </c>
      <c r="DP8" s="6" t="n">
        <v>10000</v>
      </c>
      <c r="DQ8" s="6" t="n">
        <v>10000</v>
      </c>
      <c r="DR8" s="6" t="n">
        <v>10000</v>
      </c>
      <c r="DS8" s="6" t="n">
        <v>10000</v>
      </c>
      <c r="DT8" s="6" t="n">
        <v>10000</v>
      </c>
      <c r="DU8" s="6" t="n">
        <v>10000</v>
      </c>
      <c r="DV8" s="6" t="n">
        <v>10000</v>
      </c>
      <c r="DW8" s="6" t="n">
        <v>10000</v>
      </c>
      <c r="DX8" s="6" t="n">
        <v>10000</v>
      </c>
      <c r="DY8" s="6" t="n">
        <v>10000</v>
      </c>
      <c r="DZ8" s="6" t="n">
        <v>10000</v>
      </c>
      <c r="EA8" s="6" t="n">
        <v>10000</v>
      </c>
      <c r="EB8" s="6" t="n">
        <v>10000</v>
      </c>
      <c r="EC8" s="6" t="n">
        <v>10000</v>
      </c>
      <c r="ED8" s="6" t="n">
        <v>10000</v>
      </c>
      <c r="EE8" s="6" t="n">
        <v>5571</v>
      </c>
      <c r="EF8" s="6" t="n">
        <v>5400</v>
      </c>
      <c r="EG8" s="6" t="n">
        <v>3988</v>
      </c>
      <c r="EH8" s="6" t="n">
        <v>3966</v>
      </c>
      <c r="EI8" s="6" t="n">
        <v>3528</v>
      </c>
      <c r="EJ8" s="6" t="n">
        <v>3408</v>
      </c>
      <c r="EK8" s="6" t="n">
        <v>3370</v>
      </c>
      <c r="EL8" s="6" t="n">
        <v>3296</v>
      </c>
      <c r="EM8" s="6" t="n">
        <v>3050</v>
      </c>
      <c r="EN8" s="6" t="n">
        <v>2999</v>
      </c>
      <c r="EO8" s="6" t="n">
        <v>2900</v>
      </c>
      <c r="EP8" s="6" t="n">
        <v>2850</v>
      </c>
      <c r="EQ8" s="6" t="n">
        <v>2744</v>
      </c>
      <c r="ER8" s="6" t="n">
        <v>2713</v>
      </c>
      <c r="ES8" s="6" t="n">
        <v>2707</v>
      </c>
      <c r="ET8" s="6" t="n">
        <v>2728</v>
      </c>
      <c r="EU8" s="6" t="n">
        <v>2723</v>
      </c>
      <c r="EV8" s="6" t="n">
        <v>2747</v>
      </c>
      <c r="EW8" s="6" t="n">
        <v>2850</v>
      </c>
      <c r="EX8" s="6" t="n">
        <v>2900</v>
      </c>
      <c r="EY8" s="6" t="n">
        <v>3251</v>
      </c>
      <c r="EZ8" s="6" t="n">
        <v>3329</v>
      </c>
      <c r="FA8" s="6" t="n">
        <v>3466</v>
      </c>
      <c r="FB8" s="6" t="n">
        <v>3545</v>
      </c>
      <c r="FC8" s="6" t="n">
        <v>3966</v>
      </c>
      <c r="FD8" s="6" t="n">
        <v>4000</v>
      </c>
      <c r="FE8" s="6" t="n">
        <v>4938</v>
      </c>
      <c r="FF8" s="6" t="n">
        <v>5512</v>
      </c>
      <c r="FG8" s="6" t="n">
        <v>9992</v>
      </c>
      <c r="FH8" s="6" t="n">
        <v>9994</v>
      </c>
      <c r="FI8" s="6" t="n">
        <v>10000</v>
      </c>
      <c r="FJ8" s="6" t="n">
        <v>10000</v>
      </c>
      <c r="FK8" s="6" t="n">
        <v>10000</v>
      </c>
      <c r="FL8" s="6" t="n">
        <v>10000</v>
      </c>
      <c r="FM8" s="6" t="n">
        <v>10000</v>
      </c>
      <c r="FN8" s="6" t="n">
        <v>10000</v>
      </c>
      <c r="FO8" s="6" t="n">
        <v>10000</v>
      </c>
      <c r="FP8" s="6" t="n">
        <v>10000</v>
      </c>
      <c r="FQ8" s="6" t="n">
        <v>10000</v>
      </c>
      <c r="FR8" s="6" t="n">
        <v>10000</v>
      </c>
      <c r="FS8" s="6" t="n">
        <v>10000</v>
      </c>
      <c r="FT8" s="6" t="n">
        <v>10000</v>
      </c>
      <c r="FU8" s="6" t="n">
        <v>10000</v>
      </c>
      <c r="FV8" s="6" t="n">
        <v>10000</v>
      </c>
      <c r="FW8" s="6" t="n">
        <v>10000</v>
      </c>
      <c r="FX8" s="6" t="n">
        <v>10000</v>
      </c>
      <c r="FY8" s="6" t="n">
        <v>10000</v>
      </c>
      <c r="FZ8" s="6" t="n">
        <v>10000</v>
      </c>
      <c r="GA8" s="6" t="n">
        <v>10000</v>
      </c>
      <c r="GB8" s="6" t="n">
        <v>10000</v>
      </c>
      <c r="GC8" s="6" t="n">
        <v>10000</v>
      </c>
      <c r="GD8" s="6" t="n">
        <v>10000</v>
      </c>
      <c r="GE8" s="6" t="n">
        <v>10000</v>
      </c>
      <c r="GF8" s="6" t="n">
        <v>10000</v>
      </c>
      <c r="GG8" s="6" t="n">
        <v>10000</v>
      </c>
      <c r="GH8" s="6" t="n">
        <v>10000</v>
      </c>
      <c r="GI8" s="6" t="n">
        <v>10000</v>
      </c>
      <c r="GJ8" s="6" t="n">
        <v>10000</v>
      </c>
      <c r="GK8" s="6" t="n">
        <v>10000</v>
      </c>
      <c r="GL8" s="6" t="n">
        <v>10000</v>
      </c>
    </row>
    <row r="9">
      <c r="A9" s="6" t="inlineStr">
        <is>
          <t>DAM</t>
        </is>
      </c>
      <c r="B9" s="6" t="n">
        <v>6</v>
      </c>
      <c r="C9" s="6" t="n">
        <v>10000</v>
      </c>
      <c r="D9" s="6" t="n">
        <v>10000</v>
      </c>
      <c r="E9" s="6" t="n">
        <v>10000</v>
      </c>
      <c r="F9" s="6" t="n">
        <v>10000</v>
      </c>
      <c r="G9" s="6" t="n">
        <v>10000</v>
      </c>
      <c r="H9" s="6" t="n">
        <v>10000</v>
      </c>
      <c r="I9" s="6" t="n">
        <v>10000</v>
      </c>
      <c r="J9" s="6" t="n">
        <v>10000</v>
      </c>
      <c r="K9" s="6" t="n">
        <v>10000</v>
      </c>
      <c r="L9" s="6" t="n">
        <v>10000</v>
      </c>
      <c r="M9" s="6" t="n">
        <v>10000</v>
      </c>
      <c r="N9" s="6" t="n">
        <v>10000</v>
      </c>
      <c r="O9" s="6" t="n">
        <v>10000</v>
      </c>
      <c r="P9" s="6" t="n">
        <v>10000</v>
      </c>
      <c r="Q9" s="6" t="n">
        <v>10000</v>
      </c>
      <c r="R9" s="6" t="n">
        <v>10000</v>
      </c>
      <c r="S9" s="6" t="n">
        <v>10000</v>
      </c>
      <c r="T9" s="6" t="n">
        <v>10000</v>
      </c>
      <c r="U9" s="6" t="n">
        <v>10000</v>
      </c>
      <c r="V9" s="6" t="n">
        <v>10000</v>
      </c>
      <c r="W9" s="6" t="n">
        <v>10000</v>
      </c>
      <c r="X9" s="6" t="n">
        <v>10000</v>
      </c>
      <c r="Y9" s="6" t="n">
        <v>10000</v>
      </c>
      <c r="Z9" s="6" t="n">
        <v>10000</v>
      </c>
      <c r="AA9" s="6" t="n">
        <v>10000</v>
      </c>
      <c r="AB9" s="6" t="n">
        <v>10000</v>
      </c>
      <c r="AC9" s="6" t="n">
        <v>10000</v>
      </c>
      <c r="AD9" s="6" t="n">
        <v>10000</v>
      </c>
      <c r="AE9" s="6" t="n">
        <v>10000</v>
      </c>
      <c r="AF9" s="6" t="n">
        <v>10000</v>
      </c>
      <c r="AG9" s="6" t="n">
        <v>10000</v>
      </c>
      <c r="AH9" s="6" t="n">
        <v>10000</v>
      </c>
      <c r="AI9" s="6" t="n">
        <v>10000</v>
      </c>
      <c r="AJ9" s="6" t="n">
        <v>6072</v>
      </c>
      <c r="AK9" s="6" t="n">
        <v>5821</v>
      </c>
      <c r="AL9" s="6" t="n">
        <v>4913</v>
      </c>
      <c r="AM9" s="6" t="n">
        <v>3851</v>
      </c>
      <c r="AN9" s="6" t="n">
        <v>3545</v>
      </c>
      <c r="AO9" s="6" t="n">
        <v>3200</v>
      </c>
      <c r="AP9" s="6" t="n">
        <v>2802</v>
      </c>
      <c r="AQ9" s="6" t="n">
        <v>2639</v>
      </c>
      <c r="AR9" s="6" t="n">
        <v>2132</v>
      </c>
      <c r="AS9" s="6" t="n">
        <v>2171</v>
      </c>
      <c r="AT9" s="6" t="n">
        <v>2163</v>
      </c>
      <c r="AU9" s="6" t="n">
        <v>2101</v>
      </c>
      <c r="AV9" s="6" t="n">
        <v>2100</v>
      </c>
      <c r="AW9" s="6" t="n">
        <v>2000</v>
      </c>
      <c r="AX9" s="6" t="n">
        <v>1966</v>
      </c>
      <c r="AY9" s="6" t="n">
        <v>1961</v>
      </c>
      <c r="AZ9" s="6" t="n">
        <v>1960</v>
      </c>
      <c r="BA9" s="6" t="n">
        <v>1936</v>
      </c>
      <c r="BB9" s="6" t="n">
        <v>1904</v>
      </c>
      <c r="BC9" s="6" t="n">
        <v>1860</v>
      </c>
      <c r="BD9" s="6" t="n">
        <v>1871</v>
      </c>
      <c r="BE9" s="6" t="n">
        <v>1906</v>
      </c>
      <c r="BF9" s="6" t="n">
        <v>1966</v>
      </c>
      <c r="BG9" s="6" t="n">
        <v>2101</v>
      </c>
      <c r="BH9" s="6" t="n">
        <v>2370</v>
      </c>
      <c r="BI9" s="6" t="n">
        <v>2480</v>
      </c>
      <c r="BJ9" s="6" t="n">
        <v>2660</v>
      </c>
      <c r="BK9" s="6" t="n">
        <v>2862</v>
      </c>
      <c r="BL9" s="6" t="n">
        <v>3002</v>
      </c>
      <c r="BM9" s="6" t="n">
        <v>3385</v>
      </c>
      <c r="BN9" s="6" t="n">
        <v>3500</v>
      </c>
      <c r="BO9" s="6" t="n">
        <v>3747</v>
      </c>
      <c r="BP9" s="6" t="n">
        <v>5512</v>
      </c>
      <c r="BQ9" s="6" t="n">
        <v>10000</v>
      </c>
      <c r="BR9" s="6" t="n">
        <v>10000</v>
      </c>
      <c r="BS9" s="6" t="n">
        <v>10000</v>
      </c>
      <c r="BT9" s="6" t="n">
        <v>10000</v>
      </c>
      <c r="BU9" s="6" t="n">
        <v>10000</v>
      </c>
      <c r="BV9" s="6" t="n">
        <v>10000</v>
      </c>
      <c r="BW9" s="6" t="n">
        <v>10000</v>
      </c>
      <c r="BX9" s="6" t="n">
        <v>10000</v>
      </c>
      <c r="BY9" s="6" t="n">
        <v>10000</v>
      </c>
      <c r="BZ9" s="6" t="n">
        <v>10000</v>
      </c>
      <c r="CA9" s="6" t="n">
        <v>10000</v>
      </c>
      <c r="CB9" s="6" t="n">
        <v>10000</v>
      </c>
      <c r="CC9" s="6" t="n">
        <v>10000</v>
      </c>
      <c r="CD9" s="6" t="n">
        <v>10000</v>
      </c>
      <c r="CE9" s="6" t="n">
        <v>10000</v>
      </c>
      <c r="CF9" s="6" t="n">
        <v>10000</v>
      </c>
      <c r="CG9" s="6" t="n">
        <v>10000</v>
      </c>
      <c r="CH9" s="6" t="n">
        <v>10000</v>
      </c>
      <c r="CI9" s="6" t="n">
        <v>10000</v>
      </c>
      <c r="CJ9" s="6" t="n">
        <v>10000</v>
      </c>
      <c r="CK9" s="6" t="n">
        <v>10000</v>
      </c>
      <c r="CL9" s="6" t="n">
        <v>10000</v>
      </c>
      <c r="CM9" s="6" t="n">
        <v>10000</v>
      </c>
      <c r="CN9" s="6" t="n">
        <v>10000</v>
      </c>
      <c r="CO9" s="6" t="n">
        <v>10000</v>
      </c>
      <c r="CP9" s="6" t="n">
        <v>10000</v>
      </c>
      <c r="CQ9" s="6" t="n">
        <v>10000</v>
      </c>
      <c r="CR9" s="6" t="n">
        <v>10000</v>
      </c>
      <c r="CS9" s="6" t="n">
        <v>10000</v>
      </c>
      <c r="CT9" s="6" t="n">
        <v>10000</v>
      </c>
      <c r="CU9" s="6" t="n">
        <v>10000</v>
      </c>
      <c r="CV9" s="6" t="n">
        <v>10000</v>
      </c>
      <c r="CW9" s="6" t="n">
        <v>10000</v>
      </c>
      <c r="CX9" s="6" t="n">
        <v>10000</v>
      </c>
      <c r="CY9" s="6" t="n">
        <v>10000</v>
      </c>
      <c r="CZ9" s="6" t="n">
        <v>10000</v>
      </c>
      <c r="DA9" s="6" t="n">
        <v>10000</v>
      </c>
      <c r="DB9" s="6" t="n">
        <v>10000</v>
      </c>
      <c r="DC9" s="6" t="n">
        <v>10000</v>
      </c>
      <c r="DD9" s="6" t="n">
        <v>10000</v>
      </c>
      <c r="DE9" s="6" t="n">
        <v>10000</v>
      </c>
      <c r="DF9" s="6" t="n">
        <v>10000</v>
      </c>
      <c r="DG9" s="6" t="n">
        <v>10000</v>
      </c>
      <c r="DH9" s="6" t="n">
        <v>10000</v>
      </c>
      <c r="DI9" s="6" t="n">
        <v>10000</v>
      </c>
      <c r="DJ9" s="6" t="n">
        <v>10000</v>
      </c>
      <c r="DK9" s="6" t="n">
        <v>10000</v>
      </c>
      <c r="DL9" s="6" t="n">
        <v>10000</v>
      </c>
      <c r="DM9" s="6" t="n">
        <v>10000</v>
      </c>
      <c r="DN9" s="6" t="n">
        <v>10000</v>
      </c>
      <c r="DO9" s="6" t="n">
        <v>10000</v>
      </c>
      <c r="DP9" s="6" t="n">
        <v>10000</v>
      </c>
      <c r="DQ9" s="6" t="n">
        <v>10000</v>
      </c>
      <c r="DR9" s="6" t="n">
        <v>10000</v>
      </c>
      <c r="DS9" s="6" t="n">
        <v>10000</v>
      </c>
      <c r="DT9" s="6" t="n">
        <v>10000</v>
      </c>
      <c r="DU9" s="6" t="n">
        <v>10000</v>
      </c>
      <c r="DV9" s="6" t="n">
        <v>10000</v>
      </c>
      <c r="DW9" s="6" t="n">
        <v>10000</v>
      </c>
      <c r="DX9" s="6" t="n">
        <v>10000</v>
      </c>
      <c r="DY9" s="6" t="n">
        <v>10000</v>
      </c>
      <c r="DZ9" s="6" t="n">
        <v>10000</v>
      </c>
      <c r="EA9" s="6" t="n">
        <v>10000</v>
      </c>
      <c r="EB9" s="6" t="n">
        <v>6072</v>
      </c>
      <c r="EC9" s="6" t="n">
        <v>5821</v>
      </c>
      <c r="ED9" s="6" t="n">
        <v>4913</v>
      </c>
      <c r="EE9" s="6" t="n">
        <v>3851</v>
      </c>
      <c r="EF9" s="6" t="n">
        <v>3545</v>
      </c>
      <c r="EG9" s="6" t="n">
        <v>3200</v>
      </c>
      <c r="EH9" s="6" t="n">
        <v>2802</v>
      </c>
      <c r="EI9" s="6" t="n">
        <v>2639</v>
      </c>
      <c r="EJ9" s="6" t="n">
        <v>2132</v>
      </c>
      <c r="EK9" s="6" t="n">
        <v>2171</v>
      </c>
      <c r="EL9" s="6" t="n">
        <v>2163</v>
      </c>
      <c r="EM9" s="6" t="n">
        <v>2101</v>
      </c>
      <c r="EN9" s="6" t="n">
        <v>2100</v>
      </c>
      <c r="EO9" s="6" t="n">
        <v>2000</v>
      </c>
      <c r="EP9" s="6" t="n">
        <v>1966</v>
      </c>
      <c r="EQ9" s="6" t="n">
        <v>1961</v>
      </c>
      <c r="ER9" s="6" t="n">
        <v>1960</v>
      </c>
      <c r="ES9" s="6" t="n">
        <v>1936</v>
      </c>
      <c r="ET9" s="6" t="n">
        <v>1904</v>
      </c>
      <c r="EU9" s="6" t="n">
        <v>1860</v>
      </c>
      <c r="EV9" s="6" t="n">
        <v>1871</v>
      </c>
      <c r="EW9" s="6" t="n">
        <v>1906</v>
      </c>
      <c r="EX9" s="6" t="n">
        <v>1966</v>
      </c>
      <c r="EY9" s="6" t="n">
        <v>2101</v>
      </c>
      <c r="EZ9" s="6" t="n">
        <v>2370</v>
      </c>
      <c r="FA9" s="6" t="n">
        <v>2480</v>
      </c>
      <c r="FB9" s="6" t="n">
        <v>2660</v>
      </c>
      <c r="FC9" s="6" t="n">
        <v>2862</v>
      </c>
      <c r="FD9" s="6" t="n">
        <v>3002</v>
      </c>
      <c r="FE9" s="6" t="n">
        <v>3385</v>
      </c>
      <c r="FF9" s="6" t="n">
        <v>3500</v>
      </c>
      <c r="FG9" s="6" t="n">
        <v>3747</v>
      </c>
      <c r="FH9" s="6" t="n">
        <v>5512</v>
      </c>
      <c r="FI9" s="6" t="n">
        <v>10000</v>
      </c>
      <c r="FJ9" s="6" t="n">
        <v>10000</v>
      </c>
      <c r="FK9" s="6" t="n">
        <v>10000</v>
      </c>
      <c r="FL9" s="6" t="n">
        <v>10000</v>
      </c>
      <c r="FM9" s="6" t="n">
        <v>10000</v>
      </c>
      <c r="FN9" s="6" t="n">
        <v>10000</v>
      </c>
      <c r="FO9" s="6" t="n">
        <v>10000</v>
      </c>
      <c r="FP9" s="6" t="n">
        <v>10000</v>
      </c>
      <c r="FQ9" s="6" t="n">
        <v>10000</v>
      </c>
      <c r="FR9" s="6" t="n">
        <v>10000</v>
      </c>
      <c r="FS9" s="6" t="n">
        <v>10000</v>
      </c>
      <c r="FT9" s="6" t="n">
        <v>10000</v>
      </c>
      <c r="FU9" s="6" t="n">
        <v>10000</v>
      </c>
      <c r="FV9" s="6" t="n">
        <v>10000</v>
      </c>
      <c r="FW9" s="6" t="n">
        <v>10000</v>
      </c>
      <c r="FX9" s="6" t="n">
        <v>10000</v>
      </c>
      <c r="FY9" s="6" t="n">
        <v>10000</v>
      </c>
      <c r="FZ9" s="6" t="n">
        <v>10000</v>
      </c>
      <c r="GA9" s="6" t="n">
        <v>10000</v>
      </c>
      <c r="GB9" s="6" t="n">
        <v>10000</v>
      </c>
      <c r="GC9" s="6" t="n">
        <v>10000</v>
      </c>
      <c r="GD9" s="6" t="n">
        <v>10000</v>
      </c>
      <c r="GE9" s="6" t="n">
        <v>10000</v>
      </c>
      <c r="GF9" s="6" t="n">
        <v>10000</v>
      </c>
      <c r="GG9" s="6" t="n">
        <v>10000</v>
      </c>
      <c r="GH9" s="6" t="n">
        <v>10000</v>
      </c>
      <c r="GI9" s="6" t="n">
        <v>10000</v>
      </c>
      <c r="GJ9" s="6" t="n">
        <v>10000</v>
      </c>
      <c r="GK9" s="6" t="n">
        <v>10000</v>
      </c>
      <c r="GL9" s="6" t="n">
        <v>10000</v>
      </c>
    </row>
    <row r="10">
      <c r="A10" s="6" t="inlineStr">
        <is>
          <t>DAM</t>
        </is>
      </c>
      <c r="B10" s="6" t="n">
        <v>7</v>
      </c>
      <c r="C10" s="6" t="n">
        <v>10000</v>
      </c>
      <c r="D10" s="6" t="n">
        <v>10000</v>
      </c>
      <c r="E10" s="6" t="n">
        <v>10000</v>
      </c>
      <c r="F10" s="6" t="n">
        <v>10000</v>
      </c>
      <c r="G10" s="6" t="n">
        <v>10000</v>
      </c>
      <c r="H10" s="6" t="n">
        <v>10000</v>
      </c>
      <c r="I10" s="6" t="n">
        <v>10000</v>
      </c>
      <c r="J10" s="6" t="n">
        <v>10000</v>
      </c>
      <c r="K10" s="6" t="n">
        <v>10000</v>
      </c>
      <c r="L10" s="6" t="n">
        <v>10000</v>
      </c>
      <c r="M10" s="6" t="n">
        <v>10000</v>
      </c>
      <c r="N10" s="6" t="n">
        <v>10000</v>
      </c>
      <c r="O10" s="6" t="n">
        <v>10000</v>
      </c>
      <c r="P10" s="6" t="n">
        <v>10000</v>
      </c>
      <c r="Q10" s="6" t="n">
        <v>10000</v>
      </c>
      <c r="R10" s="6" t="n">
        <v>10000</v>
      </c>
      <c r="S10" s="6" t="n">
        <v>10000</v>
      </c>
      <c r="T10" s="6" t="n">
        <v>10000</v>
      </c>
      <c r="U10" s="6" t="n">
        <v>10000</v>
      </c>
      <c r="V10" s="6" t="n">
        <v>10000</v>
      </c>
      <c r="W10" s="6" t="n">
        <v>10000</v>
      </c>
      <c r="X10" s="6" t="n">
        <v>10000</v>
      </c>
      <c r="Y10" s="6" t="n">
        <v>10000</v>
      </c>
      <c r="Z10" s="6" t="n">
        <v>10000</v>
      </c>
      <c r="AA10" s="6" t="n">
        <v>10000</v>
      </c>
      <c r="AB10" s="6" t="n">
        <v>10000</v>
      </c>
      <c r="AC10" s="6" t="n">
        <v>10000</v>
      </c>
      <c r="AD10" s="6" t="n">
        <v>10000</v>
      </c>
      <c r="AE10" s="6" t="n">
        <v>10000</v>
      </c>
      <c r="AF10" s="6" t="n">
        <v>10000</v>
      </c>
      <c r="AG10" s="6" t="n">
        <v>10000</v>
      </c>
      <c r="AH10" s="6" t="n">
        <v>10000</v>
      </c>
      <c r="AI10" s="6" t="n">
        <v>10000</v>
      </c>
      <c r="AJ10" s="6" t="n">
        <v>10000</v>
      </c>
      <c r="AK10" s="6" t="n">
        <v>10000</v>
      </c>
      <c r="AL10" s="6" t="n">
        <v>10000</v>
      </c>
      <c r="AM10" s="6" t="n">
        <v>9991</v>
      </c>
      <c r="AN10" s="6" t="n">
        <v>5290</v>
      </c>
      <c r="AO10" s="6" t="n">
        <v>3979</v>
      </c>
      <c r="AP10" s="6" t="n">
        <v>3570</v>
      </c>
      <c r="AQ10" s="6" t="n">
        <v>3545</v>
      </c>
      <c r="AR10" s="6" t="n">
        <v>3545</v>
      </c>
      <c r="AS10" s="6" t="n">
        <v>3484</v>
      </c>
      <c r="AT10" s="6" t="n">
        <v>3421</v>
      </c>
      <c r="AU10" s="6" t="n">
        <v>3002</v>
      </c>
      <c r="AV10" s="6" t="n">
        <v>2999</v>
      </c>
      <c r="AW10" s="6" t="n">
        <v>2999</v>
      </c>
      <c r="AX10" s="6" t="n">
        <v>2992</v>
      </c>
      <c r="AY10" s="6" t="n">
        <v>2741</v>
      </c>
      <c r="AZ10" s="6" t="n">
        <v>2680</v>
      </c>
      <c r="BA10" s="6" t="n">
        <v>2660</v>
      </c>
      <c r="BB10" s="6" t="n">
        <v>2640</v>
      </c>
      <c r="BC10" s="6" t="n">
        <v>2326</v>
      </c>
      <c r="BD10" s="6" t="n">
        <v>2513</v>
      </c>
      <c r="BE10" s="6" t="n">
        <v>2710</v>
      </c>
      <c r="BF10" s="6" t="n">
        <v>2780</v>
      </c>
      <c r="BG10" s="6" t="n">
        <v>3200</v>
      </c>
      <c r="BH10" s="6" t="n">
        <v>3201</v>
      </c>
      <c r="BI10" s="6" t="n">
        <v>3446</v>
      </c>
      <c r="BJ10" s="6" t="n">
        <v>3545</v>
      </c>
      <c r="BK10" s="6" t="n">
        <v>3857</v>
      </c>
      <c r="BL10" s="6" t="n">
        <v>4091</v>
      </c>
      <c r="BM10" s="6" t="n">
        <v>5500</v>
      </c>
      <c r="BN10" s="6" t="n">
        <v>6000</v>
      </c>
      <c r="BO10" s="6" t="n">
        <v>10000</v>
      </c>
      <c r="BP10" s="6" t="n">
        <v>10000</v>
      </c>
      <c r="BQ10" s="6" t="n">
        <v>10000</v>
      </c>
      <c r="BR10" s="6" t="n">
        <v>10000</v>
      </c>
      <c r="BS10" s="6" t="n">
        <v>10000</v>
      </c>
      <c r="BT10" s="6" t="n">
        <v>10000</v>
      </c>
      <c r="BU10" s="6" t="n">
        <v>10000</v>
      </c>
      <c r="BV10" s="6" t="n">
        <v>10000</v>
      </c>
      <c r="BW10" s="6" t="n">
        <v>10000</v>
      </c>
      <c r="BX10" s="6" t="n">
        <v>10000</v>
      </c>
      <c r="BY10" s="6" t="n">
        <v>10000</v>
      </c>
      <c r="BZ10" s="6" t="n">
        <v>10000</v>
      </c>
      <c r="CA10" s="6" t="n">
        <v>10000</v>
      </c>
      <c r="CB10" s="6" t="n">
        <v>10000</v>
      </c>
      <c r="CC10" s="6" t="n">
        <v>10000</v>
      </c>
      <c r="CD10" s="6" t="n">
        <v>10000</v>
      </c>
      <c r="CE10" s="6" t="n">
        <v>10000</v>
      </c>
      <c r="CF10" s="6" t="n">
        <v>10000</v>
      </c>
      <c r="CG10" s="6" t="n">
        <v>10000</v>
      </c>
      <c r="CH10" s="6" t="n">
        <v>10000</v>
      </c>
      <c r="CI10" s="6" t="n">
        <v>10000</v>
      </c>
      <c r="CJ10" s="6" t="n">
        <v>10000</v>
      </c>
      <c r="CK10" s="6" t="n">
        <v>10000</v>
      </c>
      <c r="CL10" s="6" t="n">
        <v>10000</v>
      </c>
      <c r="CM10" s="6" t="n">
        <v>10000</v>
      </c>
      <c r="CN10" s="6" t="n">
        <v>10000</v>
      </c>
      <c r="CO10" s="6" t="n">
        <v>10000</v>
      </c>
      <c r="CP10" s="6" t="n">
        <v>10000</v>
      </c>
      <c r="CQ10" s="6" t="n">
        <v>10000</v>
      </c>
      <c r="CR10" s="6" t="n">
        <v>10000</v>
      </c>
      <c r="CS10" s="6" t="n">
        <v>10000</v>
      </c>
      <c r="CT10" s="6" t="n">
        <v>10000</v>
      </c>
      <c r="CU10" s="6" t="n">
        <v>10000</v>
      </c>
      <c r="CV10" s="6" t="n">
        <v>10000</v>
      </c>
      <c r="CW10" s="6" t="n">
        <v>10000</v>
      </c>
      <c r="CX10" s="6" t="n">
        <v>10000</v>
      </c>
      <c r="CY10" s="6" t="n">
        <v>10000</v>
      </c>
      <c r="CZ10" s="6" t="n">
        <v>10000</v>
      </c>
      <c r="DA10" s="6" t="n">
        <v>10000</v>
      </c>
      <c r="DB10" s="6" t="n">
        <v>10000</v>
      </c>
      <c r="DC10" s="6" t="n">
        <v>10000</v>
      </c>
      <c r="DD10" s="6" t="n">
        <v>10000</v>
      </c>
      <c r="DE10" s="6" t="n">
        <v>10000</v>
      </c>
      <c r="DF10" s="6" t="n">
        <v>10000</v>
      </c>
      <c r="DG10" s="6" t="n">
        <v>10000</v>
      </c>
      <c r="DH10" s="6" t="n">
        <v>10000</v>
      </c>
      <c r="DI10" s="6" t="n">
        <v>10000</v>
      </c>
      <c r="DJ10" s="6" t="n">
        <v>10000</v>
      </c>
      <c r="DK10" s="6" t="n">
        <v>10000</v>
      </c>
      <c r="DL10" s="6" t="n">
        <v>10000</v>
      </c>
      <c r="DM10" s="6" t="n">
        <v>10000</v>
      </c>
      <c r="DN10" s="6" t="n">
        <v>10000</v>
      </c>
      <c r="DO10" s="6" t="n">
        <v>10000</v>
      </c>
      <c r="DP10" s="6" t="n">
        <v>10000</v>
      </c>
      <c r="DQ10" s="6" t="n">
        <v>10000</v>
      </c>
      <c r="DR10" s="6" t="n">
        <v>10000</v>
      </c>
      <c r="DS10" s="6" t="n">
        <v>10000</v>
      </c>
      <c r="DT10" s="6" t="n">
        <v>10000</v>
      </c>
      <c r="DU10" s="6" t="n">
        <v>10000</v>
      </c>
      <c r="DV10" s="6" t="n">
        <v>10000</v>
      </c>
      <c r="DW10" s="6" t="n">
        <v>10000</v>
      </c>
      <c r="DX10" s="6" t="n">
        <v>10000</v>
      </c>
      <c r="DY10" s="6" t="n">
        <v>10000</v>
      </c>
      <c r="DZ10" s="6" t="n">
        <v>10000</v>
      </c>
      <c r="EA10" s="6" t="n">
        <v>10000</v>
      </c>
      <c r="EB10" s="6" t="n">
        <v>10000</v>
      </c>
      <c r="EC10" s="6" t="n">
        <v>10000</v>
      </c>
      <c r="ED10" s="6" t="n">
        <v>10000</v>
      </c>
      <c r="EE10" s="6" t="n">
        <v>9991</v>
      </c>
      <c r="EF10" s="6" t="n">
        <v>5290</v>
      </c>
      <c r="EG10" s="6" t="n">
        <v>3979</v>
      </c>
      <c r="EH10" s="6" t="n">
        <v>3570</v>
      </c>
      <c r="EI10" s="6" t="n">
        <v>3545</v>
      </c>
      <c r="EJ10" s="6" t="n">
        <v>3545</v>
      </c>
      <c r="EK10" s="6" t="n">
        <v>3484</v>
      </c>
      <c r="EL10" s="6" t="n">
        <v>3421</v>
      </c>
      <c r="EM10" s="6" t="n">
        <v>3002</v>
      </c>
      <c r="EN10" s="6" t="n">
        <v>2999</v>
      </c>
      <c r="EO10" s="6" t="n">
        <v>2999</v>
      </c>
      <c r="EP10" s="6" t="n">
        <v>2992</v>
      </c>
      <c r="EQ10" s="6" t="n">
        <v>2741</v>
      </c>
      <c r="ER10" s="6" t="n">
        <v>2680</v>
      </c>
      <c r="ES10" s="6" t="n">
        <v>2660</v>
      </c>
      <c r="ET10" s="6" t="n">
        <v>2640</v>
      </c>
      <c r="EU10" s="6" t="n">
        <v>2326</v>
      </c>
      <c r="EV10" s="6" t="n">
        <v>2513</v>
      </c>
      <c r="EW10" s="6" t="n">
        <v>2710</v>
      </c>
      <c r="EX10" s="6" t="n">
        <v>2780</v>
      </c>
      <c r="EY10" s="6" t="n">
        <v>3200</v>
      </c>
      <c r="EZ10" s="6" t="n">
        <v>3201</v>
      </c>
      <c r="FA10" s="6" t="n">
        <v>3446</v>
      </c>
      <c r="FB10" s="6" t="n">
        <v>3545</v>
      </c>
      <c r="FC10" s="6" t="n">
        <v>3857</v>
      </c>
      <c r="FD10" s="6" t="n">
        <v>4091</v>
      </c>
      <c r="FE10" s="6" t="n">
        <v>5500</v>
      </c>
      <c r="FF10" s="6" t="n">
        <v>6000</v>
      </c>
      <c r="FG10" s="6" t="n">
        <v>10000</v>
      </c>
      <c r="FH10" s="6" t="n">
        <v>10000</v>
      </c>
      <c r="FI10" s="6" t="n">
        <v>10000</v>
      </c>
      <c r="FJ10" s="6" t="n">
        <v>10000</v>
      </c>
      <c r="FK10" s="6" t="n">
        <v>10000</v>
      </c>
      <c r="FL10" s="6" t="n">
        <v>10000</v>
      </c>
      <c r="FM10" s="6" t="n">
        <v>10000</v>
      </c>
      <c r="FN10" s="6" t="n">
        <v>10000</v>
      </c>
      <c r="FO10" s="6" t="n">
        <v>10000</v>
      </c>
      <c r="FP10" s="6" t="n">
        <v>10000</v>
      </c>
      <c r="FQ10" s="6" t="n">
        <v>10000</v>
      </c>
      <c r="FR10" s="6" t="n">
        <v>10000</v>
      </c>
      <c r="FS10" s="6" t="n">
        <v>10000</v>
      </c>
      <c r="FT10" s="6" t="n">
        <v>10000</v>
      </c>
      <c r="FU10" s="6" t="n">
        <v>10000</v>
      </c>
      <c r="FV10" s="6" t="n">
        <v>10000</v>
      </c>
      <c r="FW10" s="6" t="n">
        <v>10000</v>
      </c>
      <c r="FX10" s="6" t="n">
        <v>10000</v>
      </c>
      <c r="FY10" s="6" t="n">
        <v>10000</v>
      </c>
      <c r="FZ10" s="6" t="n">
        <v>10000</v>
      </c>
      <c r="GA10" s="6" t="n">
        <v>10000</v>
      </c>
      <c r="GB10" s="6" t="n">
        <v>10000</v>
      </c>
      <c r="GC10" s="6" t="n">
        <v>10000</v>
      </c>
      <c r="GD10" s="6" t="n">
        <v>10000</v>
      </c>
      <c r="GE10" s="6" t="n">
        <v>10000</v>
      </c>
      <c r="GF10" s="6" t="n">
        <v>10000</v>
      </c>
      <c r="GG10" s="6" t="n">
        <v>10000</v>
      </c>
      <c r="GH10" s="6" t="n">
        <v>10000</v>
      </c>
      <c r="GI10" s="6" t="n">
        <v>10000</v>
      </c>
      <c r="GJ10" s="6" t="n">
        <v>10000</v>
      </c>
      <c r="GK10" s="6" t="n">
        <v>10000</v>
      </c>
      <c r="GL10" s="6" t="n">
        <v>10000</v>
      </c>
    </row>
    <row r="11">
      <c r="A11" s="6" t="inlineStr">
        <is>
          <t>DAM</t>
        </is>
      </c>
      <c r="B11" s="6" t="n">
        <v>8</v>
      </c>
      <c r="C11" s="6" t="n">
        <v>10000</v>
      </c>
      <c r="D11" s="6" t="n">
        <v>10000</v>
      </c>
      <c r="E11" s="6" t="n">
        <v>10000</v>
      </c>
      <c r="F11" s="6" t="n">
        <v>10000</v>
      </c>
      <c r="G11" s="6" t="n">
        <v>10000</v>
      </c>
      <c r="H11" s="6" t="n">
        <v>10000</v>
      </c>
      <c r="I11" s="6" t="n">
        <v>10000</v>
      </c>
      <c r="J11" s="6" t="n">
        <v>10000</v>
      </c>
      <c r="K11" s="6" t="n">
        <v>10000</v>
      </c>
      <c r="L11" s="6" t="n">
        <v>10000</v>
      </c>
      <c r="M11" s="6" t="n">
        <v>10000</v>
      </c>
      <c r="N11" s="6" t="n">
        <v>10000</v>
      </c>
      <c r="O11" s="6" t="n">
        <v>10000</v>
      </c>
      <c r="P11" s="6" t="n">
        <v>10000</v>
      </c>
      <c r="Q11" s="6" t="n">
        <v>10000</v>
      </c>
      <c r="R11" s="6" t="n">
        <v>10000</v>
      </c>
      <c r="S11" s="6" t="n">
        <v>10000</v>
      </c>
      <c r="T11" s="6" t="n">
        <v>10000</v>
      </c>
      <c r="U11" s="6" t="n">
        <v>10000</v>
      </c>
      <c r="V11" s="6" t="n">
        <v>10000</v>
      </c>
      <c r="W11" s="6" t="n">
        <v>10000</v>
      </c>
      <c r="X11" s="6" t="n">
        <v>10000</v>
      </c>
      <c r="Y11" s="6" t="n">
        <v>10000</v>
      </c>
      <c r="Z11" s="6" t="n">
        <v>10000</v>
      </c>
      <c r="AA11" s="6" t="n">
        <v>10000</v>
      </c>
      <c r="AB11" s="6" t="n">
        <v>10000</v>
      </c>
      <c r="AC11" s="6" t="n">
        <v>10000</v>
      </c>
      <c r="AD11" s="6" t="n">
        <v>10000</v>
      </c>
      <c r="AE11" s="6" t="n">
        <v>10000</v>
      </c>
      <c r="AF11" s="6" t="n">
        <v>10000</v>
      </c>
      <c r="AG11" s="6" t="n">
        <v>10000</v>
      </c>
      <c r="AH11" s="6" t="n">
        <v>10000</v>
      </c>
      <c r="AI11" s="6" t="n">
        <v>10000</v>
      </c>
      <c r="AJ11" s="6" t="n">
        <v>9999</v>
      </c>
      <c r="AK11" s="6" t="n">
        <v>9999</v>
      </c>
      <c r="AL11" s="6" t="n">
        <v>3980</v>
      </c>
      <c r="AM11" s="6" t="n">
        <v>3980</v>
      </c>
      <c r="AN11" s="6" t="n">
        <v>3746</v>
      </c>
      <c r="AO11" s="6" t="n">
        <v>3528</v>
      </c>
      <c r="AP11" s="6" t="n">
        <v>3100</v>
      </c>
      <c r="AQ11" s="6" t="n">
        <v>2901</v>
      </c>
      <c r="AR11" s="6" t="n">
        <v>2760</v>
      </c>
      <c r="AS11" s="6" t="n">
        <v>2760</v>
      </c>
      <c r="AT11" s="6" t="n">
        <v>2814</v>
      </c>
      <c r="AU11" s="6" t="n">
        <v>2780</v>
      </c>
      <c r="AV11" s="6" t="n">
        <v>2741</v>
      </c>
      <c r="AW11" s="6" t="n">
        <v>2661</v>
      </c>
      <c r="AX11" s="6" t="n">
        <v>2660</v>
      </c>
      <c r="AY11" s="6" t="n">
        <v>2428</v>
      </c>
      <c r="AZ11" s="6" t="n">
        <v>2370</v>
      </c>
      <c r="BA11" s="6" t="n">
        <v>2245</v>
      </c>
      <c r="BB11" s="6" t="n">
        <v>2110</v>
      </c>
      <c r="BC11" s="6" t="n">
        <v>2017</v>
      </c>
      <c r="BD11" s="6" t="n">
        <v>2023</v>
      </c>
      <c r="BE11" s="6" t="n">
        <v>2130</v>
      </c>
      <c r="BF11" s="6" t="n">
        <v>2171</v>
      </c>
      <c r="BG11" s="6" t="n">
        <v>2571</v>
      </c>
      <c r="BH11" s="6" t="n">
        <v>2738</v>
      </c>
      <c r="BI11" s="6" t="n">
        <v>2740</v>
      </c>
      <c r="BJ11" s="6" t="n">
        <v>3201</v>
      </c>
      <c r="BK11" s="6" t="n">
        <v>3510</v>
      </c>
      <c r="BL11" s="6" t="n">
        <v>3580</v>
      </c>
      <c r="BM11" s="6" t="n">
        <v>4050</v>
      </c>
      <c r="BN11" s="6" t="n">
        <v>4301</v>
      </c>
      <c r="BO11" s="6" t="n">
        <v>9500</v>
      </c>
      <c r="BP11" s="6" t="n">
        <v>10000</v>
      </c>
      <c r="BQ11" s="6" t="n">
        <v>10000</v>
      </c>
      <c r="BR11" s="6" t="n">
        <v>10000</v>
      </c>
      <c r="BS11" s="6" t="n">
        <v>10000</v>
      </c>
      <c r="BT11" s="6" t="n">
        <v>10000</v>
      </c>
      <c r="BU11" s="6" t="n">
        <v>10000</v>
      </c>
      <c r="BV11" s="6" t="n">
        <v>10000</v>
      </c>
      <c r="BW11" s="6" t="n">
        <v>10000</v>
      </c>
      <c r="BX11" s="6" t="n">
        <v>10000</v>
      </c>
      <c r="BY11" s="6" t="n">
        <v>10000</v>
      </c>
      <c r="BZ11" s="6" t="n">
        <v>10000</v>
      </c>
      <c r="CA11" s="6" t="n">
        <v>10000</v>
      </c>
      <c r="CB11" s="6" t="n">
        <v>10000</v>
      </c>
      <c r="CC11" s="6" t="n">
        <v>10000</v>
      </c>
      <c r="CD11" s="6" t="n">
        <v>10000</v>
      </c>
      <c r="CE11" s="6" t="n">
        <v>10000</v>
      </c>
      <c r="CF11" s="6" t="n">
        <v>10000</v>
      </c>
      <c r="CG11" s="6" t="n">
        <v>10000</v>
      </c>
      <c r="CH11" s="6" t="n">
        <v>10000</v>
      </c>
      <c r="CI11" s="6" t="n">
        <v>10000</v>
      </c>
      <c r="CJ11" s="6" t="n">
        <v>10000</v>
      </c>
      <c r="CK11" s="6" t="n">
        <v>10000</v>
      </c>
      <c r="CL11" s="6" t="n">
        <v>10000</v>
      </c>
      <c r="CM11" s="6" t="n">
        <v>10000</v>
      </c>
      <c r="CN11" s="6" t="n">
        <v>10000</v>
      </c>
      <c r="CO11" s="6" t="n">
        <v>10000</v>
      </c>
      <c r="CP11" s="6" t="n">
        <v>10000</v>
      </c>
      <c r="CQ11" s="6" t="n">
        <v>10000</v>
      </c>
      <c r="CR11" s="6" t="n">
        <v>10000</v>
      </c>
      <c r="CS11" s="6" t="n">
        <v>10000</v>
      </c>
      <c r="CT11" s="6" t="n">
        <v>10000</v>
      </c>
      <c r="CU11" s="6" t="n">
        <v>10000</v>
      </c>
      <c r="CV11" s="6" t="n">
        <v>10000</v>
      </c>
      <c r="CW11" s="6" t="n">
        <v>10000</v>
      </c>
      <c r="CX11" s="6" t="n">
        <v>10000</v>
      </c>
      <c r="CY11" s="6" t="n">
        <v>10000</v>
      </c>
      <c r="CZ11" s="6" t="n">
        <v>10000</v>
      </c>
      <c r="DA11" s="6" t="n">
        <v>10000</v>
      </c>
      <c r="DB11" s="6" t="n">
        <v>10000</v>
      </c>
      <c r="DC11" s="6" t="n">
        <v>10000</v>
      </c>
      <c r="DD11" s="6" t="n">
        <v>10000</v>
      </c>
      <c r="DE11" s="6" t="n">
        <v>10000</v>
      </c>
      <c r="DF11" s="6" t="n">
        <v>10000</v>
      </c>
      <c r="DG11" s="6" t="n">
        <v>10000</v>
      </c>
      <c r="DH11" s="6" t="n">
        <v>10000</v>
      </c>
      <c r="DI11" s="6" t="n">
        <v>10000</v>
      </c>
      <c r="DJ11" s="6" t="n">
        <v>10000</v>
      </c>
      <c r="DK11" s="6" t="n">
        <v>10000</v>
      </c>
      <c r="DL11" s="6" t="n">
        <v>10000</v>
      </c>
      <c r="DM11" s="6" t="n">
        <v>10000</v>
      </c>
      <c r="DN11" s="6" t="n">
        <v>10000</v>
      </c>
      <c r="DO11" s="6" t="n">
        <v>10000</v>
      </c>
      <c r="DP11" s="6" t="n">
        <v>10000</v>
      </c>
      <c r="DQ11" s="6" t="n">
        <v>10000</v>
      </c>
      <c r="DR11" s="6" t="n">
        <v>10000</v>
      </c>
      <c r="DS11" s="6" t="n">
        <v>10000</v>
      </c>
      <c r="DT11" s="6" t="n">
        <v>10000</v>
      </c>
      <c r="DU11" s="6" t="n">
        <v>10000</v>
      </c>
      <c r="DV11" s="6" t="n">
        <v>10000</v>
      </c>
      <c r="DW11" s="6" t="n">
        <v>10000</v>
      </c>
      <c r="DX11" s="6" t="n">
        <v>10000</v>
      </c>
      <c r="DY11" s="6" t="n">
        <v>10000</v>
      </c>
      <c r="DZ11" s="6" t="n">
        <v>10000</v>
      </c>
      <c r="EA11" s="6" t="n">
        <v>10000</v>
      </c>
      <c r="EB11" s="6" t="n">
        <v>9999</v>
      </c>
      <c r="EC11" s="6" t="n">
        <v>9999</v>
      </c>
      <c r="ED11" s="6" t="n">
        <v>3980</v>
      </c>
      <c r="EE11" s="6" t="n">
        <v>3980</v>
      </c>
      <c r="EF11" s="6" t="n">
        <v>3746</v>
      </c>
      <c r="EG11" s="6" t="n">
        <v>3528</v>
      </c>
      <c r="EH11" s="6" t="n">
        <v>3100</v>
      </c>
      <c r="EI11" s="6" t="n">
        <v>2901</v>
      </c>
      <c r="EJ11" s="6" t="n">
        <v>2760</v>
      </c>
      <c r="EK11" s="6" t="n">
        <v>2760</v>
      </c>
      <c r="EL11" s="6" t="n">
        <v>2814</v>
      </c>
      <c r="EM11" s="6" t="n">
        <v>2780</v>
      </c>
      <c r="EN11" s="6" t="n">
        <v>2741</v>
      </c>
      <c r="EO11" s="6" t="n">
        <v>2661</v>
      </c>
      <c r="EP11" s="6" t="n">
        <v>2660</v>
      </c>
      <c r="EQ11" s="6" t="n">
        <v>2428</v>
      </c>
      <c r="ER11" s="6" t="n">
        <v>2370</v>
      </c>
      <c r="ES11" s="6" t="n">
        <v>2245</v>
      </c>
      <c r="ET11" s="6" t="n">
        <v>2110</v>
      </c>
      <c r="EU11" s="6" t="n">
        <v>2017</v>
      </c>
      <c r="EV11" s="6" t="n">
        <v>2023</v>
      </c>
      <c r="EW11" s="6" t="n">
        <v>2130</v>
      </c>
      <c r="EX11" s="6" t="n">
        <v>2171</v>
      </c>
      <c r="EY11" s="6" t="n">
        <v>2571</v>
      </c>
      <c r="EZ11" s="6" t="n">
        <v>2738</v>
      </c>
      <c r="FA11" s="6" t="n">
        <v>2740</v>
      </c>
      <c r="FB11" s="6" t="n">
        <v>3201</v>
      </c>
      <c r="FC11" s="6" t="n">
        <v>3510</v>
      </c>
      <c r="FD11" s="6" t="n">
        <v>3580</v>
      </c>
      <c r="FE11" s="6" t="n">
        <v>4050</v>
      </c>
      <c r="FF11" s="6" t="n">
        <v>4301</v>
      </c>
      <c r="FG11" s="6" t="n">
        <v>9500</v>
      </c>
      <c r="FH11" s="6" t="n">
        <v>10000</v>
      </c>
      <c r="FI11" s="6" t="n">
        <v>10000</v>
      </c>
      <c r="FJ11" s="6" t="n">
        <v>10000</v>
      </c>
      <c r="FK11" s="6" t="n">
        <v>10000</v>
      </c>
      <c r="FL11" s="6" t="n">
        <v>10000</v>
      </c>
      <c r="FM11" s="6" t="n">
        <v>10000</v>
      </c>
      <c r="FN11" s="6" t="n">
        <v>10000</v>
      </c>
      <c r="FO11" s="6" t="n">
        <v>10000</v>
      </c>
      <c r="FP11" s="6" t="n">
        <v>10000</v>
      </c>
      <c r="FQ11" s="6" t="n">
        <v>10000</v>
      </c>
      <c r="FR11" s="6" t="n">
        <v>10000</v>
      </c>
      <c r="FS11" s="6" t="n">
        <v>10000</v>
      </c>
      <c r="FT11" s="6" t="n">
        <v>10000</v>
      </c>
      <c r="FU11" s="6" t="n">
        <v>10000</v>
      </c>
      <c r="FV11" s="6" t="n">
        <v>10000</v>
      </c>
      <c r="FW11" s="6" t="n">
        <v>10000</v>
      </c>
      <c r="FX11" s="6" t="n">
        <v>10000</v>
      </c>
      <c r="FY11" s="6" t="n">
        <v>10000</v>
      </c>
      <c r="FZ11" s="6" t="n">
        <v>10000</v>
      </c>
      <c r="GA11" s="6" t="n">
        <v>10000</v>
      </c>
      <c r="GB11" s="6" t="n">
        <v>10000</v>
      </c>
      <c r="GC11" s="6" t="n">
        <v>10000</v>
      </c>
      <c r="GD11" s="6" t="n">
        <v>10000</v>
      </c>
      <c r="GE11" s="6" t="n">
        <v>10000</v>
      </c>
      <c r="GF11" s="6" t="n">
        <v>10000</v>
      </c>
      <c r="GG11" s="6" t="n">
        <v>10000</v>
      </c>
      <c r="GH11" s="6" t="n">
        <v>10000</v>
      </c>
      <c r="GI11" s="6" t="n">
        <v>10000</v>
      </c>
      <c r="GJ11" s="6" t="n">
        <v>10000</v>
      </c>
      <c r="GK11" s="6" t="n">
        <v>10000</v>
      </c>
      <c r="GL11" s="6" t="n">
        <v>10000</v>
      </c>
    </row>
    <row r="12">
      <c r="A12" s="6" t="inlineStr">
        <is>
          <t>DAM</t>
        </is>
      </c>
      <c r="B12" s="6" t="n">
        <v>9</v>
      </c>
      <c r="C12" s="6" t="n">
        <v>10000</v>
      </c>
      <c r="D12" s="6" t="n">
        <v>10000</v>
      </c>
      <c r="E12" s="6" t="n">
        <v>10000</v>
      </c>
      <c r="F12" s="6" t="n">
        <v>10000</v>
      </c>
      <c r="G12" s="6" t="n">
        <v>10000</v>
      </c>
      <c r="H12" s="6" t="n">
        <v>10000</v>
      </c>
      <c r="I12" s="6" t="n">
        <v>10000</v>
      </c>
      <c r="J12" s="6" t="n">
        <v>10000</v>
      </c>
      <c r="K12" s="6" t="n">
        <v>10000</v>
      </c>
      <c r="L12" s="6" t="n">
        <v>10000</v>
      </c>
      <c r="M12" s="6" t="n">
        <v>10000</v>
      </c>
      <c r="N12" s="6" t="n">
        <v>10000</v>
      </c>
      <c r="O12" s="6" t="n">
        <v>10000</v>
      </c>
      <c r="P12" s="6" t="n">
        <v>10000</v>
      </c>
      <c r="Q12" s="6" t="n">
        <v>10000</v>
      </c>
      <c r="R12" s="6" t="n">
        <v>10000</v>
      </c>
      <c r="S12" s="6" t="n">
        <v>10000</v>
      </c>
      <c r="T12" s="6" t="n">
        <v>10000</v>
      </c>
      <c r="U12" s="6" t="n">
        <v>10000</v>
      </c>
      <c r="V12" s="6" t="n">
        <v>10000</v>
      </c>
      <c r="W12" s="6" t="n">
        <v>10000</v>
      </c>
      <c r="X12" s="6" t="n">
        <v>10000</v>
      </c>
      <c r="Y12" s="6" t="n">
        <v>10000</v>
      </c>
      <c r="Z12" s="6" t="n">
        <v>10000</v>
      </c>
      <c r="AA12" s="6" t="n">
        <v>10000</v>
      </c>
      <c r="AB12" s="6" t="n">
        <v>10000</v>
      </c>
      <c r="AC12" s="6" t="n">
        <v>10000</v>
      </c>
      <c r="AD12" s="6" t="n">
        <v>10000</v>
      </c>
      <c r="AE12" s="6" t="n">
        <v>10000</v>
      </c>
      <c r="AF12" s="6" t="n">
        <v>10000</v>
      </c>
      <c r="AG12" s="6" t="n">
        <v>10000</v>
      </c>
      <c r="AH12" s="6" t="n">
        <v>10000</v>
      </c>
      <c r="AI12" s="6" t="n">
        <v>10000</v>
      </c>
      <c r="AJ12" s="6" t="n">
        <v>10000</v>
      </c>
      <c r="AK12" s="6" t="n">
        <v>9001</v>
      </c>
      <c r="AL12" s="6" t="n">
        <v>7842</v>
      </c>
      <c r="AM12" s="6" t="n">
        <v>5001</v>
      </c>
      <c r="AN12" s="6" t="n">
        <v>3788</v>
      </c>
      <c r="AO12" s="6" t="n">
        <v>3500</v>
      </c>
      <c r="AP12" s="6" t="n">
        <v>3299</v>
      </c>
      <c r="AQ12" s="6" t="n">
        <v>2621</v>
      </c>
      <c r="AR12" s="6" t="n">
        <v>2251</v>
      </c>
      <c r="AS12" s="6" t="n">
        <v>2171</v>
      </c>
      <c r="AT12" s="6" t="n">
        <v>2601</v>
      </c>
      <c r="AU12" s="6" t="n">
        <v>2441</v>
      </c>
      <c r="AV12" s="6" t="n">
        <v>2190</v>
      </c>
      <c r="AW12" s="6" t="n">
        <v>2170</v>
      </c>
      <c r="AX12" s="6" t="n">
        <v>2168</v>
      </c>
      <c r="AY12" s="6" t="n">
        <v>2168</v>
      </c>
      <c r="AZ12" s="6" t="n">
        <v>2163</v>
      </c>
      <c r="BA12" s="6" t="n">
        <v>2162</v>
      </c>
      <c r="BB12" s="6" t="n">
        <v>2093</v>
      </c>
      <c r="BC12" s="6" t="n">
        <v>1999</v>
      </c>
      <c r="BD12" s="6" t="n">
        <v>1999</v>
      </c>
      <c r="BE12" s="6" t="n">
        <v>2094</v>
      </c>
      <c r="BF12" s="6" t="n">
        <v>2170</v>
      </c>
      <c r="BG12" s="6" t="n">
        <v>2611</v>
      </c>
      <c r="BH12" s="6" t="n">
        <v>2850</v>
      </c>
      <c r="BI12" s="6" t="n">
        <v>2988</v>
      </c>
      <c r="BJ12" s="6" t="n">
        <v>3088</v>
      </c>
      <c r="BK12" s="6" t="n">
        <v>3711</v>
      </c>
      <c r="BL12" s="6" t="n">
        <v>4003</v>
      </c>
      <c r="BM12" s="6" t="n">
        <v>5500</v>
      </c>
      <c r="BN12" s="6" t="n">
        <v>6000</v>
      </c>
      <c r="BO12" s="6" t="n">
        <v>10000</v>
      </c>
      <c r="BP12" s="6" t="n">
        <v>10000</v>
      </c>
      <c r="BQ12" s="6" t="n">
        <v>10000</v>
      </c>
      <c r="BR12" s="6" t="n">
        <v>10000</v>
      </c>
      <c r="BS12" s="6" t="n">
        <v>10000</v>
      </c>
      <c r="BT12" s="6" t="n">
        <v>10000</v>
      </c>
      <c r="BU12" s="6" t="n">
        <v>10000</v>
      </c>
      <c r="BV12" s="6" t="n">
        <v>10000</v>
      </c>
      <c r="BW12" s="6" t="n">
        <v>10000</v>
      </c>
      <c r="BX12" s="6" t="n">
        <v>10000</v>
      </c>
      <c r="BY12" s="6" t="n">
        <v>10000</v>
      </c>
      <c r="BZ12" s="6" t="n">
        <v>10000</v>
      </c>
      <c r="CA12" s="6" t="n">
        <v>10000</v>
      </c>
      <c r="CB12" s="6" t="n">
        <v>10000</v>
      </c>
      <c r="CC12" s="6" t="n">
        <v>10000</v>
      </c>
      <c r="CD12" s="6" t="n">
        <v>10000</v>
      </c>
      <c r="CE12" s="6" t="n">
        <v>10000</v>
      </c>
      <c r="CF12" s="6" t="n">
        <v>10000</v>
      </c>
      <c r="CG12" s="6" t="n">
        <v>10000</v>
      </c>
      <c r="CH12" s="6" t="n">
        <v>10000</v>
      </c>
      <c r="CI12" s="6" t="n">
        <v>10000</v>
      </c>
      <c r="CJ12" s="6" t="n">
        <v>10000</v>
      </c>
      <c r="CK12" s="6" t="n">
        <v>10000</v>
      </c>
      <c r="CL12" s="6" t="n">
        <v>10000</v>
      </c>
      <c r="CM12" s="6" t="n">
        <v>10000</v>
      </c>
      <c r="CN12" s="6" t="n">
        <v>10000</v>
      </c>
      <c r="CO12" s="6" t="n">
        <v>10000</v>
      </c>
      <c r="CP12" s="6" t="n">
        <v>10000</v>
      </c>
      <c r="CQ12" s="6" t="n">
        <v>10000</v>
      </c>
      <c r="CR12" s="6" t="n">
        <v>10000</v>
      </c>
      <c r="CS12" s="6" t="n">
        <v>10000</v>
      </c>
      <c r="CT12" s="6" t="n">
        <v>10000</v>
      </c>
      <c r="CU12" s="6" t="n">
        <v>10000</v>
      </c>
      <c r="CV12" s="6" t="n">
        <v>10000</v>
      </c>
      <c r="CW12" s="6" t="n">
        <v>10000</v>
      </c>
      <c r="CX12" s="6" t="n">
        <v>10000</v>
      </c>
      <c r="CY12" s="6" t="n">
        <v>10000</v>
      </c>
      <c r="CZ12" s="6" t="n">
        <v>10000</v>
      </c>
      <c r="DA12" s="6" t="n">
        <v>10000</v>
      </c>
      <c r="DB12" s="6" t="n">
        <v>10000</v>
      </c>
      <c r="DC12" s="6" t="n">
        <v>10000</v>
      </c>
      <c r="DD12" s="6" t="n">
        <v>10000</v>
      </c>
      <c r="DE12" s="6" t="n">
        <v>10000</v>
      </c>
      <c r="DF12" s="6" t="n">
        <v>10000</v>
      </c>
      <c r="DG12" s="6" t="n">
        <v>10000</v>
      </c>
      <c r="DH12" s="6" t="n">
        <v>10000</v>
      </c>
      <c r="DI12" s="6" t="n">
        <v>10000</v>
      </c>
      <c r="DJ12" s="6" t="n">
        <v>10000</v>
      </c>
      <c r="DK12" s="6" t="n">
        <v>10000</v>
      </c>
      <c r="DL12" s="6" t="n">
        <v>10000</v>
      </c>
      <c r="DM12" s="6" t="n">
        <v>10000</v>
      </c>
      <c r="DN12" s="6" t="n">
        <v>10000</v>
      </c>
      <c r="DO12" s="6" t="n">
        <v>10000</v>
      </c>
      <c r="DP12" s="6" t="n">
        <v>10000</v>
      </c>
      <c r="DQ12" s="6" t="n">
        <v>10000</v>
      </c>
      <c r="DR12" s="6" t="n">
        <v>10000</v>
      </c>
      <c r="DS12" s="6" t="n">
        <v>10000</v>
      </c>
      <c r="DT12" s="6" t="n">
        <v>10000</v>
      </c>
      <c r="DU12" s="6" t="n">
        <v>10000</v>
      </c>
      <c r="DV12" s="6" t="n">
        <v>10000</v>
      </c>
      <c r="DW12" s="6" t="n">
        <v>10000</v>
      </c>
      <c r="DX12" s="6" t="n">
        <v>10000</v>
      </c>
      <c r="DY12" s="6" t="n">
        <v>10000</v>
      </c>
      <c r="DZ12" s="6" t="n">
        <v>10000</v>
      </c>
      <c r="EA12" s="6" t="n">
        <v>10000</v>
      </c>
      <c r="EB12" s="6" t="n">
        <v>10000</v>
      </c>
      <c r="EC12" s="6" t="n">
        <v>9001</v>
      </c>
      <c r="ED12" s="6" t="n">
        <v>7842</v>
      </c>
      <c r="EE12" s="6" t="n">
        <v>5001</v>
      </c>
      <c r="EF12" s="6" t="n">
        <v>3788</v>
      </c>
      <c r="EG12" s="6" t="n">
        <v>3500</v>
      </c>
      <c r="EH12" s="6" t="n">
        <v>3299</v>
      </c>
      <c r="EI12" s="6" t="n">
        <v>2621</v>
      </c>
      <c r="EJ12" s="6" t="n">
        <v>2251</v>
      </c>
      <c r="EK12" s="6" t="n">
        <v>2171</v>
      </c>
      <c r="EL12" s="6" t="n">
        <v>2601</v>
      </c>
      <c r="EM12" s="6" t="n">
        <v>2441</v>
      </c>
      <c r="EN12" s="6" t="n">
        <v>2190</v>
      </c>
      <c r="EO12" s="6" t="n">
        <v>2170</v>
      </c>
      <c r="EP12" s="6" t="n">
        <v>2168</v>
      </c>
      <c r="EQ12" s="6" t="n">
        <v>2168</v>
      </c>
      <c r="ER12" s="6" t="n">
        <v>2163</v>
      </c>
      <c r="ES12" s="6" t="n">
        <v>2162</v>
      </c>
      <c r="ET12" s="6" t="n">
        <v>2093</v>
      </c>
      <c r="EU12" s="6" t="n">
        <v>1999</v>
      </c>
      <c r="EV12" s="6" t="n">
        <v>1999</v>
      </c>
      <c r="EW12" s="6" t="n">
        <v>2094</v>
      </c>
      <c r="EX12" s="6" t="n">
        <v>2170</v>
      </c>
      <c r="EY12" s="6" t="n">
        <v>2611</v>
      </c>
      <c r="EZ12" s="6" t="n">
        <v>2850</v>
      </c>
      <c r="FA12" s="6" t="n">
        <v>2988</v>
      </c>
      <c r="FB12" s="6" t="n">
        <v>3088</v>
      </c>
      <c r="FC12" s="6" t="n">
        <v>3711</v>
      </c>
      <c r="FD12" s="6" t="n">
        <v>4003</v>
      </c>
      <c r="FE12" s="6" t="n">
        <v>5500</v>
      </c>
      <c r="FF12" s="6" t="n">
        <v>6000</v>
      </c>
      <c r="FG12" s="6" t="n">
        <v>10000</v>
      </c>
      <c r="FH12" s="6" t="n">
        <v>10000</v>
      </c>
      <c r="FI12" s="6" t="n">
        <v>10000</v>
      </c>
      <c r="FJ12" s="6" t="n">
        <v>10000</v>
      </c>
      <c r="FK12" s="6" t="n">
        <v>10000</v>
      </c>
      <c r="FL12" s="6" t="n">
        <v>10000</v>
      </c>
      <c r="FM12" s="6" t="n">
        <v>10000</v>
      </c>
      <c r="FN12" s="6" t="n">
        <v>10000</v>
      </c>
      <c r="FO12" s="6" t="n">
        <v>10000</v>
      </c>
      <c r="FP12" s="6" t="n">
        <v>10000</v>
      </c>
      <c r="FQ12" s="6" t="n">
        <v>10000</v>
      </c>
      <c r="FR12" s="6" t="n">
        <v>10000</v>
      </c>
      <c r="FS12" s="6" t="n">
        <v>10000</v>
      </c>
      <c r="FT12" s="6" t="n">
        <v>10000</v>
      </c>
      <c r="FU12" s="6" t="n">
        <v>10000</v>
      </c>
      <c r="FV12" s="6" t="n">
        <v>10000</v>
      </c>
      <c r="FW12" s="6" t="n">
        <v>10000</v>
      </c>
      <c r="FX12" s="6" t="n">
        <v>10000</v>
      </c>
      <c r="FY12" s="6" t="n">
        <v>10000</v>
      </c>
      <c r="FZ12" s="6" t="n">
        <v>10000</v>
      </c>
      <c r="GA12" s="6" t="n">
        <v>10000</v>
      </c>
      <c r="GB12" s="6" t="n">
        <v>10000</v>
      </c>
      <c r="GC12" s="6" t="n">
        <v>10000</v>
      </c>
      <c r="GD12" s="6" t="n">
        <v>10000</v>
      </c>
      <c r="GE12" s="6" t="n">
        <v>10000</v>
      </c>
      <c r="GF12" s="6" t="n">
        <v>10000</v>
      </c>
      <c r="GG12" s="6" t="n">
        <v>10000</v>
      </c>
      <c r="GH12" s="6" t="n">
        <v>10000</v>
      </c>
      <c r="GI12" s="6" t="n">
        <v>10000</v>
      </c>
      <c r="GJ12" s="6" t="n">
        <v>10000</v>
      </c>
      <c r="GK12" s="6" t="n">
        <v>10000</v>
      </c>
      <c r="GL12" s="6" t="n">
        <v>10000</v>
      </c>
    </row>
    <row r="13">
      <c r="A13" s="6" t="inlineStr">
        <is>
          <t>DAM</t>
        </is>
      </c>
      <c r="B13" s="6" t="n">
        <v>10</v>
      </c>
      <c r="C13" s="6" t="n">
        <v>10000</v>
      </c>
      <c r="D13" s="6" t="n">
        <v>10000</v>
      </c>
      <c r="E13" s="6" t="n">
        <v>10000</v>
      </c>
      <c r="F13" s="6" t="n">
        <v>10000</v>
      </c>
      <c r="G13" s="6" t="n">
        <v>10000</v>
      </c>
      <c r="H13" s="6" t="n">
        <v>10000</v>
      </c>
      <c r="I13" s="6" t="n">
        <v>10000</v>
      </c>
      <c r="J13" s="6" t="n">
        <v>10000</v>
      </c>
      <c r="K13" s="6" t="n">
        <v>10000</v>
      </c>
      <c r="L13" s="6" t="n">
        <v>10000</v>
      </c>
      <c r="M13" s="6" t="n">
        <v>10000</v>
      </c>
      <c r="N13" s="6" t="n">
        <v>10000</v>
      </c>
      <c r="O13" s="6" t="n">
        <v>10000</v>
      </c>
      <c r="P13" s="6" t="n">
        <v>10000</v>
      </c>
      <c r="Q13" s="6" t="n">
        <v>10000</v>
      </c>
      <c r="R13" s="6" t="n">
        <v>10000</v>
      </c>
      <c r="S13" s="6" t="n">
        <v>10000</v>
      </c>
      <c r="T13" s="6" t="n">
        <v>10000</v>
      </c>
      <c r="U13" s="6" t="n">
        <v>10000</v>
      </c>
      <c r="V13" s="6" t="n">
        <v>10000</v>
      </c>
      <c r="W13" s="6" t="n">
        <v>10000</v>
      </c>
      <c r="X13" s="6" t="n">
        <v>10000</v>
      </c>
      <c r="Y13" s="6" t="n">
        <v>10000</v>
      </c>
      <c r="Z13" s="6" t="n">
        <v>10000</v>
      </c>
      <c r="AA13" s="6" t="n">
        <v>10000</v>
      </c>
      <c r="AB13" s="6" t="n">
        <v>10000</v>
      </c>
      <c r="AC13" s="6" t="n">
        <v>10000</v>
      </c>
      <c r="AD13" s="6" t="n">
        <v>10000</v>
      </c>
      <c r="AE13" s="6" t="n">
        <v>10000</v>
      </c>
      <c r="AF13" s="6" t="n">
        <v>10000</v>
      </c>
      <c r="AG13" s="6" t="n">
        <v>10000</v>
      </c>
      <c r="AH13" s="6" t="n">
        <v>10000</v>
      </c>
      <c r="AI13" s="6" t="n">
        <v>10000</v>
      </c>
      <c r="AJ13" s="6" t="n">
        <v>10000</v>
      </c>
      <c r="AK13" s="6" t="n">
        <v>10000</v>
      </c>
      <c r="AL13" s="6" t="n">
        <v>10000</v>
      </c>
      <c r="AM13" s="6" t="n">
        <v>5820</v>
      </c>
      <c r="AN13" s="6" t="n">
        <v>4092</v>
      </c>
      <c r="AO13" s="6" t="n">
        <v>3743</v>
      </c>
      <c r="AP13" s="6" t="n">
        <v>3441</v>
      </c>
      <c r="AQ13" s="6" t="n">
        <v>3463</v>
      </c>
      <c r="AR13" s="6" t="n">
        <v>3440</v>
      </c>
      <c r="AS13" s="6" t="n">
        <v>3393</v>
      </c>
      <c r="AT13" s="6" t="n">
        <v>3200</v>
      </c>
      <c r="AU13" s="6" t="n">
        <v>2999</v>
      </c>
      <c r="AV13" s="6" t="n">
        <v>2980</v>
      </c>
      <c r="AW13" s="6" t="n">
        <v>2781</v>
      </c>
      <c r="AX13" s="6" t="n">
        <v>2760</v>
      </c>
      <c r="AY13" s="6" t="n">
        <v>2661</v>
      </c>
      <c r="AZ13" s="6" t="n">
        <v>2660</v>
      </c>
      <c r="BA13" s="6" t="n">
        <v>2660</v>
      </c>
      <c r="BB13" s="6" t="n">
        <v>2660</v>
      </c>
      <c r="BC13" s="6" t="n">
        <v>2612</v>
      </c>
      <c r="BD13" s="6" t="n">
        <v>2612</v>
      </c>
      <c r="BE13" s="6" t="n">
        <v>2688</v>
      </c>
      <c r="BF13" s="6" t="n">
        <v>2850</v>
      </c>
      <c r="BG13" s="6" t="n">
        <v>3049</v>
      </c>
      <c r="BH13" s="6" t="n">
        <v>3302</v>
      </c>
      <c r="BI13" s="6" t="n">
        <v>3491</v>
      </c>
      <c r="BJ13" s="6" t="n">
        <v>3710</v>
      </c>
      <c r="BK13" s="6" t="n">
        <v>4091</v>
      </c>
      <c r="BL13" s="6" t="n">
        <v>5499</v>
      </c>
      <c r="BM13" s="6" t="n">
        <v>7501</v>
      </c>
      <c r="BN13" s="6" t="n">
        <v>10000</v>
      </c>
      <c r="BO13" s="6" t="n">
        <v>10000</v>
      </c>
      <c r="BP13" s="6" t="n">
        <v>10000</v>
      </c>
      <c r="BQ13" s="6" t="n">
        <v>10000</v>
      </c>
      <c r="BR13" s="6" t="n">
        <v>10000</v>
      </c>
      <c r="BS13" s="6" t="n">
        <v>10000</v>
      </c>
      <c r="BT13" s="6" t="n">
        <v>10000</v>
      </c>
      <c r="BU13" s="6" t="n">
        <v>10000</v>
      </c>
      <c r="BV13" s="6" t="n">
        <v>10000</v>
      </c>
      <c r="BW13" s="6" t="n">
        <v>10000</v>
      </c>
      <c r="BX13" s="6" t="n">
        <v>10000</v>
      </c>
      <c r="BY13" s="6" t="n">
        <v>10000</v>
      </c>
      <c r="BZ13" s="6" t="n">
        <v>10000</v>
      </c>
      <c r="CA13" s="6" t="n">
        <v>10000</v>
      </c>
      <c r="CB13" s="6" t="n">
        <v>10000</v>
      </c>
      <c r="CC13" s="6" t="n">
        <v>10000</v>
      </c>
      <c r="CD13" s="6" t="n">
        <v>10000</v>
      </c>
      <c r="CE13" s="6" t="n">
        <v>10000</v>
      </c>
      <c r="CF13" s="6" t="n">
        <v>10000</v>
      </c>
      <c r="CG13" s="6" t="n">
        <v>10000</v>
      </c>
      <c r="CH13" s="6" t="n">
        <v>10000</v>
      </c>
      <c r="CI13" s="6" t="n">
        <v>10000</v>
      </c>
      <c r="CJ13" s="6" t="n">
        <v>10000</v>
      </c>
      <c r="CK13" s="6" t="n">
        <v>10000</v>
      </c>
      <c r="CL13" s="6" t="n">
        <v>10000</v>
      </c>
      <c r="CM13" s="6" t="n">
        <v>10000</v>
      </c>
      <c r="CN13" s="6" t="n">
        <v>10000</v>
      </c>
      <c r="CO13" s="6" t="n">
        <v>10000</v>
      </c>
      <c r="CP13" s="6" t="n">
        <v>10000</v>
      </c>
      <c r="CQ13" s="6" t="n">
        <v>10000</v>
      </c>
      <c r="CR13" s="6" t="n">
        <v>10000</v>
      </c>
      <c r="CS13" s="6" t="n">
        <v>10000</v>
      </c>
      <c r="CT13" s="6" t="n">
        <v>10000</v>
      </c>
      <c r="CU13" s="6" t="n">
        <v>10000</v>
      </c>
      <c r="CV13" s="6" t="n">
        <v>10000</v>
      </c>
      <c r="CW13" s="6" t="n">
        <v>10000</v>
      </c>
      <c r="CX13" s="6" t="n">
        <v>10000</v>
      </c>
      <c r="CY13" s="6" t="n">
        <v>10000</v>
      </c>
      <c r="CZ13" s="6" t="n">
        <v>10000</v>
      </c>
      <c r="DA13" s="6" t="n">
        <v>10000</v>
      </c>
      <c r="DB13" s="6" t="n">
        <v>10000</v>
      </c>
      <c r="DC13" s="6" t="n">
        <v>10000</v>
      </c>
      <c r="DD13" s="6" t="n">
        <v>10000</v>
      </c>
      <c r="DE13" s="6" t="n">
        <v>10000</v>
      </c>
      <c r="DF13" s="6" t="n">
        <v>10000</v>
      </c>
      <c r="DG13" s="6" t="n">
        <v>10000</v>
      </c>
      <c r="DH13" s="6" t="n">
        <v>10000</v>
      </c>
      <c r="DI13" s="6" t="n">
        <v>10000</v>
      </c>
      <c r="DJ13" s="6" t="n">
        <v>10000</v>
      </c>
      <c r="DK13" s="6" t="n">
        <v>10000</v>
      </c>
      <c r="DL13" s="6" t="n">
        <v>10000</v>
      </c>
      <c r="DM13" s="6" t="n">
        <v>10000</v>
      </c>
      <c r="DN13" s="6" t="n">
        <v>10000</v>
      </c>
      <c r="DO13" s="6" t="n">
        <v>10000</v>
      </c>
      <c r="DP13" s="6" t="n">
        <v>10000</v>
      </c>
      <c r="DQ13" s="6" t="n">
        <v>10000</v>
      </c>
      <c r="DR13" s="6" t="n">
        <v>10000</v>
      </c>
      <c r="DS13" s="6" t="n">
        <v>10000</v>
      </c>
      <c r="DT13" s="6" t="n">
        <v>10000</v>
      </c>
      <c r="DU13" s="6" t="n">
        <v>10000</v>
      </c>
      <c r="DV13" s="6" t="n">
        <v>10000</v>
      </c>
      <c r="DW13" s="6" t="n">
        <v>10000</v>
      </c>
      <c r="DX13" s="6" t="n">
        <v>10000</v>
      </c>
      <c r="DY13" s="6" t="n">
        <v>10000</v>
      </c>
      <c r="DZ13" s="6" t="n">
        <v>10000</v>
      </c>
      <c r="EA13" s="6" t="n">
        <v>10000</v>
      </c>
      <c r="EB13" s="6" t="n">
        <v>10000</v>
      </c>
      <c r="EC13" s="6" t="n">
        <v>10000</v>
      </c>
      <c r="ED13" s="6" t="n">
        <v>10000</v>
      </c>
      <c r="EE13" s="6" t="n">
        <v>5820</v>
      </c>
      <c r="EF13" s="6" t="n">
        <v>4092</v>
      </c>
      <c r="EG13" s="6" t="n">
        <v>3743</v>
      </c>
      <c r="EH13" s="6" t="n">
        <v>3441</v>
      </c>
      <c r="EI13" s="6" t="n">
        <v>3463</v>
      </c>
      <c r="EJ13" s="6" t="n">
        <v>3440</v>
      </c>
      <c r="EK13" s="6" t="n">
        <v>3393</v>
      </c>
      <c r="EL13" s="6" t="n">
        <v>3200</v>
      </c>
      <c r="EM13" s="6" t="n">
        <v>2999</v>
      </c>
      <c r="EN13" s="6" t="n">
        <v>2980</v>
      </c>
      <c r="EO13" s="6" t="n">
        <v>2781</v>
      </c>
      <c r="EP13" s="6" t="n">
        <v>2760</v>
      </c>
      <c r="EQ13" s="6" t="n">
        <v>2661</v>
      </c>
      <c r="ER13" s="6" t="n">
        <v>2660</v>
      </c>
      <c r="ES13" s="6" t="n">
        <v>2660</v>
      </c>
      <c r="ET13" s="6" t="n">
        <v>2660</v>
      </c>
      <c r="EU13" s="6" t="n">
        <v>2612</v>
      </c>
      <c r="EV13" s="6" t="n">
        <v>2612</v>
      </c>
      <c r="EW13" s="6" t="n">
        <v>2688</v>
      </c>
      <c r="EX13" s="6" t="n">
        <v>2850</v>
      </c>
      <c r="EY13" s="6" t="n">
        <v>3049</v>
      </c>
      <c r="EZ13" s="6" t="n">
        <v>3302</v>
      </c>
      <c r="FA13" s="6" t="n">
        <v>3491</v>
      </c>
      <c r="FB13" s="6" t="n">
        <v>3710</v>
      </c>
      <c r="FC13" s="6" t="n">
        <v>4091</v>
      </c>
      <c r="FD13" s="6" t="n">
        <v>5499</v>
      </c>
      <c r="FE13" s="6" t="n">
        <v>7501</v>
      </c>
      <c r="FF13" s="6" t="n">
        <v>10000</v>
      </c>
      <c r="FG13" s="6" t="n">
        <v>10000</v>
      </c>
      <c r="FH13" s="6" t="n">
        <v>10000</v>
      </c>
      <c r="FI13" s="6" t="n">
        <v>10000</v>
      </c>
      <c r="FJ13" s="6" t="n">
        <v>10000</v>
      </c>
      <c r="FK13" s="6" t="n">
        <v>10000</v>
      </c>
      <c r="FL13" s="6" t="n">
        <v>10000</v>
      </c>
      <c r="FM13" s="6" t="n">
        <v>10000</v>
      </c>
      <c r="FN13" s="6" t="n">
        <v>10000</v>
      </c>
      <c r="FO13" s="6" t="n">
        <v>10000</v>
      </c>
      <c r="FP13" s="6" t="n">
        <v>10000</v>
      </c>
      <c r="FQ13" s="6" t="n">
        <v>10000</v>
      </c>
      <c r="FR13" s="6" t="n">
        <v>10000</v>
      </c>
      <c r="FS13" s="6" t="n">
        <v>10000</v>
      </c>
      <c r="FT13" s="6" t="n">
        <v>10000</v>
      </c>
      <c r="FU13" s="6" t="n">
        <v>10000</v>
      </c>
      <c r="FV13" s="6" t="n">
        <v>10000</v>
      </c>
      <c r="FW13" s="6" t="n">
        <v>10000</v>
      </c>
      <c r="FX13" s="6" t="n">
        <v>10000</v>
      </c>
      <c r="FY13" s="6" t="n">
        <v>10000</v>
      </c>
      <c r="FZ13" s="6" t="n">
        <v>10000</v>
      </c>
      <c r="GA13" s="6" t="n">
        <v>10000</v>
      </c>
      <c r="GB13" s="6" t="n">
        <v>10000</v>
      </c>
      <c r="GC13" s="6" t="n">
        <v>10000</v>
      </c>
      <c r="GD13" s="6" t="n">
        <v>10000</v>
      </c>
      <c r="GE13" s="6" t="n">
        <v>10000</v>
      </c>
      <c r="GF13" s="6" t="n">
        <v>10000</v>
      </c>
      <c r="GG13" s="6" t="n">
        <v>10000</v>
      </c>
      <c r="GH13" s="6" t="n">
        <v>10000</v>
      </c>
      <c r="GI13" s="6" t="n">
        <v>10000</v>
      </c>
      <c r="GJ13" s="6" t="n">
        <v>10000</v>
      </c>
      <c r="GK13" s="6" t="n">
        <v>10000</v>
      </c>
      <c r="GL13" s="6" t="n">
        <v>10000</v>
      </c>
    </row>
    <row r="14">
      <c r="A14" s="6" t="inlineStr">
        <is>
          <t>DAM</t>
        </is>
      </c>
      <c r="B14" s="6" t="n">
        <v>11</v>
      </c>
      <c r="C14" s="6" t="n">
        <v>10000</v>
      </c>
      <c r="D14" s="6" t="n">
        <v>10000</v>
      </c>
      <c r="E14" s="6" t="n">
        <v>10000</v>
      </c>
      <c r="F14" s="6" t="n">
        <v>10000</v>
      </c>
      <c r="G14" s="6" t="n">
        <v>10000</v>
      </c>
      <c r="H14" s="6" t="n">
        <v>10000</v>
      </c>
      <c r="I14" s="6" t="n">
        <v>10000</v>
      </c>
      <c r="J14" s="6" t="n">
        <v>10000</v>
      </c>
      <c r="K14" s="6" t="n">
        <v>10000</v>
      </c>
      <c r="L14" s="6" t="n">
        <v>10000</v>
      </c>
      <c r="M14" s="6" t="n">
        <v>10000</v>
      </c>
      <c r="N14" s="6" t="n">
        <v>10000</v>
      </c>
      <c r="O14" s="6" t="n">
        <v>10000</v>
      </c>
      <c r="P14" s="6" t="n">
        <v>10000</v>
      </c>
      <c r="Q14" s="6" t="n">
        <v>10000</v>
      </c>
      <c r="R14" s="6" t="n">
        <v>10000</v>
      </c>
      <c r="S14" s="6" t="n">
        <v>10000</v>
      </c>
      <c r="T14" s="6" t="n">
        <v>10000</v>
      </c>
      <c r="U14" s="6" t="n">
        <v>10000</v>
      </c>
      <c r="V14" s="6" t="n">
        <v>10000</v>
      </c>
      <c r="W14" s="6" t="n">
        <v>10000</v>
      </c>
      <c r="X14" s="6" t="n">
        <v>10000</v>
      </c>
      <c r="Y14" s="6" t="n">
        <v>10000</v>
      </c>
      <c r="Z14" s="6" t="n">
        <v>10000</v>
      </c>
      <c r="AA14" s="6" t="n">
        <v>10000</v>
      </c>
      <c r="AB14" s="6" t="n">
        <v>10000</v>
      </c>
      <c r="AC14" s="6" t="n">
        <v>10000</v>
      </c>
      <c r="AD14" s="6" t="n">
        <v>10000</v>
      </c>
      <c r="AE14" s="6" t="n">
        <v>10000</v>
      </c>
      <c r="AF14" s="6" t="n">
        <v>10000</v>
      </c>
      <c r="AG14" s="6" t="n">
        <v>10000</v>
      </c>
      <c r="AH14" s="6" t="n">
        <v>10000</v>
      </c>
      <c r="AI14" s="6" t="n">
        <v>10000</v>
      </c>
      <c r="AJ14" s="6" t="n">
        <v>10000</v>
      </c>
      <c r="AK14" s="6" t="n">
        <v>10000</v>
      </c>
      <c r="AL14" s="6" t="n">
        <v>5820</v>
      </c>
      <c r="AM14" s="6" t="n">
        <v>4901</v>
      </c>
      <c r="AN14" s="6" t="n">
        <v>4104</v>
      </c>
      <c r="AO14" s="6" t="n">
        <v>3743</v>
      </c>
      <c r="AP14" s="6" t="n">
        <v>3603</v>
      </c>
      <c r="AQ14" s="6" t="n">
        <v>3648</v>
      </c>
      <c r="AR14" s="6" t="n">
        <v>3547</v>
      </c>
      <c r="AS14" s="6" t="n">
        <v>3545</v>
      </c>
      <c r="AT14" s="6" t="n">
        <v>3500</v>
      </c>
      <c r="AU14" s="6" t="n">
        <v>3501</v>
      </c>
      <c r="AV14" s="6" t="n">
        <v>3466</v>
      </c>
      <c r="AW14" s="6" t="n">
        <v>3466</v>
      </c>
      <c r="AX14" s="6" t="n">
        <v>3459</v>
      </c>
      <c r="AY14" s="6" t="n">
        <v>3207</v>
      </c>
      <c r="AZ14" s="6" t="n">
        <v>3201</v>
      </c>
      <c r="BA14" s="6" t="n">
        <v>3240</v>
      </c>
      <c r="BB14" s="6" t="n">
        <v>3200</v>
      </c>
      <c r="BC14" s="6" t="n">
        <v>2989</v>
      </c>
      <c r="BD14" s="6" t="n">
        <v>3002</v>
      </c>
      <c r="BE14" s="6" t="n">
        <v>3131</v>
      </c>
      <c r="BF14" s="6" t="n">
        <v>3300</v>
      </c>
      <c r="BG14" s="6" t="n">
        <v>3528</v>
      </c>
      <c r="BH14" s="6" t="n">
        <v>3560</v>
      </c>
      <c r="BI14" s="6" t="n">
        <v>3824</v>
      </c>
      <c r="BJ14" s="6" t="n">
        <v>4000</v>
      </c>
      <c r="BK14" s="6" t="n">
        <v>4750</v>
      </c>
      <c r="BL14" s="6" t="n">
        <v>5512</v>
      </c>
      <c r="BM14" s="6" t="n">
        <v>9000</v>
      </c>
      <c r="BN14" s="6" t="n">
        <v>10000</v>
      </c>
      <c r="BO14" s="6" t="n">
        <v>10000</v>
      </c>
      <c r="BP14" s="6" t="n">
        <v>10000</v>
      </c>
      <c r="BQ14" s="6" t="n">
        <v>10000</v>
      </c>
      <c r="BR14" s="6" t="n">
        <v>10000</v>
      </c>
      <c r="BS14" s="6" t="n">
        <v>10000</v>
      </c>
      <c r="BT14" s="6" t="n">
        <v>10000</v>
      </c>
      <c r="BU14" s="6" t="n">
        <v>10000</v>
      </c>
      <c r="BV14" s="6" t="n">
        <v>10000</v>
      </c>
      <c r="BW14" s="6" t="n">
        <v>10000</v>
      </c>
      <c r="BX14" s="6" t="n">
        <v>10000</v>
      </c>
      <c r="BY14" s="6" t="n">
        <v>10000</v>
      </c>
      <c r="BZ14" s="6" t="n">
        <v>10000</v>
      </c>
      <c r="CA14" s="6" t="n">
        <v>10000</v>
      </c>
      <c r="CB14" s="6" t="n">
        <v>10000</v>
      </c>
      <c r="CC14" s="6" t="n">
        <v>10000</v>
      </c>
      <c r="CD14" s="6" t="n">
        <v>10000</v>
      </c>
      <c r="CE14" s="6" t="n">
        <v>10000</v>
      </c>
      <c r="CF14" s="6" t="n">
        <v>10000</v>
      </c>
      <c r="CG14" s="6" t="n">
        <v>10000</v>
      </c>
      <c r="CH14" s="6" t="n">
        <v>10000</v>
      </c>
      <c r="CI14" s="6" t="n">
        <v>10000</v>
      </c>
      <c r="CJ14" s="6" t="n">
        <v>10000</v>
      </c>
      <c r="CK14" s="6" t="n">
        <v>10000</v>
      </c>
      <c r="CL14" s="6" t="n">
        <v>10000</v>
      </c>
      <c r="CM14" s="6" t="n">
        <v>10000</v>
      </c>
      <c r="CN14" s="6" t="n">
        <v>10000</v>
      </c>
      <c r="CO14" s="6" t="n">
        <v>10000</v>
      </c>
      <c r="CP14" s="6" t="n">
        <v>10000</v>
      </c>
      <c r="CQ14" s="6" t="n">
        <v>10000</v>
      </c>
      <c r="CR14" s="6" t="n">
        <v>10000</v>
      </c>
      <c r="CS14" s="6" t="n">
        <v>10000</v>
      </c>
      <c r="CT14" s="6" t="n">
        <v>10000</v>
      </c>
      <c r="CU14" s="6" t="n">
        <v>10000</v>
      </c>
      <c r="CV14" s="6" t="n">
        <v>10000</v>
      </c>
      <c r="CW14" s="6" t="n">
        <v>10000</v>
      </c>
      <c r="CX14" s="6" t="n">
        <v>10000</v>
      </c>
      <c r="CY14" s="6" t="n">
        <v>10000</v>
      </c>
      <c r="CZ14" s="6" t="n">
        <v>10000</v>
      </c>
      <c r="DA14" s="6" t="n">
        <v>10000</v>
      </c>
      <c r="DB14" s="6" t="n">
        <v>10000</v>
      </c>
      <c r="DC14" s="6" t="n">
        <v>10000</v>
      </c>
      <c r="DD14" s="6" t="n">
        <v>10000</v>
      </c>
      <c r="DE14" s="6" t="n">
        <v>10000</v>
      </c>
      <c r="DF14" s="6" t="n">
        <v>10000</v>
      </c>
      <c r="DG14" s="6" t="n">
        <v>10000</v>
      </c>
      <c r="DH14" s="6" t="n">
        <v>10000</v>
      </c>
      <c r="DI14" s="6" t="n">
        <v>10000</v>
      </c>
      <c r="DJ14" s="6" t="n">
        <v>10000</v>
      </c>
      <c r="DK14" s="6" t="n">
        <v>10000</v>
      </c>
      <c r="DL14" s="6" t="n">
        <v>10000</v>
      </c>
      <c r="DM14" s="6" t="n">
        <v>10000</v>
      </c>
      <c r="DN14" s="6" t="n">
        <v>10000</v>
      </c>
      <c r="DO14" s="6" t="n">
        <v>10000</v>
      </c>
      <c r="DP14" s="6" t="n">
        <v>10000</v>
      </c>
      <c r="DQ14" s="6" t="n">
        <v>10000</v>
      </c>
      <c r="DR14" s="6" t="n">
        <v>10000</v>
      </c>
      <c r="DS14" s="6" t="n">
        <v>10000</v>
      </c>
      <c r="DT14" s="6" t="n">
        <v>10000</v>
      </c>
      <c r="DU14" s="6" t="n">
        <v>10000</v>
      </c>
      <c r="DV14" s="6" t="n">
        <v>10000</v>
      </c>
      <c r="DW14" s="6" t="n">
        <v>10000</v>
      </c>
      <c r="DX14" s="6" t="n">
        <v>10000</v>
      </c>
      <c r="DY14" s="6" t="n">
        <v>10000</v>
      </c>
      <c r="DZ14" s="6" t="n">
        <v>10000</v>
      </c>
      <c r="EA14" s="6" t="n">
        <v>10000</v>
      </c>
      <c r="EB14" s="6" t="n">
        <v>10000</v>
      </c>
      <c r="EC14" s="6" t="n">
        <v>10000</v>
      </c>
      <c r="ED14" s="6" t="n">
        <v>5820</v>
      </c>
      <c r="EE14" s="6" t="n">
        <v>4901</v>
      </c>
      <c r="EF14" s="6" t="n">
        <v>4104</v>
      </c>
      <c r="EG14" s="6" t="n">
        <v>3743</v>
      </c>
      <c r="EH14" s="6" t="n">
        <v>3603</v>
      </c>
      <c r="EI14" s="6" t="n">
        <v>3648</v>
      </c>
      <c r="EJ14" s="6" t="n">
        <v>3547</v>
      </c>
      <c r="EK14" s="6" t="n">
        <v>3545</v>
      </c>
      <c r="EL14" s="6" t="n">
        <v>3500</v>
      </c>
      <c r="EM14" s="6" t="n">
        <v>3501</v>
      </c>
      <c r="EN14" s="6" t="n">
        <v>3466</v>
      </c>
      <c r="EO14" s="6" t="n">
        <v>3466</v>
      </c>
      <c r="EP14" s="6" t="n">
        <v>3459</v>
      </c>
      <c r="EQ14" s="6" t="n">
        <v>3207</v>
      </c>
      <c r="ER14" s="6" t="n">
        <v>3201</v>
      </c>
      <c r="ES14" s="6" t="n">
        <v>3240</v>
      </c>
      <c r="ET14" s="6" t="n">
        <v>3200</v>
      </c>
      <c r="EU14" s="6" t="n">
        <v>2989</v>
      </c>
      <c r="EV14" s="6" t="n">
        <v>3002</v>
      </c>
      <c r="EW14" s="6" t="n">
        <v>3131</v>
      </c>
      <c r="EX14" s="6" t="n">
        <v>3300</v>
      </c>
      <c r="EY14" s="6" t="n">
        <v>3528</v>
      </c>
      <c r="EZ14" s="6" t="n">
        <v>3560</v>
      </c>
      <c r="FA14" s="6" t="n">
        <v>3824</v>
      </c>
      <c r="FB14" s="6" t="n">
        <v>4000</v>
      </c>
      <c r="FC14" s="6" t="n">
        <v>4750</v>
      </c>
      <c r="FD14" s="6" t="n">
        <v>5512</v>
      </c>
      <c r="FE14" s="6" t="n">
        <v>9000</v>
      </c>
      <c r="FF14" s="6" t="n">
        <v>10000</v>
      </c>
      <c r="FG14" s="6" t="n">
        <v>10000</v>
      </c>
      <c r="FH14" s="6" t="n">
        <v>10000</v>
      </c>
      <c r="FI14" s="6" t="n">
        <v>10000</v>
      </c>
      <c r="FJ14" s="6" t="n">
        <v>10000</v>
      </c>
      <c r="FK14" s="6" t="n">
        <v>10000</v>
      </c>
      <c r="FL14" s="6" t="n">
        <v>10000</v>
      </c>
      <c r="FM14" s="6" t="n">
        <v>10000</v>
      </c>
      <c r="FN14" s="6" t="n">
        <v>10000</v>
      </c>
      <c r="FO14" s="6" t="n">
        <v>10000</v>
      </c>
      <c r="FP14" s="6" t="n">
        <v>10000</v>
      </c>
      <c r="FQ14" s="6" t="n">
        <v>10000</v>
      </c>
      <c r="FR14" s="6" t="n">
        <v>10000</v>
      </c>
      <c r="FS14" s="6" t="n">
        <v>10000</v>
      </c>
      <c r="FT14" s="6" t="n">
        <v>10000</v>
      </c>
      <c r="FU14" s="6" t="n">
        <v>10000</v>
      </c>
      <c r="FV14" s="6" t="n">
        <v>10000</v>
      </c>
      <c r="FW14" s="6" t="n">
        <v>10000</v>
      </c>
      <c r="FX14" s="6" t="n">
        <v>10000</v>
      </c>
      <c r="FY14" s="6" t="n">
        <v>10000</v>
      </c>
      <c r="FZ14" s="6" t="n">
        <v>10000</v>
      </c>
      <c r="GA14" s="6" t="n">
        <v>10000</v>
      </c>
      <c r="GB14" s="6" t="n">
        <v>10000</v>
      </c>
      <c r="GC14" s="6" t="n">
        <v>10000</v>
      </c>
      <c r="GD14" s="6" t="n">
        <v>10000</v>
      </c>
      <c r="GE14" s="6" t="n">
        <v>10000</v>
      </c>
      <c r="GF14" s="6" t="n">
        <v>10000</v>
      </c>
      <c r="GG14" s="6" t="n">
        <v>10000</v>
      </c>
      <c r="GH14" s="6" t="n">
        <v>10000</v>
      </c>
      <c r="GI14" s="6" t="n">
        <v>10000</v>
      </c>
      <c r="GJ14" s="6" t="n">
        <v>10000</v>
      </c>
      <c r="GK14" s="6" t="n">
        <v>10000</v>
      </c>
      <c r="GL14" s="6" t="n">
        <v>10000</v>
      </c>
    </row>
    <row r="15">
      <c r="A15" s="6" t="inlineStr">
        <is>
          <t>DAM</t>
        </is>
      </c>
      <c r="B15" s="6" t="n">
        <v>12</v>
      </c>
      <c r="C15" s="6" t="n">
        <v>10000</v>
      </c>
      <c r="D15" s="6" t="n">
        <v>10000</v>
      </c>
      <c r="E15" s="6" t="n">
        <v>10000</v>
      </c>
      <c r="F15" s="6" t="n">
        <v>10000</v>
      </c>
      <c r="G15" s="6" t="n">
        <v>10000</v>
      </c>
      <c r="H15" s="6" t="n">
        <v>10000</v>
      </c>
      <c r="I15" s="6" t="n">
        <v>10000</v>
      </c>
      <c r="J15" s="6" t="n">
        <v>10000</v>
      </c>
      <c r="K15" s="6" t="n">
        <v>10000</v>
      </c>
      <c r="L15" s="6" t="n">
        <v>10000</v>
      </c>
      <c r="M15" s="6" t="n">
        <v>10000</v>
      </c>
      <c r="N15" s="6" t="n">
        <v>10000</v>
      </c>
      <c r="O15" s="6" t="n">
        <v>10000</v>
      </c>
      <c r="P15" s="6" t="n">
        <v>10000</v>
      </c>
      <c r="Q15" s="6" t="n">
        <v>10000</v>
      </c>
      <c r="R15" s="6" t="n">
        <v>10000</v>
      </c>
      <c r="S15" s="6" t="n">
        <v>10000</v>
      </c>
      <c r="T15" s="6" t="n">
        <v>10000</v>
      </c>
      <c r="U15" s="6" t="n">
        <v>10000</v>
      </c>
      <c r="V15" s="6" t="n">
        <v>10000</v>
      </c>
      <c r="W15" s="6" t="n">
        <v>10000</v>
      </c>
      <c r="X15" s="6" t="n">
        <v>10000</v>
      </c>
      <c r="Y15" s="6" t="n">
        <v>10000</v>
      </c>
      <c r="Z15" s="6" t="n">
        <v>10000</v>
      </c>
      <c r="AA15" s="6" t="n">
        <v>10000</v>
      </c>
      <c r="AB15" s="6" t="n">
        <v>10000</v>
      </c>
      <c r="AC15" s="6" t="n">
        <v>10000</v>
      </c>
      <c r="AD15" s="6" t="n">
        <v>10000</v>
      </c>
      <c r="AE15" s="6" t="n">
        <v>10000</v>
      </c>
      <c r="AF15" s="6" t="n">
        <v>10000</v>
      </c>
      <c r="AG15" s="6" t="n">
        <v>10000</v>
      </c>
      <c r="AH15" s="6" t="n">
        <v>10000</v>
      </c>
      <c r="AI15" s="6" t="n">
        <v>10000</v>
      </c>
      <c r="AJ15" s="6" t="n">
        <v>10000</v>
      </c>
      <c r="AK15" s="6" t="n">
        <v>10000</v>
      </c>
      <c r="AL15" s="6" t="n">
        <v>10000</v>
      </c>
      <c r="AM15" s="6" t="n">
        <v>6454</v>
      </c>
      <c r="AN15" s="6" t="n">
        <v>4990</v>
      </c>
      <c r="AO15" s="6" t="n">
        <v>3743</v>
      </c>
      <c r="AP15" s="6" t="n">
        <v>3561</v>
      </c>
      <c r="AQ15" s="6" t="n">
        <v>3545</v>
      </c>
      <c r="AR15" s="6" t="n">
        <v>3402</v>
      </c>
      <c r="AS15" s="6" t="n">
        <v>3401</v>
      </c>
      <c r="AT15" s="6" t="n">
        <v>3258</v>
      </c>
      <c r="AU15" s="6" t="n">
        <v>3180</v>
      </c>
      <c r="AV15" s="6" t="n">
        <v>3180</v>
      </c>
      <c r="AW15" s="6" t="n">
        <v>3103</v>
      </c>
      <c r="AX15" s="6" t="n">
        <v>3051</v>
      </c>
      <c r="AY15" s="6" t="n">
        <v>3048</v>
      </c>
      <c r="AZ15" s="6" t="n">
        <v>3180</v>
      </c>
      <c r="BA15" s="6" t="n">
        <v>3050</v>
      </c>
      <c r="BB15" s="6" t="n">
        <v>3049</v>
      </c>
      <c r="BC15" s="6" t="n">
        <v>2711</v>
      </c>
      <c r="BD15" s="6" t="n">
        <v>2711</v>
      </c>
      <c r="BE15" s="6" t="n">
        <v>2999</v>
      </c>
      <c r="BF15" s="6" t="n">
        <v>3199</v>
      </c>
      <c r="BG15" s="6" t="n">
        <v>3528</v>
      </c>
      <c r="BH15" s="6" t="n">
        <v>3561</v>
      </c>
      <c r="BI15" s="6" t="n">
        <v>3747</v>
      </c>
      <c r="BJ15" s="6" t="n">
        <v>4299</v>
      </c>
      <c r="BK15" s="6" t="n">
        <v>9002</v>
      </c>
      <c r="BL15" s="6" t="n">
        <v>10000</v>
      </c>
      <c r="BM15" s="6" t="n">
        <v>10000</v>
      </c>
      <c r="BN15" s="6" t="n">
        <v>10000</v>
      </c>
      <c r="BO15" s="6" t="n">
        <v>10000</v>
      </c>
      <c r="BP15" s="6" t="n">
        <v>10000</v>
      </c>
      <c r="BQ15" s="6" t="n">
        <v>10000</v>
      </c>
      <c r="BR15" s="6" t="n">
        <v>10000</v>
      </c>
      <c r="BS15" s="6" t="n">
        <v>10000</v>
      </c>
      <c r="BT15" s="6" t="n">
        <v>10000</v>
      </c>
      <c r="BU15" s="6" t="n">
        <v>10000</v>
      </c>
      <c r="BV15" s="6" t="n">
        <v>10000</v>
      </c>
      <c r="BW15" s="6" t="n">
        <v>10000</v>
      </c>
      <c r="BX15" s="6" t="n">
        <v>10000</v>
      </c>
      <c r="BY15" s="6" t="n">
        <v>10000</v>
      </c>
      <c r="BZ15" s="6" t="n">
        <v>10000</v>
      </c>
      <c r="CA15" s="6" t="n">
        <v>10000</v>
      </c>
      <c r="CB15" s="6" t="n">
        <v>10000</v>
      </c>
      <c r="CC15" s="6" t="n">
        <v>10000</v>
      </c>
      <c r="CD15" s="6" t="n">
        <v>10000</v>
      </c>
      <c r="CE15" s="6" t="n">
        <v>10000</v>
      </c>
      <c r="CF15" s="6" t="n">
        <v>10000</v>
      </c>
      <c r="CG15" s="6" t="n">
        <v>10000</v>
      </c>
      <c r="CH15" s="6" t="n">
        <v>10000</v>
      </c>
      <c r="CI15" s="6" t="n">
        <v>10000</v>
      </c>
      <c r="CJ15" s="6" t="n">
        <v>10000</v>
      </c>
      <c r="CK15" s="6" t="n">
        <v>10000</v>
      </c>
      <c r="CL15" s="6" t="n">
        <v>10000</v>
      </c>
      <c r="CM15" s="6" t="n">
        <v>10000</v>
      </c>
      <c r="CN15" s="6" t="n">
        <v>10000</v>
      </c>
      <c r="CO15" s="6" t="n">
        <v>10000</v>
      </c>
      <c r="CP15" s="6" t="n">
        <v>10000</v>
      </c>
      <c r="CQ15" s="6" t="n">
        <v>10000</v>
      </c>
      <c r="CR15" s="6" t="n">
        <v>10000</v>
      </c>
      <c r="CS15" s="6" t="n">
        <v>10000</v>
      </c>
      <c r="CT15" s="6" t="n">
        <v>10000</v>
      </c>
      <c r="CU15" s="6" t="n">
        <v>10000</v>
      </c>
      <c r="CV15" s="6" t="n">
        <v>10000</v>
      </c>
      <c r="CW15" s="6" t="n">
        <v>10000</v>
      </c>
      <c r="CX15" s="6" t="n">
        <v>10000</v>
      </c>
      <c r="CY15" s="6" t="n">
        <v>10000</v>
      </c>
      <c r="CZ15" s="6" t="n">
        <v>10000</v>
      </c>
      <c r="DA15" s="6" t="n">
        <v>10000</v>
      </c>
      <c r="DB15" s="6" t="n">
        <v>10000</v>
      </c>
      <c r="DC15" s="6" t="n">
        <v>10000</v>
      </c>
      <c r="DD15" s="6" t="n">
        <v>10000</v>
      </c>
      <c r="DE15" s="6" t="n">
        <v>10000</v>
      </c>
      <c r="DF15" s="6" t="n">
        <v>10000</v>
      </c>
      <c r="DG15" s="6" t="n">
        <v>10000</v>
      </c>
      <c r="DH15" s="6" t="n">
        <v>10000</v>
      </c>
      <c r="DI15" s="6" t="n">
        <v>10000</v>
      </c>
      <c r="DJ15" s="6" t="n">
        <v>10000</v>
      </c>
      <c r="DK15" s="6" t="n">
        <v>10000</v>
      </c>
      <c r="DL15" s="6" t="n">
        <v>10000</v>
      </c>
      <c r="DM15" s="6" t="n">
        <v>10000</v>
      </c>
      <c r="DN15" s="6" t="n">
        <v>10000</v>
      </c>
      <c r="DO15" s="6" t="n">
        <v>10000</v>
      </c>
      <c r="DP15" s="6" t="n">
        <v>10000</v>
      </c>
      <c r="DQ15" s="6" t="n">
        <v>10000</v>
      </c>
      <c r="DR15" s="6" t="n">
        <v>10000</v>
      </c>
      <c r="DS15" s="6" t="n">
        <v>10000</v>
      </c>
      <c r="DT15" s="6" t="n">
        <v>10000</v>
      </c>
      <c r="DU15" s="6" t="n">
        <v>10000</v>
      </c>
      <c r="DV15" s="6" t="n">
        <v>10000</v>
      </c>
      <c r="DW15" s="6" t="n">
        <v>10000</v>
      </c>
      <c r="DX15" s="6" t="n">
        <v>10000</v>
      </c>
      <c r="DY15" s="6" t="n">
        <v>10000</v>
      </c>
      <c r="DZ15" s="6" t="n">
        <v>10000</v>
      </c>
      <c r="EA15" s="6" t="n">
        <v>10000</v>
      </c>
      <c r="EB15" s="6" t="n">
        <v>10000</v>
      </c>
      <c r="EC15" s="6" t="n">
        <v>10000</v>
      </c>
      <c r="ED15" s="6" t="n">
        <v>10000</v>
      </c>
      <c r="EE15" s="6" t="n">
        <v>6454</v>
      </c>
      <c r="EF15" s="6" t="n">
        <v>4990</v>
      </c>
      <c r="EG15" s="6" t="n">
        <v>3743</v>
      </c>
      <c r="EH15" s="6" t="n">
        <v>3561</v>
      </c>
      <c r="EI15" s="6" t="n">
        <v>3545</v>
      </c>
      <c r="EJ15" s="6" t="n">
        <v>3402</v>
      </c>
      <c r="EK15" s="6" t="n">
        <v>3401</v>
      </c>
      <c r="EL15" s="6" t="n">
        <v>3258</v>
      </c>
      <c r="EM15" s="6" t="n">
        <v>3180</v>
      </c>
      <c r="EN15" s="6" t="n">
        <v>3180</v>
      </c>
      <c r="EO15" s="6" t="n">
        <v>3103</v>
      </c>
      <c r="EP15" s="6" t="n">
        <v>3051</v>
      </c>
      <c r="EQ15" s="6" t="n">
        <v>3048</v>
      </c>
      <c r="ER15" s="6" t="n">
        <v>3180</v>
      </c>
      <c r="ES15" s="6" t="n">
        <v>3050</v>
      </c>
      <c r="ET15" s="6" t="n">
        <v>3049</v>
      </c>
      <c r="EU15" s="6" t="n">
        <v>2711</v>
      </c>
      <c r="EV15" s="6" t="n">
        <v>2711</v>
      </c>
      <c r="EW15" s="6" t="n">
        <v>2999</v>
      </c>
      <c r="EX15" s="6" t="n">
        <v>3199</v>
      </c>
      <c r="EY15" s="6" t="n">
        <v>3528</v>
      </c>
      <c r="EZ15" s="6" t="n">
        <v>3561</v>
      </c>
      <c r="FA15" s="6" t="n">
        <v>3747</v>
      </c>
      <c r="FB15" s="6" t="n">
        <v>4299</v>
      </c>
      <c r="FC15" s="6" t="n">
        <v>9002</v>
      </c>
      <c r="FD15" s="6" t="n">
        <v>10000</v>
      </c>
      <c r="FE15" s="6" t="n">
        <v>10000</v>
      </c>
      <c r="FF15" s="6" t="n">
        <v>10000</v>
      </c>
      <c r="FG15" s="6" t="n">
        <v>10000</v>
      </c>
      <c r="FH15" s="6" t="n">
        <v>10000</v>
      </c>
      <c r="FI15" s="6" t="n">
        <v>10000</v>
      </c>
      <c r="FJ15" s="6" t="n">
        <v>10000</v>
      </c>
      <c r="FK15" s="6" t="n">
        <v>10000</v>
      </c>
      <c r="FL15" s="6" t="n">
        <v>10000</v>
      </c>
      <c r="FM15" s="6" t="n">
        <v>10000</v>
      </c>
      <c r="FN15" s="6" t="n">
        <v>10000</v>
      </c>
      <c r="FO15" s="6" t="n">
        <v>10000</v>
      </c>
      <c r="FP15" s="6" t="n">
        <v>10000</v>
      </c>
      <c r="FQ15" s="6" t="n">
        <v>10000</v>
      </c>
      <c r="FR15" s="6" t="n">
        <v>10000</v>
      </c>
      <c r="FS15" s="6" t="n">
        <v>10000</v>
      </c>
      <c r="FT15" s="6" t="n">
        <v>10000</v>
      </c>
      <c r="FU15" s="6" t="n">
        <v>10000</v>
      </c>
      <c r="FV15" s="6" t="n">
        <v>10000</v>
      </c>
      <c r="FW15" s="6" t="n">
        <v>10000</v>
      </c>
      <c r="FX15" s="6" t="n">
        <v>10000</v>
      </c>
      <c r="FY15" s="6" t="n">
        <v>10000</v>
      </c>
      <c r="FZ15" s="6" t="n">
        <v>10000</v>
      </c>
      <c r="GA15" s="6" t="n">
        <v>10000</v>
      </c>
      <c r="GB15" s="6" t="n">
        <v>10000</v>
      </c>
      <c r="GC15" s="6" t="n">
        <v>10000</v>
      </c>
      <c r="GD15" s="6" t="n">
        <v>10000</v>
      </c>
      <c r="GE15" s="6" t="n">
        <v>10000</v>
      </c>
      <c r="GF15" s="6" t="n">
        <v>10000</v>
      </c>
      <c r="GG15" s="6" t="n">
        <v>10000</v>
      </c>
      <c r="GH15" s="6" t="n">
        <v>10000</v>
      </c>
      <c r="GI15" s="6" t="n">
        <v>10000</v>
      </c>
      <c r="GJ15" s="6" t="n">
        <v>10000</v>
      </c>
      <c r="GK15" s="6" t="n">
        <v>10000</v>
      </c>
      <c r="GL15" s="6" t="n">
        <v>10000</v>
      </c>
    </row>
    <row r="16">
      <c r="A16" s="6" t="inlineStr">
        <is>
          <t>DAM</t>
        </is>
      </c>
      <c r="B16" s="6" t="n">
        <v>13</v>
      </c>
      <c r="C16" s="6" t="n">
        <v>10000</v>
      </c>
      <c r="D16" s="6" t="n">
        <v>10000</v>
      </c>
      <c r="E16" s="6" t="n">
        <v>10000</v>
      </c>
      <c r="F16" s="6" t="n">
        <v>10000</v>
      </c>
      <c r="G16" s="6" t="n">
        <v>10000</v>
      </c>
      <c r="H16" s="6" t="n">
        <v>10000</v>
      </c>
      <c r="I16" s="6" t="n">
        <v>10000</v>
      </c>
      <c r="J16" s="6" t="n">
        <v>10000</v>
      </c>
      <c r="K16" s="6" t="n">
        <v>10000</v>
      </c>
      <c r="L16" s="6" t="n">
        <v>10000</v>
      </c>
      <c r="M16" s="6" t="n">
        <v>10000</v>
      </c>
      <c r="N16" s="6" t="n">
        <v>10000</v>
      </c>
      <c r="O16" s="6" t="n">
        <v>10000</v>
      </c>
      <c r="P16" s="6" t="n">
        <v>10000</v>
      </c>
      <c r="Q16" s="6" t="n">
        <v>10000</v>
      </c>
      <c r="R16" s="6" t="n">
        <v>10000</v>
      </c>
      <c r="S16" s="6" t="n">
        <v>10000</v>
      </c>
      <c r="T16" s="6" t="n">
        <v>10000</v>
      </c>
      <c r="U16" s="6" t="n">
        <v>10000</v>
      </c>
      <c r="V16" s="6" t="n">
        <v>10000</v>
      </c>
      <c r="W16" s="6" t="n">
        <v>10000</v>
      </c>
      <c r="X16" s="6" t="n">
        <v>10000</v>
      </c>
      <c r="Y16" s="6" t="n">
        <v>10000</v>
      </c>
      <c r="Z16" s="6" t="n">
        <v>10000</v>
      </c>
      <c r="AA16" s="6" t="n">
        <v>10000</v>
      </c>
      <c r="AB16" s="6" t="n">
        <v>10000</v>
      </c>
      <c r="AC16" s="6" t="n">
        <v>10000</v>
      </c>
      <c r="AD16" s="6" t="n">
        <v>10000</v>
      </c>
      <c r="AE16" s="6" t="n">
        <v>10000</v>
      </c>
      <c r="AF16" s="6" t="n">
        <v>10000</v>
      </c>
      <c r="AG16" s="6" t="n">
        <v>10000</v>
      </c>
      <c r="AH16" s="6" t="n">
        <v>10000</v>
      </c>
      <c r="AI16" s="6" t="n">
        <v>10000</v>
      </c>
      <c r="AJ16" s="6" t="n">
        <v>10000</v>
      </c>
      <c r="AK16" s="6" t="n">
        <v>9235</v>
      </c>
      <c r="AL16" s="6" t="n">
        <v>10000</v>
      </c>
      <c r="AM16" s="6" t="n">
        <v>6100</v>
      </c>
      <c r="AN16" s="6" t="n">
        <v>4004</v>
      </c>
      <c r="AO16" s="6" t="n">
        <v>3670</v>
      </c>
      <c r="AP16" s="6" t="n">
        <v>3528</v>
      </c>
      <c r="AQ16" s="6" t="n">
        <v>3200</v>
      </c>
      <c r="AR16" s="6" t="n">
        <v>2899</v>
      </c>
      <c r="AS16" s="6" t="n">
        <v>2780</v>
      </c>
      <c r="AT16" s="6" t="n">
        <v>2660</v>
      </c>
      <c r="AU16" s="6" t="n">
        <v>2611</v>
      </c>
      <c r="AV16" s="6" t="n">
        <v>2537</v>
      </c>
      <c r="AW16" s="6" t="n">
        <v>2441</v>
      </c>
      <c r="AX16" s="6" t="n">
        <v>2343</v>
      </c>
      <c r="AY16" s="6" t="n">
        <v>2149</v>
      </c>
      <c r="AZ16" s="6" t="n">
        <v>2113</v>
      </c>
      <c r="BA16" s="6" t="n">
        <v>2101</v>
      </c>
      <c r="BB16" s="6" t="n">
        <v>2100</v>
      </c>
      <c r="BC16" s="6" t="n">
        <v>1941</v>
      </c>
      <c r="BD16" s="6" t="n">
        <v>1966</v>
      </c>
      <c r="BE16" s="6" t="n">
        <v>2094</v>
      </c>
      <c r="BF16" s="6" t="n">
        <v>2150</v>
      </c>
      <c r="BG16" s="6" t="n">
        <v>2760</v>
      </c>
      <c r="BH16" s="6" t="n">
        <v>2850</v>
      </c>
      <c r="BI16" s="6" t="n">
        <v>3002</v>
      </c>
      <c r="BJ16" s="6" t="n">
        <v>3350</v>
      </c>
      <c r="BK16" s="6" t="n">
        <v>3630</v>
      </c>
      <c r="BL16" s="6" t="n">
        <v>3579</v>
      </c>
      <c r="BM16" s="6" t="n">
        <v>3988</v>
      </c>
      <c r="BN16" s="6" t="n">
        <v>7750</v>
      </c>
      <c r="BO16" s="6" t="n">
        <v>10000</v>
      </c>
      <c r="BP16" s="6" t="n">
        <v>10000</v>
      </c>
      <c r="BQ16" s="6" t="n">
        <v>10000</v>
      </c>
      <c r="BR16" s="6" t="n">
        <v>10000</v>
      </c>
      <c r="BS16" s="6" t="n">
        <v>10000</v>
      </c>
      <c r="BT16" s="6" t="n">
        <v>10000</v>
      </c>
      <c r="BU16" s="6" t="n">
        <v>10000</v>
      </c>
      <c r="BV16" s="6" t="n">
        <v>10000</v>
      </c>
      <c r="BW16" s="6" t="n">
        <v>10000</v>
      </c>
      <c r="BX16" s="6" t="n">
        <v>10000</v>
      </c>
      <c r="BY16" s="6" t="n">
        <v>10000</v>
      </c>
      <c r="BZ16" s="6" t="n">
        <v>10000</v>
      </c>
      <c r="CA16" s="6" t="n">
        <v>10000</v>
      </c>
      <c r="CB16" s="6" t="n">
        <v>10000</v>
      </c>
      <c r="CC16" s="6" t="n">
        <v>10000</v>
      </c>
      <c r="CD16" s="6" t="n">
        <v>10000</v>
      </c>
      <c r="CE16" s="6" t="n">
        <v>10000</v>
      </c>
      <c r="CF16" s="6" t="n">
        <v>10000</v>
      </c>
      <c r="CG16" s="6" t="n">
        <v>10000</v>
      </c>
      <c r="CH16" s="6" t="n">
        <v>10000</v>
      </c>
      <c r="CI16" s="6" t="n">
        <v>10000</v>
      </c>
      <c r="CJ16" s="6" t="n">
        <v>10000</v>
      </c>
      <c r="CK16" s="6" t="n">
        <v>10000</v>
      </c>
      <c r="CL16" s="6" t="n">
        <v>10000</v>
      </c>
      <c r="CM16" s="6" t="n">
        <v>10000</v>
      </c>
      <c r="CN16" s="6" t="n">
        <v>10000</v>
      </c>
      <c r="CO16" s="6" t="n">
        <v>10000</v>
      </c>
      <c r="CP16" s="6" t="n">
        <v>10000</v>
      </c>
      <c r="CQ16" s="6" t="n">
        <v>10000</v>
      </c>
      <c r="CR16" s="6" t="n">
        <v>10000</v>
      </c>
      <c r="CS16" s="6" t="n">
        <v>10000</v>
      </c>
      <c r="CT16" s="6" t="n">
        <v>10000</v>
      </c>
      <c r="CU16" s="6" t="n">
        <v>10000</v>
      </c>
      <c r="CV16" s="6" t="n">
        <v>10000</v>
      </c>
      <c r="CW16" s="6" t="n">
        <v>10000</v>
      </c>
      <c r="CX16" s="6" t="n">
        <v>10000</v>
      </c>
      <c r="CY16" s="6" t="n">
        <v>10000</v>
      </c>
      <c r="CZ16" s="6" t="n">
        <v>10000</v>
      </c>
      <c r="DA16" s="6" t="n">
        <v>10000</v>
      </c>
      <c r="DB16" s="6" t="n">
        <v>10000</v>
      </c>
      <c r="DC16" s="6" t="n">
        <v>10000</v>
      </c>
      <c r="DD16" s="6" t="n">
        <v>10000</v>
      </c>
      <c r="DE16" s="6" t="n">
        <v>10000</v>
      </c>
      <c r="DF16" s="6" t="n">
        <v>10000</v>
      </c>
      <c r="DG16" s="6" t="n">
        <v>10000</v>
      </c>
      <c r="DH16" s="6" t="n">
        <v>10000</v>
      </c>
      <c r="DI16" s="6" t="n">
        <v>10000</v>
      </c>
      <c r="DJ16" s="6" t="n">
        <v>10000</v>
      </c>
      <c r="DK16" s="6" t="n">
        <v>10000</v>
      </c>
      <c r="DL16" s="6" t="n">
        <v>10000</v>
      </c>
      <c r="DM16" s="6" t="n">
        <v>10000</v>
      </c>
      <c r="DN16" s="6" t="n">
        <v>10000</v>
      </c>
      <c r="DO16" s="6" t="n">
        <v>10000</v>
      </c>
      <c r="DP16" s="6" t="n">
        <v>10000</v>
      </c>
      <c r="DQ16" s="6" t="n">
        <v>10000</v>
      </c>
      <c r="DR16" s="6" t="n">
        <v>10000</v>
      </c>
      <c r="DS16" s="6" t="n">
        <v>10000</v>
      </c>
      <c r="DT16" s="6" t="n">
        <v>10000</v>
      </c>
      <c r="DU16" s="6" t="n">
        <v>10000</v>
      </c>
      <c r="DV16" s="6" t="n">
        <v>10000</v>
      </c>
      <c r="DW16" s="6" t="n">
        <v>10000</v>
      </c>
      <c r="DX16" s="6" t="n">
        <v>10000</v>
      </c>
      <c r="DY16" s="6" t="n">
        <v>10000</v>
      </c>
      <c r="DZ16" s="6" t="n">
        <v>10000</v>
      </c>
      <c r="EA16" s="6" t="n">
        <v>10000</v>
      </c>
      <c r="EB16" s="6" t="n">
        <v>10000</v>
      </c>
      <c r="EC16" s="6" t="n">
        <v>9235</v>
      </c>
      <c r="ED16" s="6" t="n">
        <v>10000</v>
      </c>
      <c r="EE16" s="6" t="n">
        <v>6100</v>
      </c>
      <c r="EF16" s="6" t="n">
        <v>4004</v>
      </c>
      <c r="EG16" s="6" t="n">
        <v>3670</v>
      </c>
      <c r="EH16" s="6" t="n">
        <v>3528</v>
      </c>
      <c r="EI16" s="6" t="n">
        <v>3200</v>
      </c>
      <c r="EJ16" s="6" t="n">
        <v>2899</v>
      </c>
      <c r="EK16" s="6" t="n">
        <v>2780</v>
      </c>
      <c r="EL16" s="6" t="n">
        <v>2660</v>
      </c>
      <c r="EM16" s="6" t="n">
        <v>2611</v>
      </c>
      <c r="EN16" s="6" t="n">
        <v>2537</v>
      </c>
      <c r="EO16" s="6" t="n">
        <v>2441</v>
      </c>
      <c r="EP16" s="6" t="n">
        <v>2343</v>
      </c>
      <c r="EQ16" s="6" t="n">
        <v>2149</v>
      </c>
      <c r="ER16" s="6" t="n">
        <v>2113</v>
      </c>
      <c r="ES16" s="6" t="n">
        <v>2101</v>
      </c>
      <c r="ET16" s="6" t="n">
        <v>2100</v>
      </c>
      <c r="EU16" s="6" t="n">
        <v>1941</v>
      </c>
      <c r="EV16" s="6" t="n">
        <v>1966</v>
      </c>
      <c r="EW16" s="6" t="n">
        <v>2094</v>
      </c>
      <c r="EX16" s="6" t="n">
        <v>2150</v>
      </c>
      <c r="EY16" s="6" t="n">
        <v>2760</v>
      </c>
      <c r="EZ16" s="6" t="n">
        <v>2850</v>
      </c>
      <c r="FA16" s="6" t="n">
        <v>3002</v>
      </c>
      <c r="FB16" s="6" t="n">
        <v>3350</v>
      </c>
      <c r="FC16" s="6" t="n">
        <v>3630</v>
      </c>
      <c r="FD16" s="6" t="n">
        <v>3579</v>
      </c>
      <c r="FE16" s="6" t="n">
        <v>3988</v>
      </c>
      <c r="FF16" s="6" t="n">
        <v>7750</v>
      </c>
      <c r="FG16" s="6" t="n">
        <v>10000</v>
      </c>
      <c r="FH16" s="6" t="n">
        <v>10000</v>
      </c>
      <c r="FI16" s="6" t="n">
        <v>10000</v>
      </c>
      <c r="FJ16" s="6" t="n">
        <v>10000</v>
      </c>
      <c r="FK16" s="6" t="n">
        <v>10000</v>
      </c>
      <c r="FL16" s="6" t="n">
        <v>10000</v>
      </c>
      <c r="FM16" s="6" t="n">
        <v>10000</v>
      </c>
      <c r="FN16" s="6" t="n">
        <v>10000</v>
      </c>
      <c r="FO16" s="6" t="n">
        <v>10000</v>
      </c>
      <c r="FP16" s="6" t="n">
        <v>10000</v>
      </c>
      <c r="FQ16" s="6" t="n">
        <v>10000</v>
      </c>
      <c r="FR16" s="6" t="n">
        <v>10000</v>
      </c>
      <c r="FS16" s="6" t="n">
        <v>10000</v>
      </c>
      <c r="FT16" s="6" t="n">
        <v>10000</v>
      </c>
      <c r="FU16" s="6" t="n">
        <v>10000</v>
      </c>
      <c r="FV16" s="6" t="n">
        <v>10000</v>
      </c>
      <c r="FW16" s="6" t="n">
        <v>10000</v>
      </c>
      <c r="FX16" s="6" t="n">
        <v>10000</v>
      </c>
      <c r="FY16" s="6" t="n">
        <v>10000</v>
      </c>
      <c r="FZ16" s="6" t="n">
        <v>10000</v>
      </c>
      <c r="GA16" s="6" t="n">
        <v>10000</v>
      </c>
      <c r="GB16" s="6" t="n">
        <v>10000</v>
      </c>
      <c r="GC16" s="6" t="n">
        <v>10000</v>
      </c>
      <c r="GD16" s="6" t="n">
        <v>10000</v>
      </c>
      <c r="GE16" s="6" t="n">
        <v>10000</v>
      </c>
      <c r="GF16" s="6" t="n">
        <v>10000</v>
      </c>
      <c r="GG16" s="6" t="n">
        <v>10000</v>
      </c>
      <c r="GH16" s="6" t="n">
        <v>10000</v>
      </c>
      <c r="GI16" s="6" t="n">
        <v>10000</v>
      </c>
      <c r="GJ16" s="6" t="n">
        <v>10000</v>
      </c>
      <c r="GK16" s="6" t="n">
        <v>10000</v>
      </c>
      <c r="GL16" s="6" t="n">
        <v>10000</v>
      </c>
    </row>
    <row r="17">
      <c r="A17" s="6" t="inlineStr">
        <is>
          <t>DAM</t>
        </is>
      </c>
      <c r="B17" s="6" t="n">
        <v>14</v>
      </c>
      <c r="C17" s="6" t="n">
        <v>10000</v>
      </c>
      <c r="D17" s="6" t="n">
        <v>10000</v>
      </c>
      <c r="E17" s="6" t="n">
        <v>10000</v>
      </c>
      <c r="F17" s="6" t="n">
        <v>10000</v>
      </c>
      <c r="G17" s="6" t="n">
        <v>10000</v>
      </c>
      <c r="H17" s="6" t="n">
        <v>10000</v>
      </c>
      <c r="I17" s="6" t="n">
        <v>10000</v>
      </c>
      <c r="J17" s="6" t="n">
        <v>10000</v>
      </c>
      <c r="K17" s="6" t="n">
        <v>10000</v>
      </c>
      <c r="L17" s="6" t="n">
        <v>10000</v>
      </c>
      <c r="M17" s="6" t="n">
        <v>10000</v>
      </c>
      <c r="N17" s="6" t="n">
        <v>10000</v>
      </c>
      <c r="O17" s="6" t="n">
        <v>10000</v>
      </c>
      <c r="P17" s="6" t="n">
        <v>10000</v>
      </c>
      <c r="Q17" s="6" t="n">
        <v>10000</v>
      </c>
      <c r="R17" s="6" t="n">
        <v>10000</v>
      </c>
      <c r="S17" s="6" t="n">
        <v>10000</v>
      </c>
      <c r="T17" s="6" t="n">
        <v>10000</v>
      </c>
      <c r="U17" s="6" t="n">
        <v>10000</v>
      </c>
      <c r="V17" s="6" t="n">
        <v>10000</v>
      </c>
      <c r="W17" s="6" t="n">
        <v>10000</v>
      </c>
      <c r="X17" s="6" t="n">
        <v>10000</v>
      </c>
      <c r="Y17" s="6" t="n">
        <v>10000</v>
      </c>
      <c r="Z17" s="6" t="n">
        <v>10000</v>
      </c>
      <c r="AA17" s="6" t="n">
        <v>10000</v>
      </c>
      <c r="AB17" s="6" t="n">
        <v>10000</v>
      </c>
      <c r="AC17" s="6" t="n">
        <v>10000</v>
      </c>
      <c r="AD17" s="6" t="n">
        <v>10000</v>
      </c>
      <c r="AE17" s="6" t="n">
        <v>10000</v>
      </c>
      <c r="AF17" s="6" t="n">
        <v>10000</v>
      </c>
      <c r="AG17" s="6" t="n">
        <v>10000</v>
      </c>
      <c r="AH17" s="6" t="n">
        <v>10000</v>
      </c>
      <c r="AI17" s="6" t="n">
        <v>5407</v>
      </c>
      <c r="AJ17" s="6" t="n">
        <v>4004</v>
      </c>
      <c r="AK17" s="6" t="n">
        <v>4870</v>
      </c>
      <c r="AL17" s="6" t="n">
        <v>4401</v>
      </c>
      <c r="AM17" s="6" t="n">
        <v>3601</v>
      </c>
      <c r="AN17" s="6" t="n">
        <v>3399</v>
      </c>
      <c r="AO17" s="6" t="n">
        <v>2851</v>
      </c>
      <c r="AP17" s="6" t="n">
        <v>2661</v>
      </c>
      <c r="AQ17" s="6" t="n">
        <v>2620</v>
      </c>
      <c r="AR17" s="6" t="n">
        <v>2181</v>
      </c>
      <c r="AS17" s="6" t="n">
        <v>2091</v>
      </c>
      <c r="AT17" s="6" t="n">
        <v>2090</v>
      </c>
      <c r="AU17" s="6" t="n">
        <v>1967</v>
      </c>
      <c r="AV17" s="6" t="n">
        <v>1963</v>
      </c>
      <c r="AW17" s="6" t="n">
        <v>1951</v>
      </c>
      <c r="AX17" s="6" t="n">
        <v>1950</v>
      </c>
      <c r="AY17" s="6" t="n">
        <v>1950</v>
      </c>
      <c r="AZ17" s="6" t="n">
        <v>1950</v>
      </c>
      <c r="BA17" s="6" t="n">
        <v>1950</v>
      </c>
      <c r="BB17" s="6" t="n">
        <v>1950</v>
      </c>
      <c r="BC17" s="6" t="n">
        <v>1740</v>
      </c>
      <c r="BD17" s="6" t="n">
        <v>1845</v>
      </c>
      <c r="BE17" s="6" t="n">
        <v>1951</v>
      </c>
      <c r="BF17" s="6" t="n">
        <v>2045</v>
      </c>
      <c r="BG17" s="6" t="n">
        <v>2642</v>
      </c>
      <c r="BH17" s="6" t="n">
        <v>2661</v>
      </c>
      <c r="BI17" s="6" t="n">
        <v>3041</v>
      </c>
      <c r="BJ17" s="6" t="n">
        <v>3200</v>
      </c>
      <c r="BK17" s="6" t="n">
        <v>3545</v>
      </c>
      <c r="BL17" s="6" t="n">
        <v>3699</v>
      </c>
      <c r="BM17" s="6" t="n">
        <v>3710</v>
      </c>
      <c r="BN17" s="6" t="n">
        <v>5138</v>
      </c>
      <c r="BO17" s="6" t="n">
        <v>10000</v>
      </c>
      <c r="BP17" s="6" t="n">
        <v>10000</v>
      </c>
      <c r="BQ17" s="6" t="n">
        <v>10000</v>
      </c>
      <c r="BR17" s="6" t="n">
        <v>10000</v>
      </c>
      <c r="BS17" s="6" t="n">
        <v>10000</v>
      </c>
      <c r="BT17" s="6" t="n">
        <v>10000</v>
      </c>
      <c r="BU17" s="6" t="n">
        <v>10000</v>
      </c>
      <c r="BV17" s="6" t="n">
        <v>10000</v>
      </c>
      <c r="BW17" s="6" t="n">
        <v>10000</v>
      </c>
      <c r="BX17" s="6" t="n">
        <v>10000</v>
      </c>
      <c r="BY17" s="6" t="n">
        <v>10000</v>
      </c>
      <c r="BZ17" s="6" t="n">
        <v>10000</v>
      </c>
      <c r="CA17" s="6" t="n">
        <v>10000</v>
      </c>
      <c r="CB17" s="6" t="n">
        <v>10000</v>
      </c>
      <c r="CC17" s="6" t="n">
        <v>10000</v>
      </c>
      <c r="CD17" s="6" t="n">
        <v>10000</v>
      </c>
      <c r="CE17" s="6" t="n">
        <v>10000</v>
      </c>
      <c r="CF17" s="6" t="n">
        <v>10000</v>
      </c>
      <c r="CG17" s="6" t="n">
        <v>10000</v>
      </c>
      <c r="CH17" s="6" t="n">
        <v>10000</v>
      </c>
      <c r="CI17" s="6" t="n">
        <v>10000</v>
      </c>
      <c r="CJ17" s="6" t="n">
        <v>10000</v>
      </c>
      <c r="CK17" s="6" t="n">
        <v>10000</v>
      </c>
      <c r="CL17" s="6" t="n">
        <v>10000</v>
      </c>
      <c r="CM17" s="6" t="n">
        <v>10000</v>
      </c>
      <c r="CN17" s="6" t="n">
        <v>10000</v>
      </c>
      <c r="CO17" s="6" t="n">
        <v>10000</v>
      </c>
      <c r="CP17" s="6" t="n">
        <v>10000</v>
      </c>
      <c r="CQ17" s="6" t="n">
        <v>10000</v>
      </c>
      <c r="CR17" s="6" t="n">
        <v>10000</v>
      </c>
      <c r="CS17" s="6" t="n">
        <v>10000</v>
      </c>
      <c r="CT17" s="6" t="n">
        <v>10000</v>
      </c>
      <c r="CU17" s="6" t="n">
        <v>10000</v>
      </c>
      <c r="CV17" s="6" t="n">
        <v>10000</v>
      </c>
      <c r="CW17" s="6" t="n">
        <v>10000</v>
      </c>
      <c r="CX17" s="6" t="n">
        <v>10000</v>
      </c>
      <c r="CY17" s="6" t="n">
        <v>10000</v>
      </c>
      <c r="CZ17" s="6" t="n">
        <v>10000</v>
      </c>
      <c r="DA17" s="6" t="n">
        <v>10000</v>
      </c>
      <c r="DB17" s="6" t="n">
        <v>10000</v>
      </c>
      <c r="DC17" s="6" t="n">
        <v>10000</v>
      </c>
      <c r="DD17" s="6" t="n">
        <v>10000</v>
      </c>
      <c r="DE17" s="6" t="n">
        <v>10000</v>
      </c>
      <c r="DF17" s="6" t="n">
        <v>10000</v>
      </c>
      <c r="DG17" s="6" t="n">
        <v>10000</v>
      </c>
      <c r="DH17" s="6" t="n">
        <v>10000</v>
      </c>
      <c r="DI17" s="6" t="n">
        <v>10000</v>
      </c>
      <c r="DJ17" s="6" t="n">
        <v>10000</v>
      </c>
      <c r="DK17" s="6" t="n">
        <v>10000</v>
      </c>
      <c r="DL17" s="6" t="n">
        <v>10000</v>
      </c>
      <c r="DM17" s="6" t="n">
        <v>10000</v>
      </c>
      <c r="DN17" s="6" t="n">
        <v>10000</v>
      </c>
      <c r="DO17" s="6" t="n">
        <v>10000</v>
      </c>
      <c r="DP17" s="6" t="n">
        <v>10000</v>
      </c>
      <c r="DQ17" s="6" t="n">
        <v>10000</v>
      </c>
      <c r="DR17" s="6" t="n">
        <v>10000</v>
      </c>
      <c r="DS17" s="6" t="n">
        <v>10000</v>
      </c>
      <c r="DT17" s="6" t="n">
        <v>10000</v>
      </c>
      <c r="DU17" s="6" t="n">
        <v>10000</v>
      </c>
      <c r="DV17" s="6" t="n">
        <v>10000</v>
      </c>
      <c r="DW17" s="6" t="n">
        <v>10000</v>
      </c>
      <c r="DX17" s="6" t="n">
        <v>10000</v>
      </c>
      <c r="DY17" s="6" t="n">
        <v>10000</v>
      </c>
      <c r="DZ17" s="6" t="n">
        <v>10000</v>
      </c>
      <c r="EA17" s="6" t="n">
        <v>5407</v>
      </c>
      <c r="EB17" s="6" t="n">
        <v>4004</v>
      </c>
      <c r="EC17" s="6" t="n">
        <v>4870</v>
      </c>
      <c r="ED17" s="6" t="n">
        <v>4401</v>
      </c>
      <c r="EE17" s="6" t="n">
        <v>3601</v>
      </c>
      <c r="EF17" s="6" t="n">
        <v>3399</v>
      </c>
      <c r="EG17" s="6" t="n">
        <v>2851</v>
      </c>
      <c r="EH17" s="6" t="n">
        <v>2661</v>
      </c>
      <c r="EI17" s="6" t="n">
        <v>2620</v>
      </c>
      <c r="EJ17" s="6" t="n">
        <v>2181</v>
      </c>
      <c r="EK17" s="6" t="n">
        <v>2091</v>
      </c>
      <c r="EL17" s="6" t="n">
        <v>2090</v>
      </c>
      <c r="EM17" s="6" t="n">
        <v>1967</v>
      </c>
      <c r="EN17" s="6" t="n">
        <v>1963</v>
      </c>
      <c r="EO17" s="6" t="n">
        <v>1951</v>
      </c>
      <c r="EP17" s="6" t="n">
        <v>1950</v>
      </c>
      <c r="EQ17" s="6" t="n">
        <v>1950</v>
      </c>
      <c r="ER17" s="6" t="n">
        <v>1950</v>
      </c>
      <c r="ES17" s="6" t="n">
        <v>1950</v>
      </c>
      <c r="ET17" s="6" t="n">
        <v>1950</v>
      </c>
      <c r="EU17" s="6" t="n">
        <v>1740</v>
      </c>
      <c r="EV17" s="6" t="n">
        <v>1845</v>
      </c>
      <c r="EW17" s="6" t="n">
        <v>1951</v>
      </c>
      <c r="EX17" s="6" t="n">
        <v>2045</v>
      </c>
      <c r="EY17" s="6" t="n">
        <v>2642</v>
      </c>
      <c r="EZ17" s="6" t="n">
        <v>2661</v>
      </c>
      <c r="FA17" s="6" t="n">
        <v>3041</v>
      </c>
      <c r="FB17" s="6" t="n">
        <v>3200</v>
      </c>
      <c r="FC17" s="6" t="n">
        <v>3545</v>
      </c>
      <c r="FD17" s="6" t="n">
        <v>3699</v>
      </c>
      <c r="FE17" s="6" t="n">
        <v>3710</v>
      </c>
      <c r="FF17" s="6" t="n">
        <v>5138</v>
      </c>
      <c r="FG17" s="6" t="n">
        <v>10000</v>
      </c>
      <c r="FH17" s="6" t="n">
        <v>10000</v>
      </c>
      <c r="FI17" s="6" t="n">
        <v>10000</v>
      </c>
      <c r="FJ17" s="6" t="n">
        <v>10000</v>
      </c>
      <c r="FK17" s="6" t="n">
        <v>10000</v>
      </c>
      <c r="FL17" s="6" t="n">
        <v>10000</v>
      </c>
      <c r="FM17" s="6" t="n">
        <v>10000</v>
      </c>
      <c r="FN17" s="6" t="n">
        <v>10000</v>
      </c>
      <c r="FO17" s="6" t="n">
        <v>10000</v>
      </c>
      <c r="FP17" s="6" t="n">
        <v>10000</v>
      </c>
      <c r="FQ17" s="6" t="n">
        <v>10000</v>
      </c>
      <c r="FR17" s="6" t="n">
        <v>10000</v>
      </c>
      <c r="FS17" s="6" t="n">
        <v>10000</v>
      </c>
      <c r="FT17" s="6" t="n">
        <v>10000</v>
      </c>
      <c r="FU17" s="6" t="n">
        <v>10000</v>
      </c>
      <c r="FV17" s="6" t="n">
        <v>10000</v>
      </c>
      <c r="FW17" s="6" t="n">
        <v>10000</v>
      </c>
      <c r="FX17" s="6" t="n">
        <v>10000</v>
      </c>
      <c r="FY17" s="6" t="n">
        <v>10000</v>
      </c>
      <c r="FZ17" s="6" t="n">
        <v>10000</v>
      </c>
      <c r="GA17" s="6" t="n">
        <v>10000</v>
      </c>
      <c r="GB17" s="6" t="n">
        <v>10000</v>
      </c>
      <c r="GC17" s="6" t="n">
        <v>10000</v>
      </c>
      <c r="GD17" s="6" t="n">
        <v>10000</v>
      </c>
      <c r="GE17" s="6" t="n">
        <v>10000</v>
      </c>
      <c r="GF17" s="6" t="n">
        <v>10000</v>
      </c>
      <c r="GG17" s="6" t="n">
        <v>10000</v>
      </c>
      <c r="GH17" s="6" t="n">
        <v>10000</v>
      </c>
      <c r="GI17" s="6" t="n">
        <v>10000</v>
      </c>
      <c r="GJ17" s="6" t="n">
        <v>10000</v>
      </c>
      <c r="GK17" s="6" t="n">
        <v>10000</v>
      </c>
      <c r="GL17" s="6" t="n">
        <v>10000</v>
      </c>
    </row>
    <row r="18">
      <c r="A18" s="6" t="inlineStr">
        <is>
          <t>DAM</t>
        </is>
      </c>
      <c r="B18" s="6" t="n">
        <v>15</v>
      </c>
      <c r="C18" s="6" t="n">
        <v>10000</v>
      </c>
      <c r="D18" s="6" t="n">
        <v>10000</v>
      </c>
      <c r="E18" s="6" t="n">
        <v>10000</v>
      </c>
      <c r="F18" s="6" t="n">
        <v>10000</v>
      </c>
      <c r="G18" s="6" t="n">
        <v>10000</v>
      </c>
      <c r="H18" s="6" t="n">
        <v>10000</v>
      </c>
      <c r="I18" s="6" t="n">
        <v>10000</v>
      </c>
      <c r="J18" s="6" t="n">
        <v>10000</v>
      </c>
      <c r="K18" s="6" t="n">
        <v>10000</v>
      </c>
      <c r="L18" s="6" t="n">
        <v>10000</v>
      </c>
      <c r="M18" s="6" t="n">
        <v>10000</v>
      </c>
      <c r="N18" s="6" t="n">
        <v>10000</v>
      </c>
      <c r="O18" s="6" t="n">
        <v>10000</v>
      </c>
      <c r="P18" s="6" t="n">
        <v>10000</v>
      </c>
      <c r="Q18" s="6" t="n">
        <v>10000</v>
      </c>
      <c r="R18" s="6" t="n">
        <v>10000</v>
      </c>
      <c r="S18" s="6" t="n">
        <v>10000</v>
      </c>
      <c r="T18" s="6" t="n">
        <v>10000</v>
      </c>
      <c r="U18" s="6" t="n">
        <v>10000</v>
      </c>
      <c r="V18" s="6" t="n">
        <v>10000</v>
      </c>
      <c r="W18" s="6" t="n">
        <v>10000</v>
      </c>
      <c r="X18" s="6" t="n">
        <v>10000</v>
      </c>
      <c r="Y18" s="6" t="n">
        <v>10000</v>
      </c>
      <c r="Z18" s="6" t="n">
        <v>10000</v>
      </c>
      <c r="AA18" s="6" t="n">
        <v>10000</v>
      </c>
      <c r="AB18" s="6" t="n">
        <v>10000</v>
      </c>
      <c r="AC18" s="6" t="n">
        <v>10000</v>
      </c>
      <c r="AD18" s="6" t="n">
        <v>10000</v>
      </c>
      <c r="AE18" s="6" t="n">
        <v>10000</v>
      </c>
      <c r="AF18" s="6" t="n">
        <v>10000</v>
      </c>
      <c r="AG18" s="6" t="n">
        <v>10000</v>
      </c>
      <c r="AH18" s="6" t="n">
        <v>10000</v>
      </c>
      <c r="AI18" s="6" t="n">
        <v>10000</v>
      </c>
      <c r="AJ18" s="6" t="n">
        <v>6500</v>
      </c>
      <c r="AK18" s="6" t="n">
        <v>6000</v>
      </c>
      <c r="AL18" s="6" t="n">
        <v>4731</v>
      </c>
      <c r="AM18" s="6" t="n">
        <v>5571</v>
      </c>
      <c r="AN18" s="6" t="n">
        <v>4299</v>
      </c>
      <c r="AO18" s="6" t="n">
        <v>4000</v>
      </c>
      <c r="AP18" s="6" t="n">
        <v>3824</v>
      </c>
      <c r="AQ18" s="6" t="n">
        <v>3700</v>
      </c>
      <c r="AR18" s="6" t="n">
        <v>3546</v>
      </c>
      <c r="AS18" s="6" t="n">
        <v>3472</v>
      </c>
      <c r="AT18" s="6" t="n">
        <v>3370</v>
      </c>
      <c r="AU18" s="6" t="n">
        <v>3195</v>
      </c>
      <c r="AV18" s="6" t="n">
        <v>3181</v>
      </c>
      <c r="AW18" s="6" t="n">
        <v>2806</v>
      </c>
      <c r="AX18" s="6" t="n">
        <v>2780</v>
      </c>
      <c r="AY18" s="6" t="n">
        <v>2700</v>
      </c>
      <c r="AZ18" s="6" t="n">
        <v>2700</v>
      </c>
      <c r="BA18" s="6" t="n">
        <v>2700</v>
      </c>
      <c r="BB18" s="6" t="n">
        <v>2700</v>
      </c>
      <c r="BC18" s="6" t="n">
        <v>2660</v>
      </c>
      <c r="BD18" s="6" t="n">
        <v>2680</v>
      </c>
      <c r="BE18" s="6" t="n">
        <v>2843</v>
      </c>
      <c r="BF18" s="6" t="n">
        <v>2878</v>
      </c>
      <c r="BG18" s="6" t="n">
        <v>3299</v>
      </c>
      <c r="BH18" s="6" t="n">
        <v>3466</v>
      </c>
      <c r="BI18" s="6" t="n">
        <v>3547</v>
      </c>
      <c r="BJ18" s="6" t="n">
        <v>3648</v>
      </c>
      <c r="BK18" s="6" t="n">
        <v>4300</v>
      </c>
      <c r="BL18" s="6" t="n">
        <v>5000</v>
      </c>
      <c r="BM18" s="6" t="n">
        <v>5250</v>
      </c>
      <c r="BN18" s="6" t="n">
        <v>7000</v>
      </c>
      <c r="BO18" s="6" t="n">
        <v>10000</v>
      </c>
      <c r="BP18" s="6" t="n">
        <v>10000</v>
      </c>
      <c r="BQ18" s="6" t="n">
        <v>10000</v>
      </c>
      <c r="BR18" s="6" t="n">
        <v>10000</v>
      </c>
      <c r="BS18" s="6" t="n">
        <v>10000</v>
      </c>
      <c r="BT18" s="6" t="n">
        <v>10000</v>
      </c>
      <c r="BU18" s="6" t="n">
        <v>10000</v>
      </c>
      <c r="BV18" s="6" t="n">
        <v>10000</v>
      </c>
      <c r="BW18" s="6" t="n">
        <v>10000</v>
      </c>
      <c r="BX18" s="6" t="n">
        <v>10000</v>
      </c>
      <c r="BY18" s="6" t="n">
        <v>10000</v>
      </c>
      <c r="BZ18" s="6" t="n">
        <v>10000</v>
      </c>
      <c r="CA18" s="6" t="n">
        <v>10000</v>
      </c>
      <c r="CB18" s="6" t="n">
        <v>10000</v>
      </c>
      <c r="CC18" s="6" t="n">
        <v>10000</v>
      </c>
      <c r="CD18" s="6" t="n">
        <v>10000</v>
      </c>
      <c r="CE18" s="6" t="n">
        <v>10000</v>
      </c>
      <c r="CF18" s="6" t="n">
        <v>10000</v>
      </c>
      <c r="CG18" s="6" t="n">
        <v>10000</v>
      </c>
      <c r="CH18" s="6" t="n">
        <v>10000</v>
      </c>
      <c r="CI18" s="6" t="n">
        <v>10000</v>
      </c>
      <c r="CJ18" s="6" t="n">
        <v>10000</v>
      </c>
      <c r="CK18" s="6" t="n">
        <v>10000</v>
      </c>
      <c r="CL18" s="6" t="n">
        <v>10000</v>
      </c>
      <c r="CM18" s="6" t="n">
        <v>10000</v>
      </c>
      <c r="CN18" s="6" t="n">
        <v>10000</v>
      </c>
      <c r="CO18" s="6" t="n">
        <v>10000</v>
      </c>
      <c r="CP18" s="6" t="n">
        <v>10000</v>
      </c>
      <c r="CQ18" s="6" t="n">
        <v>10000</v>
      </c>
      <c r="CR18" s="6" t="n">
        <v>10000</v>
      </c>
      <c r="CS18" s="6" t="n">
        <v>10000</v>
      </c>
      <c r="CT18" s="6" t="n">
        <v>10000</v>
      </c>
      <c r="CU18" s="6" t="n">
        <v>10000</v>
      </c>
      <c r="CV18" s="6" t="n">
        <v>10000</v>
      </c>
      <c r="CW18" s="6" t="n">
        <v>10000</v>
      </c>
      <c r="CX18" s="6" t="n">
        <v>10000</v>
      </c>
      <c r="CY18" s="6" t="n">
        <v>10000</v>
      </c>
      <c r="CZ18" s="6" t="n">
        <v>10000</v>
      </c>
      <c r="DA18" s="6" t="n">
        <v>10000</v>
      </c>
      <c r="DB18" s="6" t="n">
        <v>10000</v>
      </c>
      <c r="DC18" s="6" t="n">
        <v>10000</v>
      </c>
      <c r="DD18" s="6" t="n">
        <v>10000</v>
      </c>
      <c r="DE18" s="6" t="n">
        <v>10000</v>
      </c>
      <c r="DF18" s="6" t="n">
        <v>10000</v>
      </c>
      <c r="DG18" s="6" t="n">
        <v>10000</v>
      </c>
      <c r="DH18" s="6" t="n">
        <v>10000</v>
      </c>
      <c r="DI18" s="6" t="n">
        <v>10000</v>
      </c>
      <c r="DJ18" s="6" t="n">
        <v>10000</v>
      </c>
      <c r="DK18" s="6" t="n">
        <v>10000</v>
      </c>
      <c r="DL18" s="6" t="n">
        <v>10000</v>
      </c>
      <c r="DM18" s="6" t="n">
        <v>10000</v>
      </c>
      <c r="DN18" s="6" t="n">
        <v>10000</v>
      </c>
      <c r="DO18" s="6" t="n">
        <v>10000</v>
      </c>
      <c r="DP18" s="6" t="n">
        <v>10000</v>
      </c>
      <c r="DQ18" s="6" t="n">
        <v>10000</v>
      </c>
      <c r="DR18" s="6" t="n">
        <v>10000</v>
      </c>
      <c r="DS18" s="6" t="n">
        <v>10000</v>
      </c>
      <c r="DT18" s="6" t="n">
        <v>10000</v>
      </c>
      <c r="DU18" s="6" t="n">
        <v>10000</v>
      </c>
      <c r="DV18" s="6" t="n">
        <v>10000</v>
      </c>
      <c r="DW18" s="6" t="n">
        <v>10000</v>
      </c>
      <c r="DX18" s="6" t="n">
        <v>10000</v>
      </c>
      <c r="DY18" s="6" t="n">
        <v>10000</v>
      </c>
      <c r="DZ18" s="6" t="n">
        <v>10000</v>
      </c>
      <c r="EA18" s="6" t="n">
        <v>10000</v>
      </c>
      <c r="EB18" s="6" t="n">
        <v>6500</v>
      </c>
      <c r="EC18" s="6" t="n">
        <v>6000</v>
      </c>
      <c r="ED18" s="6" t="n">
        <v>4731</v>
      </c>
      <c r="EE18" s="6" t="n">
        <v>5571</v>
      </c>
      <c r="EF18" s="6" t="n">
        <v>4299</v>
      </c>
      <c r="EG18" s="6" t="n">
        <v>4000</v>
      </c>
      <c r="EH18" s="6" t="n">
        <v>3824</v>
      </c>
      <c r="EI18" s="6" t="n">
        <v>3700</v>
      </c>
      <c r="EJ18" s="6" t="n">
        <v>3546</v>
      </c>
      <c r="EK18" s="6" t="n">
        <v>3472</v>
      </c>
      <c r="EL18" s="6" t="n">
        <v>3370</v>
      </c>
      <c r="EM18" s="6" t="n">
        <v>3195</v>
      </c>
      <c r="EN18" s="6" t="n">
        <v>3181</v>
      </c>
      <c r="EO18" s="6" t="n">
        <v>2806</v>
      </c>
      <c r="EP18" s="6" t="n">
        <v>2780</v>
      </c>
      <c r="EQ18" s="6" t="n">
        <v>2700</v>
      </c>
      <c r="ER18" s="6" t="n">
        <v>2700</v>
      </c>
      <c r="ES18" s="6" t="n">
        <v>2700</v>
      </c>
      <c r="ET18" s="6" t="n">
        <v>2700</v>
      </c>
      <c r="EU18" s="6" t="n">
        <v>2660</v>
      </c>
      <c r="EV18" s="6" t="n">
        <v>2680</v>
      </c>
      <c r="EW18" s="6" t="n">
        <v>2843</v>
      </c>
      <c r="EX18" s="6" t="n">
        <v>2878</v>
      </c>
      <c r="EY18" s="6" t="n">
        <v>3299</v>
      </c>
      <c r="EZ18" s="6" t="n">
        <v>3466</v>
      </c>
      <c r="FA18" s="6" t="n">
        <v>3547</v>
      </c>
      <c r="FB18" s="6" t="n">
        <v>3648</v>
      </c>
      <c r="FC18" s="6" t="n">
        <v>4300</v>
      </c>
      <c r="FD18" s="6" t="n">
        <v>5000</v>
      </c>
      <c r="FE18" s="6" t="n">
        <v>5250</v>
      </c>
      <c r="FF18" s="6" t="n">
        <v>7000</v>
      </c>
      <c r="FG18" s="6" t="n">
        <v>10000</v>
      </c>
      <c r="FH18" s="6" t="n">
        <v>10000</v>
      </c>
      <c r="FI18" s="6" t="n">
        <v>10000</v>
      </c>
      <c r="FJ18" s="6" t="n">
        <v>10000</v>
      </c>
      <c r="FK18" s="6" t="n">
        <v>10000</v>
      </c>
      <c r="FL18" s="6" t="n">
        <v>10000</v>
      </c>
      <c r="FM18" s="6" t="n">
        <v>10000</v>
      </c>
      <c r="FN18" s="6" t="n">
        <v>10000</v>
      </c>
      <c r="FO18" s="6" t="n">
        <v>10000</v>
      </c>
      <c r="FP18" s="6" t="n">
        <v>10000</v>
      </c>
      <c r="FQ18" s="6" t="n">
        <v>10000</v>
      </c>
      <c r="FR18" s="6" t="n">
        <v>10000</v>
      </c>
      <c r="FS18" s="6" t="n">
        <v>10000</v>
      </c>
      <c r="FT18" s="6" t="n">
        <v>10000</v>
      </c>
      <c r="FU18" s="6" t="n">
        <v>10000</v>
      </c>
      <c r="FV18" s="6" t="n">
        <v>10000</v>
      </c>
      <c r="FW18" s="6" t="n">
        <v>10000</v>
      </c>
      <c r="FX18" s="6" t="n">
        <v>10000</v>
      </c>
      <c r="FY18" s="6" t="n">
        <v>10000</v>
      </c>
      <c r="FZ18" s="6" t="n">
        <v>10000</v>
      </c>
      <c r="GA18" s="6" t="n">
        <v>10000</v>
      </c>
      <c r="GB18" s="6" t="n">
        <v>10000</v>
      </c>
      <c r="GC18" s="6" t="n">
        <v>10000</v>
      </c>
      <c r="GD18" s="6" t="n">
        <v>10000</v>
      </c>
      <c r="GE18" s="6" t="n">
        <v>10000</v>
      </c>
      <c r="GF18" s="6" t="n">
        <v>10000</v>
      </c>
      <c r="GG18" s="6" t="n">
        <v>10000</v>
      </c>
      <c r="GH18" s="6" t="n">
        <v>10000</v>
      </c>
      <c r="GI18" s="6" t="n">
        <v>10000</v>
      </c>
      <c r="GJ18" s="6" t="n">
        <v>10000</v>
      </c>
      <c r="GK18" s="6" t="n">
        <v>10000</v>
      </c>
      <c r="GL18" s="6" t="n">
        <v>10000</v>
      </c>
    </row>
    <row r="19">
      <c r="A19" s="6" t="inlineStr">
        <is>
          <t>DAM</t>
        </is>
      </c>
      <c r="B19" s="6" t="n">
        <v>16</v>
      </c>
      <c r="C19" s="6" t="n">
        <v>10000</v>
      </c>
      <c r="D19" s="6" t="n">
        <v>10000</v>
      </c>
      <c r="E19" s="6" t="n">
        <v>10000</v>
      </c>
      <c r="F19" s="6" t="n">
        <v>10000</v>
      </c>
      <c r="G19" s="6" t="n">
        <v>10000</v>
      </c>
      <c r="H19" s="6" t="n">
        <v>10000</v>
      </c>
      <c r="I19" s="6" t="n">
        <v>10000</v>
      </c>
      <c r="J19" s="6" t="n">
        <v>10000</v>
      </c>
      <c r="K19" s="6" t="n">
        <v>10000</v>
      </c>
      <c r="L19" s="6" t="n">
        <v>10000</v>
      </c>
      <c r="M19" s="6" t="n">
        <v>10000</v>
      </c>
      <c r="N19" s="6" t="n">
        <v>10000</v>
      </c>
      <c r="O19" s="6" t="n">
        <v>10000</v>
      </c>
      <c r="P19" s="6" t="n">
        <v>10000</v>
      </c>
      <c r="Q19" s="6" t="n">
        <v>10000</v>
      </c>
      <c r="R19" s="6" t="n">
        <v>10000</v>
      </c>
      <c r="S19" s="6" t="n">
        <v>10000</v>
      </c>
      <c r="T19" s="6" t="n">
        <v>10000</v>
      </c>
      <c r="U19" s="6" t="n">
        <v>10000</v>
      </c>
      <c r="V19" s="6" t="n">
        <v>10000</v>
      </c>
      <c r="W19" s="6" t="n">
        <v>10000</v>
      </c>
      <c r="X19" s="6" t="n">
        <v>10000</v>
      </c>
      <c r="Y19" s="6" t="n">
        <v>10000</v>
      </c>
      <c r="Z19" s="6" t="n">
        <v>10000</v>
      </c>
      <c r="AA19" s="6" t="n">
        <v>10000</v>
      </c>
      <c r="AB19" s="6" t="n">
        <v>10000</v>
      </c>
      <c r="AC19" s="6" t="n">
        <v>10000</v>
      </c>
      <c r="AD19" s="6" t="n">
        <v>10000</v>
      </c>
      <c r="AE19" s="6" t="n">
        <v>10000</v>
      </c>
      <c r="AF19" s="6" t="n">
        <v>10000</v>
      </c>
      <c r="AG19" s="6" t="n">
        <v>10000</v>
      </c>
      <c r="AH19" s="6" t="n">
        <v>10000</v>
      </c>
      <c r="AI19" s="6" t="n">
        <v>10000</v>
      </c>
      <c r="AJ19" s="6" t="n">
        <v>10000</v>
      </c>
      <c r="AK19" s="6" t="n">
        <v>10000</v>
      </c>
      <c r="AL19" s="6" t="n">
        <v>10000</v>
      </c>
      <c r="AM19" s="6" t="n">
        <v>10000</v>
      </c>
      <c r="AN19" s="6" t="n">
        <v>5999</v>
      </c>
      <c r="AO19" s="6" t="n">
        <v>5002</v>
      </c>
      <c r="AP19" s="6" t="n">
        <v>3988</v>
      </c>
      <c r="AQ19" s="6" t="n">
        <v>3569</v>
      </c>
      <c r="AR19" s="6" t="n">
        <v>3546</v>
      </c>
      <c r="AS19" s="6" t="n">
        <v>3499</v>
      </c>
      <c r="AT19" s="6" t="n">
        <v>3400</v>
      </c>
      <c r="AU19" s="6" t="n">
        <v>3258</v>
      </c>
      <c r="AV19" s="6" t="n">
        <v>3210</v>
      </c>
      <c r="AW19" s="6" t="n">
        <v>3001</v>
      </c>
      <c r="AX19" s="6" t="n">
        <v>3001</v>
      </c>
      <c r="AY19" s="6" t="n">
        <v>2770</v>
      </c>
      <c r="AZ19" s="6" t="n">
        <v>2849</v>
      </c>
      <c r="BA19" s="6" t="n">
        <v>2851</v>
      </c>
      <c r="BB19" s="6" t="n">
        <v>2800</v>
      </c>
      <c r="BC19" s="6" t="n">
        <v>2660</v>
      </c>
      <c r="BD19" s="6" t="n">
        <v>2738</v>
      </c>
      <c r="BE19" s="6" t="n">
        <v>3076</v>
      </c>
      <c r="BF19" s="6" t="n">
        <v>3141</v>
      </c>
      <c r="BG19" s="6" t="n">
        <v>3408</v>
      </c>
      <c r="BH19" s="6" t="n">
        <v>3545</v>
      </c>
      <c r="BI19" s="6" t="n">
        <v>3737</v>
      </c>
      <c r="BJ19" s="6" t="n">
        <v>3801</v>
      </c>
      <c r="BK19" s="6" t="n">
        <v>5999</v>
      </c>
      <c r="BL19" s="6" t="n">
        <v>6695</v>
      </c>
      <c r="BM19" s="6" t="n">
        <v>10000</v>
      </c>
      <c r="BN19" s="6" t="n">
        <v>10000</v>
      </c>
      <c r="BO19" s="6" t="n">
        <v>10000</v>
      </c>
      <c r="BP19" s="6" t="n">
        <v>10000</v>
      </c>
      <c r="BQ19" s="6" t="n">
        <v>10000</v>
      </c>
      <c r="BR19" s="6" t="n">
        <v>10000</v>
      </c>
      <c r="BS19" s="6" t="n">
        <v>10000</v>
      </c>
      <c r="BT19" s="6" t="n">
        <v>10000</v>
      </c>
      <c r="BU19" s="6" t="n">
        <v>10000</v>
      </c>
      <c r="BV19" s="6" t="n">
        <v>10000</v>
      </c>
      <c r="BW19" s="6" t="n">
        <v>10000</v>
      </c>
      <c r="BX19" s="6" t="n">
        <v>10000</v>
      </c>
      <c r="BY19" s="6" t="n">
        <v>10000</v>
      </c>
      <c r="BZ19" s="6" t="n">
        <v>10000</v>
      </c>
      <c r="CA19" s="6" t="n">
        <v>10000</v>
      </c>
      <c r="CB19" s="6" t="n">
        <v>10000</v>
      </c>
      <c r="CC19" s="6" t="n">
        <v>10000</v>
      </c>
      <c r="CD19" s="6" t="n">
        <v>10000</v>
      </c>
      <c r="CE19" s="6" t="n">
        <v>10000</v>
      </c>
      <c r="CF19" s="6" t="n">
        <v>10000</v>
      </c>
      <c r="CG19" s="6" t="n">
        <v>10000</v>
      </c>
      <c r="CH19" s="6" t="n">
        <v>10000</v>
      </c>
      <c r="CI19" s="6" t="n">
        <v>10000</v>
      </c>
      <c r="CJ19" s="6" t="n">
        <v>10000</v>
      </c>
      <c r="CK19" s="6" t="n">
        <v>10000</v>
      </c>
      <c r="CL19" s="6" t="n">
        <v>10000</v>
      </c>
      <c r="CM19" s="6" t="n">
        <v>10000</v>
      </c>
      <c r="CN19" s="6" t="n">
        <v>10000</v>
      </c>
      <c r="CO19" s="6" t="n">
        <v>10000</v>
      </c>
      <c r="CP19" s="6" t="n">
        <v>10000</v>
      </c>
      <c r="CQ19" s="6" t="n">
        <v>10000</v>
      </c>
      <c r="CR19" s="6" t="n">
        <v>10000</v>
      </c>
      <c r="CS19" s="6" t="n">
        <v>10000</v>
      </c>
      <c r="CT19" s="6" t="n">
        <v>10000</v>
      </c>
      <c r="CU19" s="6" t="n">
        <v>10000</v>
      </c>
      <c r="CV19" s="6" t="n">
        <v>10000</v>
      </c>
      <c r="CW19" s="6" t="n">
        <v>10000</v>
      </c>
      <c r="CX19" s="6" t="n">
        <v>10000</v>
      </c>
      <c r="CY19" s="6" t="n">
        <v>10000</v>
      </c>
      <c r="CZ19" s="6" t="n">
        <v>10000</v>
      </c>
      <c r="DA19" s="6" t="n">
        <v>10000</v>
      </c>
      <c r="DB19" s="6" t="n">
        <v>10000</v>
      </c>
      <c r="DC19" s="6" t="n">
        <v>10000</v>
      </c>
      <c r="DD19" s="6" t="n">
        <v>10000</v>
      </c>
      <c r="DE19" s="6" t="n">
        <v>10000</v>
      </c>
      <c r="DF19" s="6" t="n">
        <v>10000</v>
      </c>
      <c r="DG19" s="6" t="n">
        <v>10000</v>
      </c>
      <c r="DH19" s="6" t="n">
        <v>10000</v>
      </c>
      <c r="DI19" s="6" t="n">
        <v>10000</v>
      </c>
      <c r="DJ19" s="6" t="n">
        <v>10000</v>
      </c>
      <c r="DK19" s="6" t="n">
        <v>10000</v>
      </c>
      <c r="DL19" s="6" t="n">
        <v>10000</v>
      </c>
      <c r="DM19" s="6" t="n">
        <v>10000</v>
      </c>
      <c r="DN19" s="6" t="n">
        <v>10000</v>
      </c>
      <c r="DO19" s="6" t="n">
        <v>10000</v>
      </c>
      <c r="DP19" s="6" t="n">
        <v>10000</v>
      </c>
      <c r="DQ19" s="6" t="n">
        <v>10000</v>
      </c>
      <c r="DR19" s="6" t="n">
        <v>10000</v>
      </c>
      <c r="DS19" s="6" t="n">
        <v>10000</v>
      </c>
      <c r="DT19" s="6" t="n">
        <v>10000</v>
      </c>
      <c r="DU19" s="6" t="n">
        <v>10000</v>
      </c>
      <c r="DV19" s="6" t="n">
        <v>10000</v>
      </c>
      <c r="DW19" s="6" t="n">
        <v>10000</v>
      </c>
      <c r="DX19" s="6" t="n">
        <v>10000</v>
      </c>
      <c r="DY19" s="6" t="n">
        <v>10000</v>
      </c>
      <c r="DZ19" s="6" t="n">
        <v>10000</v>
      </c>
      <c r="EA19" s="6" t="n">
        <v>10000</v>
      </c>
      <c r="EB19" s="6" t="n">
        <v>10000</v>
      </c>
      <c r="EC19" s="6" t="n">
        <v>10000</v>
      </c>
      <c r="ED19" s="6" t="n">
        <v>10000</v>
      </c>
      <c r="EE19" s="6" t="n">
        <v>10000</v>
      </c>
      <c r="EF19" s="6" t="n">
        <v>5999</v>
      </c>
      <c r="EG19" s="6" t="n">
        <v>5002</v>
      </c>
      <c r="EH19" s="6" t="n">
        <v>3988</v>
      </c>
      <c r="EI19" s="6" t="n">
        <v>3569</v>
      </c>
      <c r="EJ19" s="6" t="n">
        <v>3546</v>
      </c>
      <c r="EK19" s="6" t="n">
        <v>3499</v>
      </c>
      <c r="EL19" s="6" t="n">
        <v>3400</v>
      </c>
      <c r="EM19" s="6" t="n">
        <v>3258</v>
      </c>
      <c r="EN19" s="6" t="n">
        <v>3210</v>
      </c>
      <c r="EO19" s="6" t="n">
        <v>3001</v>
      </c>
      <c r="EP19" s="6" t="n">
        <v>3001</v>
      </c>
      <c r="EQ19" s="6" t="n">
        <v>2770</v>
      </c>
      <c r="ER19" s="6" t="n">
        <v>2849</v>
      </c>
      <c r="ES19" s="6" t="n">
        <v>2851</v>
      </c>
      <c r="ET19" s="6" t="n">
        <v>2800</v>
      </c>
      <c r="EU19" s="6" t="n">
        <v>2660</v>
      </c>
      <c r="EV19" s="6" t="n">
        <v>2738</v>
      </c>
      <c r="EW19" s="6" t="n">
        <v>3076</v>
      </c>
      <c r="EX19" s="6" t="n">
        <v>3141</v>
      </c>
      <c r="EY19" s="6" t="n">
        <v>3408</v>
      </c>
      <c r="EZ19" s="6" t="n">
        <v>3545</v>
      </c>
      <c r="FA19" s="6" t="n">
        <v>3737</v>
      </c>
      <c r="FB19" s="6" t="n">
        <v>3801</v>
      </c>
      <c r="FC19" s="6" t="n">
        <v>5999</v>
      </c>
      <c r="FD19" s="6" t="n">
        <v>6695</v>
      </c>
      <c r="FE19" s="6" t="n">
        <v>10000</v>
      </c>
      <c r="FF19" s="6" t="n">
        <v>10000</v>
      </c>
      <c r="FG19" s="6" t="n">
        <v>10000</v>
      </c>
      <c r="FH19" s="6" t="n">
        <v>10000</v>
      </c>
      <c r="FI19" s="6" t="n">
        <v>10000</v>
      </c>
      <c r="FJ19" s="6" t="n">
        <v>10000</v>
      </c>
      <c r="FK19" s="6" t="n">
        <v>10000</v>
      </c>
      <c r="FL19" s="6" t="n">
        <v>10000</v>
      </c>
      <c r="FM19" s="6" t="n">
        <v>10000</v>
      </c>
      <c r="FN19" s="6" t="n">
        <v>10000</v>
      </c>
      <c r="FO19" s="6" t="n">
        <v>10000</v>
      </c>
      <c r="FP19" s="6" t="n">
        <v>10000</v>
      </c>
      <c r="FQ19" s="6" t="n">
        <v>10000</v>
      </c>
      <c r="FR19" s="6" t="n">
        <v>10000</v>
      </c>
      <c r="FS19" s="6" t="n">
        <v>10000</v>
      </c>
      <c r="FT19" s="6" t="n">
        <v>10000</v>
      </c>
      <c r="FU19" s="6" t="n">
        <v>10000</v>
      </c>
      <c r="FV19" s="6" t="n">
        <v>10000</v>
      </c>
      <c r="FW19" s="6" t="n">
        <v>10000</v>
      </c>
      <c r="FX19" s="6" t="n">
        <v>10000</v>
      </c>
      <c r="FY19" s="6" t="n">
        <v>10000</v>
      </c>
      <c r="FZ19" s="6" t="n">
        <v>10000</v>
      </c>
      <c r="GA19" s="6" t="n">
        <v>10000</v>
      </c>
      <c r="GB19" s="6" t="n">
        <v>10000</v>
      </c>
      <c r="GC19" s="6" t="n">
        <v>10000</v>
      </c>
      <c r="GD19" s="6" t="n">
        <v>10000</v>
      </c>
      <c r="GE19" s="6" t="n">
        <v>10000</v>
      </c>
      <c r="GF19" s="6" t="n">
        <v>10000</v>
      </c>
      <c r="GG19" s="6" t="n">
        <v>10000</v>
      </c>
      <c r="GH19" s="6" t="n">
        <v>10000</v>
      </c>
      <c r="GI19" s="6" t="n">
        <v>10000</v>
      </c>
      <c r="GJ19" s="6" t="n">
        <v>10000</v>
      </c>
      <c r="GK19" s="6" t="n">
        <v>10000</v>
      </c>
      <c r="GL19" s="6" t="n">
        <v>10000</v>
      </c>
    </row>
    <row r="20">
      <c r="A20" s="6" t="inlineStr">
        <is>
          <t>DAM</t>
        </is>
      </c>
      <c r="B20" s="6" t="n">
        <v>17</v>
      </c>
      <c r="C20" s="6" t="n">
        <v>10000</v>
      </c>
      <c r="D20" s="6" t="n">
        <v>10000</v>
      </c>
      <c r="E20" s="6" t="n">
        <v>10000</v>
      </c>
      <c r="F20" s="6" t="n">
        <v>10000</v>
      </c>
      <c r="G20" s="6" t="n">
        <v>10000</v>
      </c>
      <c r="H20" s="6" t="n">
        <v>10000</v>
      </c>
      <c r="I20" s="6" t="n">
        <v>10000</v>
      </c>
      <c r="J20" s="6" t="n">
        <v>10000</v>
      </c>
      <c r="K20" s="6" t="n">
        <v>10000</v>
      </c>
      <c r="L20" s="6" t="n">
        <v>10000</v>
      </c>
      <c r="M20" s="6" t="n">
        <v>10000</v>
      </c>
      <c r="N20" s="6" t="n">
        <v>10000</v>
      </c>
      <c r="O20" s="6" t="n">
        <v>10000</v>
      </c>
      <c r="P20" s="6" t="n">
        <v>10000</v>
      </c>
      <c r="Q20" s="6" t="n">
        <v>10000</v>
      </c>
      <c r="R20" s="6" t="n">
        <v>10000</v>
      </c>
      <c r="S20" s="6" t="n">
        <v>10000</v>
      </c>
      <c r="T20" s="6" t="n">
        <v>10000</v>
      </c>
      <c r="U20" s="6" t="n">
        <v>10000</v>
      </c>
      <c r="V20" s="6" t="n">
        <v>10000</v>
      </c>
      <c r="W20" s="6" t="n">
        <v>10000</v>
      </c>
      <c r="X20" s="6" t="n">
        <v>10000</v>
      </c>
      <c r="Y20" s="6" t="n">
        <v>10000</v>
      </c>
      <c r="Z20" s="6" t="n">
        <v>10000</v>
      </c>
      <c r="AA20" s="6" t="n">
        <v>10000</v>
      </c>
      <c r="AB20" s="6" t="n">
        <v>10000</v>
      </c>
      <c r="AC20" s="6" t="n">
        <v>10000</v>
      </c>
      <c r="AD20" s="6" t="n">
        <v>10000</v>
      </c>
      <c r="AE20" s="6" t="n">
        <v>10000</v>
      </c>
      <c r="AF20" s="6" t="n">
        <v>10000</v>
      </c>
      <c r="AG20" s="6" t="n">
        <v>10000</v>
      </c>
      <c r="AH20" s="6" t="n">
        <v>10000</v>
      </c>
      <c r="AI20" s="6" t="n">
        <v>10000</v>
      </c>
      <c r="AJ20" s="6" t="n">
        <v>10000</v>
      </c>
      <c r="AK20" s="6" t="n">
        <v>10000</v>
      </c>
      <c r="AL20" s="6" t="n">
        <v>10000</v>
      </c>
      <c r="AM20" s="6" t="n">
        <v>10000</v>
      </c>
      <c r="AN20" s="6" t="n">
        <v>10000</v>
      </c>
      <c r="AO20" s="6" t="n">
        <v>10000</v>
      </c>
      <c r="AP20" s="6" t="n">
        <v>5821</v>
      </c>
      <c r="AQ20" s="6" t="n">
        <v>4939</v>
      </c>
      <c r="AR20" s="6" t="n">
        <v>4299</v>
      </c>
      <c r="AS20" s="6" t="n">
        <v>3903</v>
      </c>
      <c r="AT20" s="6" t="n">
        <v>3571</v>
      </c>
      <c r="AU20" s="6" t="n">
        <v>3560</v>
      </c>
      <c r="AV20" s="6" t="n">
        <v>3546</v>
      </c>
      <c r="AW20" s="6" t="n">
        <v>3529</v>
      </c>
      <c r="AX20" s="6" t="n">
        <v>3510</v>
      </c>
      <c r="AY20" s="6" t="n">
        <v>3470</v>
      </c>
      <c r="AZ20" s="6" t="n">
        <v>3479</v>
      </c>
      <c r="BA20" s="6" t="n">
        <v>3499</v>
      </c>
      <c r="BB20" s="6" t="n">
        <v>3470</v>
      </c>
      <c r="BC20" s="6" t="n">
        <v>3407</v>
      </c>
      <c r="BD20" s="6" t="n">
        <v>3420</v>
      </c>
      <c r="BE20" s="6" t="n">
        <v>3501</v>
      </c>
      <c r="BF20" s="6" t="n">
        <v>3546</v>
      </c>
      <c r="BG20" s="6" t="n">
        <v>4816</v>
      </c>
      <c r="BH20" s="6" t="n">
        <v>5620</v>
      </c>
      <c r="BI20" s="6" t="n">
        <v>6001</v>
      </c>
      <c r="BJ20" s="6" t="n">
        <v>7500</v>
      </c>
      <c r="BK20" s="6" t="n">
        <v>10000</v>
      </c>
      <c r="BL20" s="6" t="n">
        <v>10000</v>
      </c>
      <c r="BM20" s="6" t="n">
        <v>10000</v>
      </c>
      <c r="BN20" s="6" t="n">
        <v>10000</v>
      </c>
      <c r="BO20" s="6" t="n">
        <v>10000</v>
      </c>
      <c r="BP20" s="6" t="n">
        <v>10000</v>
      </c>
      <c r="BQ20" s="6" t="n">
        <v>10000</v>
      </c>
      <c r="BR20" s="6" t="n">
        <v>10000</v>
      </c>
      <c r="BS20" s="6" t="n">
        <v>10000</v>
      </c>
      <c r="BT20" s="6" t="n">
        <v>10000</v>
      </c>
      <c r="BU20" s="6" t="n">
        <v>10000</v>
      </c>
      <c r="BV20" s="6" t="n">
        <v>10000</v>
      </c>
      <c r="BW20" s="6" t="n">
        <v>10000</v>
      </c>
      <c r="BX20" s="6" t="n">
        <v>10000</v>
      </c>
      <c r="BY20" s="6" t="n">
        <v>10000</v>
      </c>
      <c r="BZ20" s="6" t="n">
        <v>10000</v>
      </c>
      <c r="CA20" s="6" t="n">
        <v>10000</v>
      </c>
      <c r="CB20" s="6" t="n">
        <v>10000</v>
      </c>
      <c r="CC20" s="6" t="n">
        <v>10000</v>
      </c>
      <c r="CD20" s="6" t="n">
        <v>10000</v>
      </c>
      <c r="CE20" s="6" t="n">
        <v>10000</v>
      </c>
      <c r="CF20" s="6" t="n">
        <v>10000</v>
      </c>
      <c r="CG20" s="6" t="n">
        <v>10000</v>
      </c>
      <c r="CH20" s="6" t="n">
        <v>10000</v>
      </c>
      <c r="CI20" s="6" t="n">
        <v>10000</v>
      </c>
      <c r="CJ20" s="6" t="n">
        <v>10000</v>
      </c>
      <c r="CK20" s="6" t="n">
        <v>10000</v>
      </c>
      <c r="CL20" s="6" t="n">
        <v>10000</v>
      </c>
      <c r="CM20" s="6" t="n">
        <v>10000</v>
      </c>
      <c r="CN20" s="6" t="n">
        <v>10000</v>
      </c>
      <c r="CO20" s="6" t="n">
        <v>10000</v>
      </c>
      <c r="CP20" s="6" t="n">
        <v>10000</v>
      </c>
      <c r="CQ20" s="6" t="n">
        <v>10000</v>
      </c>
      <c r="CR20" s="6" t="n">
        <v>10000</v>
      </c>
      <c r="CS20" s="6" t="n">
        <v>10000</v>
      </c>
      <c r="CT20" s="6" t="n">
        <v>10000</v>
      </c>
      <c r="CU20" s="6" t="n">
        <v>10000</v>
      </c>
      <c r="CV20" s="6" t="n">
        <v>10000</v>
      </c>
      <c r="CW20" s="6" t="n">
        <v>10000</v>
      </c>
      <c r="CX20" s="6" t="n">
        <v>10000</v>
      </c>
      <c r="CY20" s="6" t="n">
        <v>10000</v>
      </c>
      <c r="CZ20" s="6" t="n">
        <v>10000</v>
      </c>
      <c r="DA20" s="6" t="n">
        <v>10000</v>
      </c>
      <c r="DB20" s="6" t="n">
        <v>10000</v>
      </c>
      <c r="DC20" s="6" t="n">
        <v>10000</v>
      </c>
      <c r="DD20" s="6" t="n">
        <v>10000</v>
      </c>
      <c r="DE20" s="6" t="n">
        <v>10000</v>
      </c>
      <c r="DF20" s="6" t="n">
        <v>10000</v>
      </c>
      <c r="DG20" s="6" t="n">
        <v>10000</v>
      </c>
      <c r="DH20" s="6" t="n">
        <v>10000</v>
      </c>
      <c r="DI20" s="6" t="n">
        <v>10000</v>
      </c>
      <c r="DJ20" s="6" t="n">
        <v>10000</v>
      </c>
      <c r="DK20" s="6" t="n">
        <v>10000</v>
      </c>
      <c r="DL20" s="6" t="n">
        <v>10000</v>
      </c>
      <c r="DM20" s="6" t="n">
        <v>10000</v>
      </c>
      <c r="DN20" s="6" t="n">
        <v>10000</v>
      </c>
      <c r="DO20" s="6" t="n">
        <v>10000</v>
      </c>
      <c r="DP20" s="6" t="n">
        <v>10000</v>
      </c>
      <c r="DQ20" s="6" t="n">
        <v>10000</v>
      </c>
      <c r="DR20" s="6" t="n">
        <v>10000</v>
      </c>
      <c r="DS20" s="6" t="n">
        <v>10000</v>
      </c>
      <c r="DT20" s="6" t="n">
        <v>10000</v>
      </c>
      <c r="DU20" s="6" t="n">
        <v>10000</v>
      </c>
      <c r="DV20" s="6" t="n">
        <v>10000</v>
      </c>
      <c r="DW20" s="6" t="n">
        <v>10000</v>
      </c>
      <c r="DX20" s="6" t="n">
        <v>10000</v>
      </c>
      <c r="DY20" s="6" t="n">
        <v>10000</v>
      </c>
      <c r="DZ20" s="6" t="n">
        <v>10000</v>
      </c>
      <c r="EA20" s="6" t="n">
        <v>10000</v>
      </c>
      <c r="EB20" s="6" t="n">
        <v>10000</v>
      </c>
      <c r="EC20" s="6" t="n">
        <v>10000</v>
      </c>
      <c r="ED20" s="6" t="n">
        <v>10000</v>
      </c>
      <c r="EE20" s="6" t="n">
        <v>10000</v>
      </c>
      <c r="EF20" s="6" t="n">
        <v>10000</v>
      </c>
      <c r="EG20" s="6" t="n">
        <v>10000</v>
      </c>
      <c r="EH20" s="6" t="n">
        <v>5821</v>
      </c>
      <c r="EI20" s="6" t="n">
        <v>4939</v>
      </c>
      <c r="EJ20" s="6" t="n">
        <v>4299</v>
      </c>
      <c r="EK20" s="6" t="n">
        <v>3903</v>
      </c>
      <c r="EL20" s="6" t="n">
        <v>3571</v>
      </c>
      <c r="EM20" s="6" t="n">
        <v>3560</v>
      </c>
      <c r="EN20" s="6" t="n">
        <v>3546</v>
      </c>
      <c r="EO20" s="6" t="n">
        <v>3529</v>
      </c>
      <c r="EP20" s="6" t="n">
        <v>3510</v>
      </c>
      <c r="EQ20" s="6" t="n">
        <v>3470</v>
      </c>
      <c r="ER20" s="6" t="n">
        <v>3479</v>
      </c>
      <c r="ES20" s="6" t="n">
        <v>3499</v>
      </c>
      <c r="ET20" s="6" t="n">
        <v>3470</v>
      </c>
      <c r="EU20" s="6" t="n">
        <v>3407</v>
      </c>
      <c r="EV20" s="6" t="n">
        <v>3420</v>
      </c>
      <c r="EW20" s="6" t="n">
        <v>3501</v>
      </c>
      <c r="EX20" s="6" t="n">
        <v>3546</v>
      </c>
      <c r="EY20" s="6" t="n">
        <v>4816</v>
      </c>
      <c r="EZ20" s="6" t="n">
        <v>5620</v>
      </c>
      <c r="FA20" s="6" t="n">
        <v>6001</v>
      </c>
      <c r="FB20" s="6" t="n">
        <v>7500</v>
      </c>
      <c r="FC20" s="6" t="n">
        <v>10000</v>
      </c>
      <c r="FD20" s="6" t="n">
        <v>10000</v>
      </c>
      <c r="FE20" s="6" t="n">
        <v>10000</v>
      </c>
      <c r="FF20" s="6" t="n">
        <v>10000</v>
      </c>
      <c r="FG20" s="6" t="n">
        <v>10000</v>
      </c>
      <c r="FH20" s="6" t="n">
        <v>10000</v>
      </c>
      <c r="FI20" s="6" t="n">
        <v>10000</v>
      </c>
      <c r="FJ20" s="6" t="n">
        <v>10000</v>
      </c>
      <c r="FK20" s="6" t="n">
        <v>10000</v>
      </c>
      <c r="FL20" s="6" t="n">
        <v>10000</v>
      </c>
      <c r="FM20" s="6" t="n">
        <v>10000</v>
      </c>
      <c r="FN20" s="6" t="n">
        <v>10000</v>
      </c>
      <c r="FO20" s="6" t="n">
        <v>10000</v>
      </c>
      <c r="FP20" s="6" t="n">
        <v>10000</v>
      </c>
      <c r="FQ20" s="6" t="n">
        <v>10000</v>
      </c>
      <c r="FR20" s="6" t="n">
        <v>10000</v>
      </c>
      <c r="FS20" s="6" t="n">
        <v>10000</v>
      </c>
      <c r="FT20" s="6" t="n">
        <v>10000</v>
      </c>
      <c r="FU20" s="6" t="n">
        <v>10000</v>
      </c>
      <c r="FV20" s="6" t="n">
        <v>10000</v>
      </c>
      <c r="FW20" s="6" t="n">
        <v>10000</v>
      </c>
      <c r="FX20" s="6" t="n">
        <v>10000</v>
      </c>
      <c r="FY20" s="6" t="n">
        <v>10000</v>
      </c>
      <c r="FZ20" s="6" t="n">
        <v>10000</v>
      </c>
      <c r="GA20" s="6" t="n">
        <v>10000</v>
      </c>
      <c r="GB20" s="6" t="n">
        <v>10000</v>
      </c>
      <c r="GC20" s="6" t="n">
        <v>10000</v>
      </c>
      <c r="GD20" s="6" t="n">
        <v>10000</v>
      </c>
      <c r="GE20" s="6" t="n">
        <v>10000</v>
      </c>
      <c r="GF20" s="6" t="n">
        <v>10000</v>
      </c>
      <c r="GG20" s="6" t="n">
        <v>10000</v>
      </c>
      <c r="GH20" s="6" t="n">
        <v>10000</v>
      </c>
      <c r="GI20" s="6" t="n">
        <v>10000</v>
      </c>
      <c r="GJ20" s="6" t="n">
        <v>10000</v>
      </c>
      <c r="GK20" s="6" t="n">
        <v>10000</v>
      </c>
      <c r="GL20" s="6" t="n">
        <v>10000</v>
      </c>
    </row>
    <row r="21">
      <c r="A21" s="6" t="inlineStr">
        <is>
          <t>DAM</t>
        </is>
      </c>
      <c r="B21" s="6" t="n">
        <v>18</v>
      </c>
      <c r="C21" s="6" t="n">
        <v>10000</v>
      </c>
      <c r="D21" s="6" t="n">
        <v>10000</v>
      </c>
      <c r="E21" s="6" t="n">
        <v>10000</v>
      </c>
      <c r="F21" s="6" t="n">
        <v>10000</v>
      </c>
      <c r="G21" s="6" t="n">
        <v>10000</v>
      </c>
      <c r="H21" s="6" t="n">
        <v>10000</v>
      </c>
      <c r="I21" s="6" t="n">
        <v>10000</v>
      </c>
      <c r="J21" s="6" t="n">
        <v>10000</v>
      </c>
      <c r="K21" s="6" t="n">
        <v>10000</v>
      </c>
      <c r="L21" s="6" t="n">
        <v>10000</v>
      </c>
      <c r="M21" s="6" t="n">
        <v>10000</v>
      </c>
      <c r="N21" s="6" t="n">
        <v>10000</v>
      </c>
      <c r="O21" s="6" t="n">
        <v>10000</v>
      </c>
      <c r="P21" s="6" t="n">
        <v>10000</v>
      </c>
      <c r="Q21" s="6" t="n">
        <v>10000</v>
      </c>
      <c r="R21" s="6" t="n">
        <v>10000</v>
      </c>
      <c r="S21" s="6" t="n">
        <v>10000</v>
      </c>
      <c r="T21" s="6" t="n">
        <v>10000</v>
      </c>
      <c r="U21" s="6" t="n">
        <v>10000</v>
      </c>
      <c r="V21" s="6" t="n">
        <v>10000</v>
      </c>
      <c r="W21" s="6" t="n">
        <v>10000</v>
      </c>
      <c r="X21" s="6" t="n">
        <v>10000</v>
      </c>
      <c r="Y21" s="6" t="n">
        <v>10000</v>
      </c>
      <c r="Z21" s="6" t="n">
        <v>10000</v>
      </c>
      <c r="AA21" s="6" t="n">
        <v>10000</v>
      </c>
      <c r="AB21" s="6" t="n">
        <v>10000</v>
      </c>
      <c r="AC21" s="6" t="n">
        <v>10000</v>
      </c>
      <c r="AD21" s="6" t="n">
        <v>10000</v>
      </c>
      <c r="AE21" s="6" t="n">
        <v>10000</v>
      </c>
      <c r="AF21" s="6" t="n">
        <v>10000</v>
      </c>
      <c r="AG21" s="6" t="n">
        <v>10000</v>
      </c>
      <c r="AH21" s="6" t="n">
        <v>10000</v>
      </c>
      <c r="AI21" s="6" t="n">
        <v>10000</v>
      </c>
      <c r="AJ21" s="6" t="n">
        <v>9999</v>
      </c>
      <c r="AK21" s="6" t="n">
        <v>5407</v>
      </c>
      <c r="AL21" s="6" t="n">
        <v>5882</v>
      </c>
      <c r="AM21" s="6" t="n">
        <v>3967</v>
      </c>
      <c r="AN21" s="6" t="n">
        <v>3664</v>
      </c>
      <c r="AO21" s="6" t="n">
        <v>3466</v>
      </c>
      <c r="AP21" s="6" t="n">
        <v>3041</v>
      </c>
      <c r="AQ21" s="6" t="n">
        <v>3021</v>
      </c>
      <c r="AR21" s="6" t="n">
        <v>2798</v>
      </c>
      <c r="AS21" s="6" t="n">
        <v>2681</v>
      </c>
      <c r="AT21" s="6" t="n">
        <v>2661</v>
      </c>
      <c r="AU21" s="6" t="n">
        <v>2670</v>
      </c>
      <c r="AV21" s="6" t="n">
        <v>2642</v>
      </c>
      <c r="AW21" s="6" t="n">
        <v>2639</v>
      </c>
      <c r="AX21" s="6" t="n">
        <v>2660</v>
      </c>
      <c r="AY21" s="6" t="n">
        <v>2631</v>
      </c>
      <c r="AZ21" s="6" t="n">
        <v>2640</v>
      </c>
      <c r="BA21" s="6" t="n">
        <v>2630</v>
      </c>
      <c r="BB21" s="6" t="n">
        <v>2639</v>
      </c>
      <c r="BC21" s="6" t="n">
        <v>2610</v>
      </c>
      <c r="BD21" s="6" t="n">
        <v>2640</v>
      </c>
      <c r="BE21" s="6" t="n">
        <v>2661</v>
      </c>
      <c r="BF21" s="6" t="n">
        <v>2780</v>
      </c>
      <c r="BG21" s="6" t="n">
        <v>3180</v>
      </c>
      <c r="BH21" s="6" t="n">
        <v>3370</v>
      </c>
      <c r="BI21" s="6" t="n">
        <v>3546</v>
      </c>
      <c r="BJ21" s="6" t="n">
        <v>3700</v>
      </c>
      <c r="BK21" s="6" t="n">
        <v>5821</v>
      </c>
      <c r="BL21" s="6" t="n">
        <v>9999</v>
      </c>
      <c r="BM21" s="6" t="n">
        <v>10000</v>
      </c>
      <c r="BN21" s="6" t="n">
        <v>10000</v>
      </c>
      <c r="BO21" s="6" t="n">
        <v>10000</v>
      </c>
      <c r="BP21" s="6" t="n">
        <v>10000</v>
      </c>
      <c r="BQ21" s="6" t="n">
        <v>10000</v>
      </c>
      <c r="BR21" s="6" t="n">
        <v>10000</v>
      </c>
      <c r="BS21" s="6" t="n">
        <v>10000</v>
      </c>
      <c r="BT21" s="6" t="n">
        <v>10000</v>
      </c>
      <c r="BU21" s="6" t="n">
        <v>10000</v>
      </c>
      <c r="BV21" s="6" t="n">
        <v>10000</v>
      </c>
      <c r="BW21" s="6" t="n">
        <v>10000</v>
      </c>
      <c r="BX21" s="6" t="n">
        <v>10000</v>
      </c>
      <c r="BY21" s="6" t="n">
        <v>10000</v>
      </c>
      <c r="BZ21" s="6" t="n">
        <v>10000</v>
      </c>
      <c r="CA21" s="6" t="n">
        <v>10000</v>
      </c>
      <c r="CB21" s="6" t="n">
        <v>10000</v>
      </c>
      <c r="CC21" s="6" t="n">
        <v>10000</v>
      </c>
      <c r="CD21" s="6" t="n">
        <v>10000</v>
      </c>
      <c r="CE21" s="6" t="n">
        <v>10000</v>
      </c>
      <c r="CF21" s="6" t="n">
        <v>10000</v>
      </c>
      <c r="CG21" s="6" t="n">
        <v>10000</v>
      </c>
      <c r="CH21" s="6" t="n">
        <v>10000</v>
      </c>
      <c r="CI21" s="6" t="n">
        <v>10000</v>
      </c>
      <c r="CJ21" s="6" t="n">
        <v>10000</v>
      </c>
      <c r="CK21" s="6" t="n">
        <v>10000</v>
      </c>
      <c r="CL21" s="6" t="n">
        <v>10000</v>
      </c>
      <c r="CM21" s="6" t="n">
        <v>10000</v>
      </c>
      <c r="CN21" s="6" t="n">
        <v>10000</v>
      </c>
      <c r="CO21" s="6" t="n">
        <v>10000</v>
      </c>
      <c r="CP21" s="6" t="n">
        <v>10000</v>
      </c>
      <c r="CQ21" s="6" t="n">
        <v>10000</v>
      </c>
      <c r="CR21" s="6" t="n">
        <v>10000</v>
      </c>
      <c r="CS21" s="6" t="n">
        <v>10000</v>
      </c>
      <c r="CT21" s="6" t="n">
        <v>10000</v>
      </c>
      <c r="CU21" s="6" t="n">
        <v>10000</v>
      </c>
      <c r="CV21" s="6" t="n">
        <v>10000</v>
      </c>
      <c r="CW21" s="6" t="n">
        <v>10000</v>
      </c>
      <c r="CX21" s="6" t="n">
        <v>10000</v>
      </c>
      <c r="CY21" s="6" t="n">
        <v>10000</v>
      </c>
      <c r="CZ21" s="6" t="n">
        <v>10000</v>
      </c>
      <c r="DA21" s="6" t="n">
        <v>10000</v>
      </c>
      <c r="DB21" s="6" t="n">
        <v>10000</v>
      </c>
      <c r="DC21" s="6" t="n">
        <v>10000</v>
      </c>
      <c r="DD21" s="6" t="n">
        <v>10000</v>
      </c>
      <c r="DE21" s="6" t="n">
        <v>10000</v>
      </c>
      <c r="DF21" s="6" t="n">
        <v>10000</v>
      </c>
      <c r="DG21" s="6" t="n">
        <v>10000</v>
      </c>
      <c r="DH21" s="6" t="n">
        <v>10000</v>
      </c>
      <c r="DI21" s="6" t="n">
        <v>10000</v>
      </c>
      <c r="DJ21" s="6" t="n">
        <v>10000</v>
      </c>
      <c r="DK21" s="6" t="n">
        <v>10000</v>
      </c>
      <c r="DL21" s="6" t="n">
        <v>10000</v>
      </c>
      <c r="DM21" s="6" t="n">
        <v>10000</v>
      </c>
      <c r="DN21" s="6" t="n">
        <v>10000</v>
      </c>
      <c r="DO21" s="6" t="n">
        <v>10000</v>
      </c>
      <c r="DP21" s="6" t="n">
        <v>10000</v>
      </c>
      <c r="DQ21" s="6" t="n">
        <v>10000</v>
      </c>
      <c r="DR21" s="6" t="n">
        <v>10000</v>
      </c>
      <c r="DS21" s="6" t="n">
        <v>10000</v>
      </c>
      <c r="DT21" s="6" t="n">
        <v>10000</v>
      </c>
      <c r="DU21" s="6" t="n">
        <v>10000</v>
      </c>
      <c r="DV21" s="6" t="n">
        <v>10000</v>
      </c>
      <c r="DW21" s="6" t="n">
        <v>10000</v>
      </c>
      <c r="DX21" s="6" t="n">
        <v>10000</v>
      </c>
      <c r="DY21" s="6" t="n">
        <v>10000</v>
      </c>
      <c r="DZ21" s="6" t="n">
        <v>10000</v>
      </c>
      <c r="EA21" s="6" t="n">
        <v>10000</v>
      </c>
      <c r="EB21" s="6" t="n">
        <v>9999</v>
      </c>
      <c r="EC21" s="6" t="n">
        <v>5407</v>
      </c>
      <c r="ED21" s="6" t="n">
        <v>5882</v>
      </c>
      <c r="EE21" s="6" t="n">
        <v>3967</v>
      </c>
      <c r="EF21" s="6" t="n">
        <v>3664</v>
      </c>
      <c r="EG21" s="6" t="n">
        <v>3466</v>
      </c>
      <c r="EH21" s="6" t="n">
        <v>3041</v>
      </c>
      <c r="EI21" s="6" t="n">
        <v>3021</v>
      </c>
      <c r="EJ21" s="6" t="n">
        <v>2798</v>
      </c>
      <c r="EK21" s="6" t="n">
        <v>2681</v>
      </c>
      <c r="EL21" s="6" t="n">
        <v>2661</v>
      </c>
      <c r="EM21" s="6" t="n">
        <v>2670</v>
      </c>
      <c r="EN21" s="6" t="n">
        <v>2642</v>
      </c>
      <c r="EO21" s="6" t="n">
        <v>2639</v>
      </c>
      <c r="EP21" s="6" t="n">
        <v>2660</v>
      </c>
      <c r="EQ21" s="6" t="n">
        <v>2631</v>
      </c>
      <c r="ER21" s="6" t="n">
        <v>2640</v>
      </c>
      <c r="ES21" s="6" t="n">
        <v>2630</v>
      </c>
      <c r="ET21" s="6" t="n">
        <v>2639</v>
      </c>
      <c r="EU21" s="6" t="n">
        <v>2610</v>
      </c>
      <c r="EV21" s="6" t="n">
        <v>2640</v>
      </c>
      <c r="EW21" s="6" t="n">
        <v>2661</v>
      </c>
      <c r="EX21" s="6" t="n">
        <v>2780</v>
      </c>
      <c r="EY21" s="6" t="n">
        <v>3180</v>
      </c>
      <c r="EZ21" s="6" t="n">
        <v>3370</v>
      </c>
      <c r="FA21" s="6" t="n">
        <v>3546</v>
      </c>
      <c r="FB21" s="6" t="n">
        <v>3700</v>
      </c>
      <c r="FC21" s="6" t="n">
        <v>5821</v>
      </c>
      <c r="FD21" s="6" t="n">
        <v>9999</v>
      </c>
      <c r="FE21" s="6" t="n">
        <v>10000</v>
      </c>
      <c r="FF21" s="6" t="n">
        <v>10000</v>
      </c>
      <c r="FG21" s="6" t="n">
        <v>10000</v>
      </c>
      <c r="FH21" s="6" t="n">
        <v>10000</v>
      </c>
      <c r="FI21" s="6" t="n">
        <v>10000</v>
      </c>
      <c r="FJ21" s="6" t="n">
        <v>10000</v>
      </c>
      <c r="FK21" s="6" t="n">
        <v>10000</v>
      </c>
      <c r="FL21" s="6" t="n">
        <v>10000</v>
      </c>
      <c r="FM21" s="6" t="n">
        <v>10000</v>
      </c>
      <c r="FN21" s="6" t="n">
        <v>10000</v>
      </c>
      <c r="FO21" s="6" t="n">
        <v>10000</v>
      </c>
      <c r="FP21" s="6" t="n">
        <v>10000</v>
      </c>
      <c r="FQ21" s="6" t="n">
        <v>10000</v>
      </c>
      <c r="FR21" s="6" t="n">
        <v>10000</v>
      </c>
      <c r="FS21" s="6" t="n">
        <v>10000</v>
      </c>
      <c r="FT21" s="6" t="n">
        <v>10000</v>
      </c>
      <c r="FU21" s="6" t="n">
        <v>10000</v>
      </c>
      <c r="FV21" s="6" t="n">
        <v>10000</v>
      </c>
      <c r="FW21" s="6" t="n">
        <v>10000</v>
      </c>
      <c r="FX21" s="6" t="n">
        <v>10000</v>
      </c>
      <c r="FY21" s="6" t="n">
        <v>10000</v>
      </c>
      <c r="FZ21" s="6" t="n">
        <v>10000</v>
      </c>
      <c r="GA21" s="6" t="n">
        <v>10000</v>
      </c>
      <c r="GB21" s="6" t="n">
        <v>10000</v>
      </c>
      <c r="GC21" s="6" t="n">
        <v>10000</v>
      </c>
      <c r="GD21" s="6" t="n">
        <v>10000</v>
      </c>
      <c r="GE21" s="6" t="n">
        <v>10000</v>
      </c>
      <c r="GF21" s="6" t="n">
        <v>10000</v>
      </c>
      <c r="GG21" s="6" t="n">
        <v>10000</v>
      </c>
      <c r="GH21" s="6" t="n">
        <v>10000</v>
      </c>
      <c r="GI21" s="6" t="n">
        <v>10000</v>
      </c>
      <c r="GJ21" s="6" t="n">
        <v>10000</v>
      </c>
      <c r="GK21" s="6" t="n">
        <v>10000</v>
      </c>
      <c r="GL21" s="6" t="n">
        <v>10000</v>
      </c>
    </row>
    <row r="22">
      <c r="A22" s="6" t="inlineStr">
        <is>
          <t>DAM</t>
        </is>
      </c>
      <c r="B22" s="6" t="n">
        <v>19</v>
      </c>
      <c r="C22" s="6" t="n">
        <v>10000</v>
      </c>
      <c r="D22" s="6" t="n">
        <v>10000</v>
      </c>
      <c r="E22" s="6" t="n">
        <v>10000</v>
      </c>
      <c r="F22" s="6" t="n">
        <v>10000</v>
      </c>
      <c r="G22" s="6" t="n">
        <v>10000</v>
      </c>
      <c r="H22" s="6" t="n">
        <v>10000</v>
      </c>
      <c r="I22" s="6" t="n">
        <v>10000</v>
      </c>
      <c r="J22" s="6" t="n">
        <v>10000</v>
      </c>
      <c r="K22" s="6" t="n">
        <v>10000</v>
      </c>
      <c r="L22" s="6" t="n">
        <v>10000</v>
      </c>
      <c r="M22" s="6" t="n">
        <v>10000</v>
      </c>
      <c r="N22" s="6" t="n">
        <v>10000</v>
      </c>
      <c r="O22" s="6" t="n">
        <v>10000</v>
      </c>
      <c r="P22" s="6" t="n">
        <v>10000</v>
      </c>
      <c r="Q22" s="6" t="n">
        <v>10000</v>
      </c>
      <c r="R22" s="6" t="n">
        <v>10000</v>
      </c>
      <c r="S22" s="6" t="n">
        <v>10000</v>
      </c>
      <c r="T22" s="6" t="n">
        <v>10000</v>
      </c>
      <c r="U22" s="6" t="n">
        <v>10000</v>
      </c>
      <c r="V22" s="6" t="n">
        <v>10000</v>
      </c>
      <c r="W22" s="6" t="n">
        <v>10000</v>
      </c>
      <c r="X22" s="6" t="n">
        <v>10000</v>
      </c>
      <c r="Y22" s="6" t="n">
        <v>10000</v>
      </c>
      <c r="Z22" s="6" t="n">
        <v>10000</v>
      </c>
      <c r="AA22" s="6" t="n">
        <v>10000</v>
      </c>
      <c r="AB22" s="6" t="n">
        <v>10000</v>
      </c>
      <c r="AC22" s="6" t="n">
        <v>10000</v>
      </c>
      <c r="AD22" s="6" t="n">
        <v>10000</v>
      </c>
      <c r="AE22" s="6" t="n">
        <v>10000</v>
      </c>
      <c r="AF22" s="6" t="n">
        <v>10000</v>
      </c>
      <c r="AG22" s="6" t="n">
        <v>10000</v>
      </c>
      <c r="AH22" s="6" t="n">
        <v>10000</v>
      </c>
      <c r="AI22" s="6" t="n">
        <v>10000</v>
      </c>
      <c r="AJ22" s="6" t="n">
        <v>9990</v>
      </c>
      <c r="AK22" s="6" t="n">
        <v>5001</v>
      </c>
      <c r="AL22" s="6" t="n">
        <v>4955</v>
      </c>
      <c r="AM22" s="6" t="n">
        <v>3690</v>
      </c>
      <c r="AN22" s="6" t="n">
        <v>3301</v>
      </c>
      <c r="AO22" s="6" t="n">
        <v>2690</v>
      </c>
      <c r="AP22" s="6" t="n">
        <v>2499</v>
      </c>
      <c r="AQ22" s="6" t="n">
        <v>2215</v>
      </c>
      <c r="AR22" s="6" t="n">
        <v>2100</v>
      </c>
      <c r="AS22" s="6" t="n">
        <v>2002</v>
      </c>
      <c r="AT22" s="6" t="n">
        <v>1946</v>
      </c>
      <c r="AU22" s="6" t="n">
        <v>1940</v>
      </c>
      <c r="AV22" s="6" t="n">
        <v>1935</v>
      </c>
      <c r="AW22" s="6" t="n">
        <v>1916</v>
      </c>
      <c r="AX22" s="6" t="n">
        <v>1941</v>
      </c>
      <c r="AY22" s="6" t="n">
        <v>1916</v>
      </c>
      <c r="AZ22" s="6" t="n">
        <v>1907</v>
      </c>
      <c r="BA22" s="6" t="n">
        <v>1873</v>
      </c>
      <c r="BB22" s="6" t="n">
        <v>1770</v>
      </c>
      <c r="BC22" s="6" t="n">
        <v>1761</v>
      </c>
      <c r="BD22" s="6" t="n">
        <v>1771</v>
      </c>
      <c r="BE22" s="6" t="n">
        <v>1940</v>
      </c>
      <c r="BF22" s="6" t="n">
        <v>2101</v>
      </c>
      <c r="BG22" s="6" t="n">
        <v>2690</v>
      </c>
      <c r="BH22" s="6" t="n">
        <v>3041</v>
      </c>
      <c r="BI22" s="6" t="n">
        <v>3466</v>
      </c>
      <c r="BJ22" s="6" t="n">
        <v>3545</v>
      </c>
      <c r="BK22" s="6" t="n">
        <v>3699</v>
      </c>
      <c r="BL22" s="6" t="n">
        <v>4451</v>
      </c>
      <c r="BM22" s="6" t="n">
        <v>9002</v>
      </c>
      <c r="BN22" s="6" t="n">
        <v>9991</v>
      </c>
      <c r="BO22" s="6" t="n">
        <v>10000</v>
      </c>
      <c r="BP22" s="6" t="n">
        <v>10000</v>
      </c>
      <c r="BQ22" s="6" t="n">
        <v>10000</v>
      </c>
      <c r="BR22" s="6" t="n">
        <v>10000</v>
      </c>
      <c r="BS22" s="6" t="n">
        <v>10000</v>
      </c>
      <c r="BT22" s="6" t="n">
        <v>10000</v>
      </c>
      <c r="BU22" s="6" t="n">
        <v>10000</v>
      </c>
      <c r="BV22" s="6" t="n">
        <v>10000</v>
      </c>
      <c r="BW22" s="6" t="n">
        <v>10000</v>
      </c>
      <c r="BX22" s="6" t="n">
        <v>10000</v>
      </c>
      <c r="BY22" s="6" t="n">
        <v>10000</v>
      </c>
      <c r="BZ22" s="6" t="n">
        <v>10000</v>
      </c>
      <c r="CA22" s="6" t="n">
        <v>10000</v>
      </c>
      <c r="CB22" s="6" t="n">
        <v>10000</v>
      </c>
      <c r="CC22" s="6" t="n">
        <v>10000</v>
      </c>
      <c r="CD22" s="6" t="n">
        <v>10000</v>
      </c>
      <c r="CE22" s="6" t="n">
        <v>10000</v>
      </c>
      <c r="CF22" s="6" t="n">
        <v>10000</v>
      </c>
      <c r="CG22" s="6" t="n">
        <v>10000</v>
      </c>
      <c r="CH22" s="6" t="n">
        <v>10000</v>
      </c>
      <c r="CI22" s="6" t="n">
        <v>10000</v>
      </c>
      <c r="CJ22" s="6" t="n">
        <v>10000</v>
      </c>
      <c r="CK22" s="6" t="n">
        <v>10000</v>
      </c>
      <c r="CL22" s="6" t="n">
        <v>10000</v>
      </c>
      <c r="CM22" s="6" t="n">
        <v>10000</v>
      </c>
      <c r="CN22" s="6" t="n">
        <v>10000</v>
      </c>
      <c r="CO22" s="6" t="n">
        <v>10000</v>
      </c>
      <c r="CP22" s="6" t="n">
        <v>10000</v>
      </c>
      <c r="CQ22" s="6" t="n">
        <v>10000</v>
      </c>
      <c r="CR22" s="6" t="n">
        <v>10000</v>
      </c>
      <c r="CS22" s="6" t="n">
        <v>10000</v>
      </c>
      <c r="CT22" s="6" t="n">
        <v>10000</v>
      </c>
      <c r="CU22" s="6" t="n">
        <v>10000</v>
      </c>
      <c r="CV22" s="6" t="n">
        <v>10000</v>
      </c>
      <c r="CW22" s="6" t="n">
        <v>10000</v>
      </c>
      <c r="CX22" s="6" t="n">
        <v>10000</v>
      </c>
      <c r="CY22" s="6" t="n">
        <v>10000</v>
      </c>
      <c r="CZ22" s="6" t="n">
        <v>10000</v>
      </c>
      <c r="DA22" s="6" t="n">
        <v>10000</v>
      </c>
      <c r="DB22" s="6" t="n">
        <v>10000</v>
      </c>
      <c r="DC22" s="6" t="n">
        <v>10000</v>
      </c>
      <c r="DD22" s="6" t="n">
        <v>10000</v>
      </c>
      <c r="DE22" s="6" t="n">
        <v>10000</v>
      </c>
      <c r="DF22" s="6" t="n">
        <v>10000</v>
      </c>
      <c r="DG22" s="6" t="n">
        <v>10000</v>
      </c>
      <c r="DH22" s="6" t="n">
        <v>10000</v>
      </c>
      <c r="DI22" s="6" t="n">
        <v>10000</v>
      </c>
      <c r="DJ22" s="6" t="n">
        <v>10000</v>
      </c>
      <c r="DK22" s="6" t="n">
        <v>10000</v>
      </c>
      <c r="DL22" s="6" t="n">
        <v>10000</v>
      </c>
      <c r="DM22" s="6" t="n">
        <v>10000</v>
      </c>
      <c r="DN22" s="6" t="n">
        <v>10000</v>
      </c>
      <c r="DO22" s="6" t="n">
        <v>10000</v>
      </c>
      <c r="DP22" s="6" t="n">
        <v>10000</v>
      </c>
      <c r="DQ22" s="6" t="n">
        <v>10000</v>
      </c>
      <c r="DR22" s="6" t="n">
        <v>10000</v>
      </c>
      <c r="DS22" s="6" t="n">
        <v>10000</v>
      </c>
      <c r="DT22" s="6" t="n">
        <v>10000</v>
      </c>
      <c r="DU22" s="6" t="n">
        <v>10000</v>
      </c>
      <c r="DV22" s="6" t="n">
        <v>10000</v>
      </c>
      <c r="DW22" s="6" t="n">
        <v>10000</v>
      </c>
      <c r="DX22" s="6" t="n">
        <v>10000</v>
      </c>
      <c r="DY22" s="6" t="n">
        <v>10000</v>
      </c>
      <c r="DZ22" s="6" t="n">
        <v>10000</v>
      </c>
      <c r="EA22" s="6" t="n">
        <v>10000</v>
      </c>
      <c r="EB22" s="6" t="n">
        <v>9990</v>
      </c>
      <c r="EC22" s="6" t="n">
        <v>5001</v>
      </c>
      <c r="ED22" s="6" t="n">
        <v>4955</v>
      </c>
      <c r="EE22" s="6" t="n">
        <v>3690</v>
      </c>
      <c r="EF22" s="6" t="n">
        <v>3301</v>
      </c>
      <c r="EG22" s="6" t="n">
        <v>2690</v>
      </c>
      <c r="EH22" s="6" t="n">
        <v>2499</v>
      </c>
      <c r="EI22" s="6" t="n">
        <v>2215</v>
      </c>
      <c r="EJ22" s="6" t="n">
        <v>2100</v>
      </c>
      <c r="EK22" s="6" t="n">
        <v>2002</v>
      </c>
      <c r="EL22" s="6" t="n">
        <v>1946</v>
      </c>
      <c r="EM22" s="6" t="n">
        <v>1940</v>
      </c>
      <c r="EN22" s="6" t="n">
        <v>1935</v>
      </c>
      <c r="EO22" s="6" t="n">
        <v>1916</v>
      </c>
      <c r="EP22" s="6" t="n">
        <v>1941</v>
      </c>
      <c r="EQ22" s="6" t="n">
        <v>1916</v>
      </c>
      <c r="ER22" s="6" t="n">
        <v>1907</v>
      </c>
      <c r="ES22" s="6" t="n">
        <v>1873</v>
      </c>
      <c r="ET22" s="6" t="n">
        <v>1770</v>
      </c>
      <c r="EU22" s="6" t="n">
        <v>1761</v>
      </c>
      <c r="EV22" s="6" t="n">
        <v>1771</v>
      </c>
      <c r="EW22" s="6" t="n">
        <v>1940</v>
      </c>
      <c r="EX22" s="6" t="n">
        <v>2101</v>
      </c>
      <c r="EY22" s="6" t="n">
        <v>2690</v>
      </c>
      <c r="EZ22" s="6" t="n">
        <v>3041</v>
      </c>
      <c r="FA22" s="6" t="n">
        <v>3466</v>
      </c>
      <c r="FB22" s="6" t="n">
        <v>3545</v>
      </c>
      <c r="FC22" s="6" t="n">
        <v>3699</v>
      </c>
      <c r="FD22" s="6" t="n">
        <v>4451</v>
      </c>
      <c r="FE22" s="6" t="n">
        <v>9002</v>
      </c>
      <c r="FF22" s="6" t="n">
        <v>9991</v>
      </c>
      <c r="FG22" s="6" t="n">
        <v>10000</v>
      </c>
      <c r="FH22" s="6" t="n">
        <v>10000</v>
      </c>
      <c r="FI22" s="6" t="n">
        <v>10000</v>
      </c>
      <c r="FJ22" s="6" t="n">
        <v>10000</v>
      </c>
      <c r="FK22" s="6" t="n">
        <v>10000</v>
      </c>
      <c r="FL22" s="6" t="n">
        <v>10000</v>
      </c>
      <c r="FM22" s="6" t="n">
        <v>10000</v>
      </c>
      <c r="FN22" s="6" t="n">
        <v>10000</v>
      </c>
      <c r="FO22" s="6" t="n">
        <v>10000</v>
      </c>
      <c r="FP22" s="6" t="n">
        <v>10000</v>
      </c>
      <c r="FQ22" s="6" t="n">
        <v>10000</v>
      </c>
      <c r="FR22" s="6" t="n">
        <v>10000</v>
      </c>
      <c r="FS22" s="6" t="n">
        <v>10000</v>
      </c>
      <c r="FT22" s="6" t="n">
        <v>10000</v>
      </c>
      <c r="FU22" s="6" t="n">
        <v>10000</v>
      </c>
      <c r="FV22" s="6" t="n">
        <v>10000</v>
      </c>
      <c r="FW22" s="6" t="n">
        <v>10000</v>
      </c>
      <c r="FX22" s="6" t="n">
        <v>10000</v>
      </c>
      <c r="FY22" s="6" t="n">
        <v>10000</v>
      </c>
      <c r="FZ22" s="6" t="n">
        <v>10000</v>
      </c>
      <c r="GA22" s="6" t="n">
        <v>10000</v>
      </c>
      <c r="GB22" s="6" t="n">
        <v>10000</v>
      </c>
      <c r="GC22" s="6" t="n">
        <v>10000</v>
      </c>
      <c r="GD22" s="6" t="n">
        <v>10000</v>
      </c>
      <c r="GE22" s="6" t="n">
        <v>10000</v>
      </c>
      <c r="GF22" s="6" t="n">
        <v>10000</v>
      </c>
      <c r="GG22" s="6" t="n">
        <v>10000</v>
      </c>
      <c r="GH22" s="6" t="n">
        <v>10000</v>
      </c>
      <c r="GI22" s="6" t="n">
        <v>10000</v>
      </c>
      <c r="GJ22" s="6" t="n">
        <v>10000</v>
      </c>
      <c r="GK22" s="6" t="n">
        <v>10000</v>
      </c>
      <c r="GL22" s="6" t="n">
        <v>10000</v>
      </c>
    </row>
    <row r="23">
      <c r="A23" s="6" t="inlineStr">
        <is>
          <t>DAM</t>
        </is>
      </c>
      <c r="B23" s="6" t="n">
        <v>20</v>
      </c>
      <c r="C23" s="6" t="n">
        <v>10000</v>
      </c>
      <c r="D23" s="6" t="n">
        <v>10000</v>
      </c>
      <c r="E23" s="6" t="n">
        <v>10000</v>
      </c>
      <c r="F23" s="6" t="n">
        <v>10000</v>
      </c>
      <c r="G23" s="6" t="n">
        <v>10000</v>
      </c>
      <c r="H23" s="6" t="n">
        <v>10000</v>
      </c>
      <c r="I23" s="6" t="n">
        <v>10000</v>
      </c>
      <c r="J23" s="6" t="n">
        <v>10000</v>
      </c>
      <c r="K23" s="6" t="n">
        <v>10000</v>
      </c>
      <c r="L23" s="6" t="n">
        <v>10000</v>
      </c>
      <c r="M23" s="6" t="n">
        <v>10000</v>
      </c>
      <c r="N23" s="6" t="n">
        <v>10000</v>
      </c>
      <c r="O23" s="6" t="n">
        <v>10000</v>
      </c>
      <c r="P23" s="6" t="n">
        <v>10000</v>
      </c>
      <c r="Q23" s="6" t="n">
        <v>10000</v>
      </c>
      <c r="R23" s="6" t="n">
        <v>10000</v>
      </c>
      <c r="S23" s="6" t="n">
        <v>10000</v>
      </c>
      <c r="T23" s="6" t="n">
        <v>10000</v>
      </c>
      <c r="U23" s="6" t="n">
        <v>10000</v>
      </c>
      <c r="V23" s="6" t="n">
        <v>10000</v>
      </c>
      <c r="W23" s="6" t="n">
        <v>10000</v>
      </c>
      <c r="X23" s="6" t="n">
        <v>10000</v>
      </c>
      <c r="Y23" s="6" t="n">
        <v>10000</v>
      </c>
      <c r="Z23" s="6" t="n">
        <v>10000</v>
      </c>
      <c r="AA23" s="6" t="n">
        <v>10000</v>
      </c>
      <c r="AB23" s="6" t="n">
        <v>10000</v>
      </c>
      <c r="AC23" s="6" t="n">
        <v>10000</v>
      </c>
      <c r="AD23" s="6" t="n">
        <v>10000</v>
      </c>
      <c r="AE23" s="6" t="n">
        <v>10000</v>
      </c>
      <c r="AF23" s="6" t="n">
        <v>10000</v>
      </c>
      <c r="AG23" s="6" t="n">
        <v>10000</v>
      </c>
      <c r="AH23" s="6" t="n">
        <v>10000</v>
      </c>
      <c r="AI23" s="6" t="n">
        <v>4819</v>
      </c>
      <c r="AJ23" s="6" t="n">
        <v>3546</v>
      </c>
      <c r="AK23" s="6" t="n">
        <v>3294</v>
      </c>
      <c r="AL23" s="6" t="n">
        <v>3370</v>
      </c>
      <c r="AM23" s="6" t="n">
        <v>3140</v>
      </c>
      <c r="AN23" s="6" t="n">
        <v>2832</v>
      </c>
      <c r="AO23" s="6" t="n">
        <v>2800</v>
      </c>
      <c r="AP23" s="6" t="n">
        <v>2671</v>
      </c>
      <c r="AQ23" s="6" t="n">
        <v>2499</v>
      </c>
      <c r="AR23" s="6" t="n">
        <v>2152</v>
      </c>
      <c r="AS23" s="6" t="n">
        <v>1999</v>
      </c>
      <c r="AT23" s="6" t="n">
        <v>1924</v>
      </c>
      <c r="AU23" s="6" t="n">
        <v>1907</v>
      </c>
      <c r="AV23" s="6" t="n">
        <v>1906</v>
      </c>
      <c r="AW23" s="6" t="n">
        <v>1897</v>
      </c>
      <c r="AX23" s="6" t="n">
        <v>1770</v>
      </c>
      <c r="AY23" s="6" t="n">
        <v>1761</v>
      </c>
      <c r="AZ23" s="6" t="n">
        <v>1761</v>
      </c>
      <c r="BA23" s="6" t="n">
        <v>1761</v>
      </c>
      <c r="BB23" s="6" t="n">
        <v>1761</v>
      </c>
      <c r="BC23" s="6" t="n">
        <v>1760</v>
      </c>
      <c r="BD23" s="6" t="n">
        <v>1761</v>
      </c>
      <c r="BE23" s="6" t="n">
        <v>1920</v>
      </c>
      <c r="BF23" s="6" t="n">
        <v>1941</v>
      </c>
      <c r="BG23" s="6" t="n">
        <v>1924</v>
      </c>
      <c r="BH23" s="6" t="n">
        <v>2072</v>
      </c>
      <c r="BI23" s="6" t="n">
        <v>2521</v>
      </c>
      <c r="BJ23" s="6" t="n">
        <v>2691</v>
      </c>
      <c r="BK23" s="6" t="n">
        <v>3040</v>
      </c>
      <c r="BL23" s="6" t="n">
        <v>3241</v>
      </c>
      <c r="BM23" s="6" t="n">
        <v>3350</v>
      </c>
      <c r="BN23" s="6" t="n">
        <v>3546</v>
      </c>
      <c r="BO23" s="6" t="n">
        <v>5138</v>
      </c>
      <c r="BP23" s="6" t="n">
        <v>6501</v>
      </c>
      <c r="BQ23" s="6" t="n">
        <v>9999</v>
      </c>
      <c r="BR23" s="6" t="n">
        <v>10000</v>
      </c>
      <c r="BS23" s="6" t="n">
        <v>10000</v>
      </c>
      <c r="BT23" s="6" t="n">
        <v>10000</v>
      </c>
      <c r="BU23" s="6" t="n">
        <v>10000</v>
      </c>
      <c r="BV23" s="6" t="n">
        <v>10000</v>
      </c>
      <c r="BW23" s="6" t="n">
        <v>10000</v>
      </c>
      <c r="BX23" s="6" t="n">
        <v>10000</v>
      </c>
      <c r="BY23" s="6" t="n">
        <v>10000</v>
      </c>
      <c r="BZ23" s="6" t="n">
        <v>10000</v>
      </c>
      <c r="CA23" s="6" t="n">
        <v>10000</v>
      </c>
      <c r="CB23" s="6" t="n">
        <v>10000</v>
      </c>
      <c r="CC23" s="6" t="n">
        <v>10000</v>
      </c>
      <c r="CD23" s="6" t="n">
        <v>10000</v>
      </c>
      <c r="CE23" s="6" t="n">
        <v>10000</v>
      </c>
      <c r="CF23" s="6" t="n">
        <v>10000</v>
      </c>
      <c r="CG23" s="6" t="n">
        <v>10000</v>
      </c>
      <c r="CH23" s="6" t="n">
        <v>10000</v>
      </c>
      <c r="CI23" s="6" t="n">
        <v>10000</v>
      </c>
      <c r="CJ23" s="6" t="n">
        <v>10000</v>
      </c>
      <c r="CK23" s="6" t="n">
        <v>10000</v>
      </c>
      <c r="CL23" s="6" t="n">
        <v>10000</v>
      </c>
      <c r="CM23" s="6" t="n">
        <v>10000</v>
      </c>
      <c r="CN23" s="6" t="n">
        <v>10000</v>
      </c>
      <c r="CO23" s="6" t="n">
        <v>10000</v>
      </c>
      <c r="CP23" s="6" t="n">
        <v>10000</v>
      </c>
      <c r="CQ23" s="6" t="n">
        <v>10000</v>
      </c>
      <c r="CR23" s="6" t="n">
        <v>10000</v>
      </c>
      <c r="CS23" s="6" t="n">
        <v>10000</v>
      </c>
      <c r="CT23" s="6" t="n">
        <v>10000</v>
      </c>
      <c r="CU23" s="6" t="n">
        <v>10000</v>
      </c>
      <c r="CV23" s="6" t="n">
        <v>10000</v>
      </c>
      <c r="CW23" s="6" t="n">
        <v>10000</v>
      </c>
      <c r="CX23" s="6" t="n">
        <v>10000</v>
      </c>
      <c r="CY23" s="6" t="n">
        <v>10000</v>
      </c>
      <c r="CZ23" s="6" t="n">
        <v>10000</v>
      </c>
      <c r="DA23" s="6" t="n">
        <v>10000</v>
      </c>
      <c r="DB23" s="6" t="n">
        <v>10000</v>
      </c>
      <c r="DC23" s="6" t="n">
        <v>10000</v>
      </c>
      <c r="DD23" s="6" t="n">
        <v>10000</v>
      </c>
      <c r="DE23" s="6" t="n">
        <v>10000</v>
      </c>
      <c r="DF23" s="6" t="n">
        <v>10000</v>
      </c>
      <c r="DG23" s="6" t="n">
        <v>10000</v>
      </c>
      <c r="DH23" s="6" t="n">
        <v>10000</v>
      </c>
      <c r="DI23" s="6" t="n">
        <v>10000</v>
      </c>
      <c r="DJ23" s="6" t="n">
        <v>10000</v>
      </c>
      <c r="DK23" s="6" t="n">
        <v>10000</v>
      </c>
      <c r="DL23" s="6" t="n">
        <v>10000</v>
      </c>
      <c r="DM23" s="6" t="n">
        <v>10000</v>
      </c>
      <c r="DN23" s="6" t="n">
        <v>10000</v>
      </c>
      <c r="DO23" s="6" t="n">
        <v>10000</v>
      </c>
      <c r="DP23" s="6" t="n">
        <v>10000</v>
      </c>
      <c r="DQ23" s="6" t="n">
        <v>10000</v>
      </c>
      <c r="DR23" s="6" t="n">
        <v>10000</v>
      </c>
      <c r="DS23" s="6" t="n">
        <v>10000</v>
      </c>
      <c r="DT23" s="6" t="n">
        <v>10000</v>
      </c>
      <c r="DU23" s="6" t="n">
        <v>10000</v>
      </c>
      <c r="DV23" s="6" t="n">
        <v>10000</v>
      </c>
      <c r="DW23" s="6" t="n">
        <v>10000</v>
      </c>
      <c r="DX23" s="6" t="n">
        <v>10000</v>
      </c>
      <c r="DY23" s="6" t="n">
        <v>10000</v>
      </c>
      <c r="DZ23" s="6" t="n">
        <v>10000</v>
      </c>
      <c r="EA23" s="6" t="n">
        <v>4819</v>
      </c>
      <c r="EB23" s="6" t="n">
        <v>3546</v>
      </c>
      <c r="EC23" s="6" t="n">
        <v>3294</v>
      </c>
      <c r="ED23" s="6" t="n">
        <v>3370</v>
      </c>
      <c r="EE23" s="6" t="n">
        <v>3140</v>
      </c>
      <c r="EF23" s="6" t="n">
        <v>2832</v>
      </c>
      <c r="EG23" s="6" t="n">
        <v>2800</v>
      </c>
      <c r="EH23" s="6" t="n">
        <v>2671</v>
      </c>
      <c r="EI23" s="6" t="n">
        <v>2499</v>
      </c>
      <c r="EJ23" s="6" t="n">
        <v>2152</v>
      </c>
      <c r="EK23" s="6" t="n">
        <v>1999</v>
      </c>
      <c r="EL23" s="6" t="n">
        <v>1924</v>
      </c>
      <c r="EM23" s="6" t="n">
        <v>1907</v>
      </c>
      <c r="EN23" s="6" t="n">
        <v>1906</v>
      </c>
      <c r="EO23" s="6" t="n">
        <v>1897</v>
      </c>
      <c r="EP23" s="6" t="n">
        <v>1770</v>
      </c>
      <c r="EQ23" s="6" t="n">
        <v>1761</v>
      </c>
      <c r="ER23" s="6" t="n">
        <v>1761</v>
      </c>
      <c r="ES23" s="6" t="n">
        <v>1761</v>
      </c>
      <c r="ET23" s="6" t="n">
        <v>1761</v>
      </c>
      <c r="EU23" s="6" t="n">
        <v>1760</v>
      </c>
      <c r="EV23" s="6" t="n">
        <v>1761</v>
      </c>
      <c r="EW23" s="6" t="n">
        <v>1920</v>
      </c>
      <c r="EX23" s="6" t="n">
        <v>1941</v>
      </c>
      <c r="EY23" s="6" t="n">
        <v>1924</v>
      </c>
      <c r="EZ23" s="6" t="n">
        <v>2072</v>
      </c>
      <c r="FA23" s="6" t="n">
        <v>2521</v>
      </c>
      <c r="FB23" s="6" t="n">
        <v>2691</v>
      </c>
      <c r="FC23" s="6" t="n">
        <v>3040</v>
      </c>
      <c r="FD23" s="6" t="n">
        <v>3241</v>
      </c>
      <c r="FE23" s="6" t="n">
        <v>3350</v>
      </c>
      <c r="FF23" s="6" t="n">
        <v>3546</v>
      </c>
      <c r="FG23" s="6" t="n">
        <v>5138</v>
      </c>
      <c r="FH23" s="6" t="n">
        <v>6501</v>
      </c>
      <c r="FI23" s="6" t="n">
        <v>9999</v>
      </c>
      <c r="FJ23" s="6" t="n">
        <v>10000</v>
      </c>
      <c r="FK23" s="6" t="n">
        <v>10000</v>
      </c>
      <c r="FL23" s="6" t="n">
        <v>10000</v>
      </c>
      <c r="FM23" s="6" t="n">
        <v>10000</v>
      </c>
      <c r="FN23" s="6" t="n">
        <v>10000</v>
      </c>
      <c r="FO23" s="6" t="n">
        <v>10000</v>
      </c>
      <c r="FP23" s="6" t="n">
        <v>10000</v>
      </c>
      <c r="FQ23" s="6" t="n">
        <v>10000</v>
      </c>
      <c r="FR23" s="6" t="n">
        <v>10000</v>
      </c>
      <c r="FS23" s="6" t="n">
        <v>10000</v>
      </c>
      <c r="FT23" s="6" t="n">
        <v>10000</v>
      </c>
      <c r="FU23" s="6" t="n">
        <v>10000</v>
      </c>
      <c r="FV23" s="6" t="n">
        <v>10000</v>
      </c>
      <c r="FW23" s="6" t="n">
        <v>10000</v>
      </c>
      <c r="FX23" s="6" t="n">
        <v>10000</v>
      </c>
      <c r="FY23" s="6" t="n">
        <v>10000</v>
      </c>
      <c r="FZ23" s="6" t="n">
        <v>10000</v>
      </c>
      <c r="GA23" s="6" t="n">
        <v>10000</v>
      </c>
      <c r="GB23" s="6" t="n">
        <v>10000</v>
      </c>
      <c r="GC23" s="6" t="n">
        <v>10000</v>
      </c>
      <c r="GD23" s="6" t="n">
        <v>10000</v>
      </c>
      <c r="GE23" s="6" t="n">
        <v>10000</v>
      </c>
      <c r="GF23" s="6" t="n">
        <v>10000</v>
      </c>
      <c r="GG23" s="6" t="n">
        <v>10000</v>
      </c>
      <c r="GH23" s="6" t="n">
        <v>10000</v>
      </c>
      <c r="GI23" s="6" t="n">
        <v>10000</v>
      </c>
      <c r="GJ23" s="6" t="n">
        <v>10000</v>
      </c>
      <c r="GK23" s="6" t="n">
        <v>10000</v>
      </c>
      <c r="GL23" s="6" t="n">
        <v>10000</v>
      </c>
    </row>
    <row r="24">
      <c r="A24" s="6" t="inlineStr">
        <is>
          <t>DAM</t>
        </is>
      </c>
      <c r="B24" s="6" t="n">
        <v>21</v>
      </c>
      <c r="C24" s="6" t="n">
        <v>10000</v>
      </c>
      <c r="D24" s="6" t="n">
        <v>10000</v>
      </c>
      <c r="E24" s="6" t="n">
        <v>10000</v>
      </c>
      <c r="F24" s="6" t="n">
        <v>10000</v>
      </c>
      <c r="G24" s="6" t="n">
        <v>10000</v>
      </c>
      <c r="H24" s="6" t="n">
        <v>10000</v>
      </c>
      <c r="I24" s="6" t="n">
        <v>10000</v>
      </c>
      <c r="J24" s="6" t="n">
        <v>10000</v>
      </c>
      <c r="K24" s="6" t="n">
        <v>10000</v>
      </c>
      <c r="L24" s="6" t="n">
        <v>10000</v>
      </c>
      <c r="M24" s="6" t="n">
        <v>10000</v>
      </c>
      <c r="N24" s="6" t="n">
        <v>10000</v>
      </c>
      <c r="O24" s="6" t="n">
        <v>10000</v>
      </c>
      <c r="P24" s="6" t="n">
        <v>10000</v>
      </c>
      <c r="Q24" s="6" t="n">
        <v>10000</v>
      </c>
      <c r="R24" s="6" t="n">
        <v>10000</v>
      </c>
      <c r="S24" s="6" t="n">
        <v>10000</v>
      </c>
      <c r="T24" s="6" t="n">
        <v>10000</v>
      </c>
      <c r="U24" s="6" t="n">
        <v>10000</v>
      </c>
      <c r="V24" s="6" t="n">
        <v>10000</v>
      </c>
      <c r="W24" s="6" t="n">
        <v>10000</v>
      </c>
      <c r="X24" s="6" t="n">
        <v>10000</v>
      </c>
      <c r="Y24" s="6" t="n">
        <v>10000</v>
      </c>
      <c r="Z24" s="6" t="n">
        <v>10000</v>
      </c>
      <c r="AA24" s="6" t="n">
        <v>10000</v>
      </c>
      <c r="AB24" s="6" t="n">
        <v>10000</v>
      </c>
      <c r="AC24" s="6" t="n">
        <v>10000</v>
      </c>
      <c r="AD24" s="6" t="n">
        <v>10000</v>
      </c>
      <c r="AE24" s="6" t="n">
        <v>10000</v>
      </c>
      <c r="AF24" s="6" t="n">
        <v>10000</v>
      </c>
      <c r="AG24" s="6" t="n">
        <v>10000</v>
      </c>
      <c r="AH24" s="6" t="n">
        <v>10000</v>
      </c>
      <c r="AI24" s="6" t="n">
        <v>9901</v>
      </c>
      <c r="AJ24" s="6" t="n">
        <v>5500</v>
      </c>
      <c r="AK24" s="6" t="n">
        <v>3966</v>
      </c>
      <c r="AL24" s="6" t="n">
        <v>4000</v>
      </c>
      <c r="AM24" s="6" t="n">
        <v>3569</v>
      </c>
      <c r="AN24" s="6" t="n">
        <v>3481</v>
      </c>
      <c r="AO24" s="6" t="n">
        <v>2761</v>
      </c>
      <c r="AP24" s="6" t="n">
        <v>2641</v>
      </c>
      <c r="AQ24" s="6" t="n">
        <v>2510</v>
      </c>
      <c r="AR24" s="6" t="n">
        <v>2221</v>
      </c>
      <c r="AS24" s="6" t="n">
        <v>2220</v>
      </c>
      <c r="AT24" s="6" t="n">
        <v>2100</v>
      </c>
      <c r="AU24" s="6" t="n">
        <v>2001</v>
      </c>
      <c r="AV24" s="6" t="n">
        <v>1991</v>
      </c>
      <c r="AW24" s="6" t="n">
        <v>2001</v>
      </c>
      <c r="AX24" s="6" t="n">
        <v>2001</v>
      </c>
      <c r="AY24" s="6" t="n">
        <v>1991</v>
      </c>
      <c r="AZ24" s="6" t="n">
        <v>2001</v>
      </c>
      <c r="BA24" s="6" t="n">
        <v>2002</v>
      </c>
      <c r="BB24" s="6" t="n">
        <v>1969</v>
      </c>
      <c r="BC24" s="6" t="n">
        <v>1915</v>
      </c>
      <c r="BD24" s="6" t="n">
        <v>1950</v>
      </c>
      <c r="BE24" s="6" t="n">
        <v>2101</v>
      </c>
      <c r="BF24" s="6" t="n">
        <v>2240</v>
      </c>
      <c r="BG24" s="6" t="n">
        <v>2736</v>
      </c>
      <c r="BH24" s="6" t="n">
        <v>3051</v>
      </c>
      <c r="BI24" s="6" t="n">
        <v>3511</v>
      </c>
      <c r="BJ24" s="6" t="n">
        <v>3547</v>
      </c>
      <c r="BK24" s="6" t="n">
        <v>4092</v>
      </c>
      <c r="BL24" s="6" t="n">
        <v>5139</v>
      </c>
      <c r="BM24" s="6" t="n">
        <v>9900</v>
      </c>
      <c r="BN24" s="6" t="n">
        <v>9901</v>
      </c>
      <c r="BO24" s="6" t="n">
        <v>10000</v>
      </c>
      <c r="BP24" s="6" t="n">
        <v>10000</v>
      </c>
      <c r="BQ24" s="6" t="n">
        <v>10000</v>
      </c>
      <c r="BR24" s="6" t="n">
        <v>10000</v>
      </c>
      <c r="BS24" s="6" t="n">
        <v>10000</v>
      </c>
      <c r="BT24" s="6" t="n">
        <v>10000</v>
      </c>
      <c r="BU24" s="6" t="n">
        <v>10000</v>
      </c>
      <c r="BV24" s="6" t="n">
        <v>10000</v>
      </c>
      <c r="BW24" s="6" t="n">
        <v>10000</v>
      </c>
      <c r="BX24" s="6" t="n">
        <v>10000</v>
      </c>
      <c r="BY24" s="6" t="n">
        <v>10000</v>
      </c>
      <c r="BZ24" s="6" t="n">
        <v>10000</v>
      </c>
      <c r="CA24" s="6" t="n">
        <v>10000</v>
      </c>
      <c r="CB24" s="6" t="n">
        <v>10000</v>
      </c>
      <c r="CC24" s="6" t="n">
        <v>10000</v>
      </c>
      <c r="CD24" s="6" t="n">
        <v>10000</v>
      </c>
      <c r="CE24" s="6" t="n">
        <v>10000</v>
      </c>
      <c r="CF24" s="6" t="n">
        <v>10000</v>
      </c>
      <c r="CG24" s="6" t="n">
        <v>10000</v>
      </c>
      <c r="CH24" s="6" t="n">
        <v>10000</v>
      </c>
      <c r="CI24" s="6" t="n">
        <v>10000</v>
      </c>
      <c r="CJ24" s="6" t="n">
        <v>10000</v>
      </c>
      <c r="CK24" s="6" t="n">
        <v>10000</v>
      </c>
      <c r="CL24" s="6" t="n">
        <v>10000</v>
      </c>
      <c r="CM24" s="6" t="n">
        <v>10000</v>
      </c>
      <c r="CN24" s="6" t="n">
        <v>10000</v>
      </c>
      <c r="CO24" s="6" t="n">
        <v>10000</v>
      </c>
      <c r="CP24" s="6" t="n">
        <v>10000</v>
      </c>
      <c r="CQ24" s="6" t="n">
        <v>10000</v>
      </c>
      <c r="CR24" s="6" t="n">
        <v>10000</v>
      </c>
      <c r="CS24" s="6" t="n">
        <v>10000</v>
      </c>
      <c r="CT24" s="6" t="n">
        <v>10000</v>
      </c>
      <c r="CU24" s="6" t="n">
        <v>10000</v>
      </c>
      <c r="CV24" s="6" t="n">
        <v>10000</v>
      </c>
      <c r="CW24" s="6" t="n">
        <v>10000</v>
      </c>
      <c r="CX24" s="6" t="n">
        <v>10000</v>
      </c>
      <c r="CY24" s="6" t="n">
        <v>10000</v>
      </c>
      <c r="CZ24" s="6" t="n">
        <v>10000</v>
      </c>
      <c r="DA24" s="6" t="n">
        <v>10000</v>
      </c>
      <c r="DB24" s="6" t="n">
        <v>10000</v>
      </c>
      <c r="DC24" s="6" t="n">
        <v>10000</v>
      </c>
      <c r="DD24" s="6" t="n">
        <v>10000</v>
      </c>
      <c r="DE24" s="6" t="n">
        <v>10000</v>
      </c>
      <c r="DF24" s="6" t="n">
        <v>10000</v>
      </c>
      <c r="DG24" s="6" t="n">
        <v>10000</v>
      </c>
      <c r="DH24" s="6" t="n">
        <v>10000</v>
      </c>
      <c r="DI24" s="6" t="n">
        <v>10000</v>
      </c>
      <c r="DJ24" s="6" t="n">
        <v>10000</v>
      </c>
      <c r="DK24" s="6" t="n">
        <v>10000</v>
      </c>
      <c r="DL24" s="6" t="n">
        <v>10000</v>
      </c>
      <c r="DM24" s="6" t="n">
        <v>10000</v>
      </c>
      <c r="DN24" s="6" t="n">
        <v>10000</v>
      </c>
      <c r="DO24" s="6" t="n">
        <v>10000</v>
      </c>
      <c r="DP24" s="6" t="n">
        <v>10000</v>
      </c>
      <c r="DQ24" s="6" t="n">
        <v>10000</v>
      </c>
      <c r="DR24" s="6" t="n">
        <v>10000</v>
      </c>
      <c r="DS24" s="6" t="n">
        <v>10000</v>
      </c>
      <c r="DT24" s="6" t="n">
        <v>10000</v>
      </c>
      <c r="DU24" s="6" t="n">
        <v>10000</v>
      </c>
      <c r="DV24" s="6" t="n">
        <v>10000</v>
      </c>
      <c r="DW24" s="6" t="n">
        <v>10000</v>
      </c>
      <c r="DX24" s="6" t="n">
        <v>10000</v>
      </c>
      <c r="DY24" s="6" t="n">
        <v>10000</v>
      </c>
      <c r="DZ24" s="6" t="n">
        <v>10000</v>
      </c>
      <c r="EA24" s="6" t="n">
        <v>9901</v>
      </c>
      <c r="EB24" s="6" t="n">
        <v>5500</v>
      </c>
      <c r="EC24" s="6" t="n">
        <v>3966</v>
      </c>
      <c r="ED24" s="6" t="n">
        <v>4000</v>
      </c>
      <c r="EE24" s="6" t="n">
        <v>3569</v>
      </c>
      <c r="EF24" s="6" t="n">
        <v>3481</v>
      </c>
      <c r="EG24" s="6" t="n">
        <v>2761</v>
      </c>
      <c r="EH24" s="6" t="n">
        <v>2641</v>
      </c>
      <c r="EI24" s="6" t="n">
        <v>2510</v>
      </c>
      <c r="EJ24" s="6" t="n">
        <v>2221</v>
      </c>
      <c r="EK24" s="6" t="n">
        <v>2220</v>
      </c>
      <c r="EL24" s="6" t="n">
        <v>2100</v>
      </c>
      <c r="EM24" s="6" t="n">
        <v>2001</v>
      </c>
      <c r="EN24" s="6" t="n">
        <v>1991</v>
      </c>
      <c r="EO24" s="6" t="n">
        <v>2001</v>
      </c>
      <c r="EP24" s="6" t="n">
        <v>2001</v>
      </c>
      <c r="EQ24" s="6" t="n">
        <v>1991</v>
      </c>
      <c r="ER24" s="6" t="n">
        <v>2001</v>
      </c>
      <c r="ES24" s="6" t="n">
        <v>2002</v>
      </c>
      <c r="ET24" s="6" t="n">
        <v>1969</v>
      </c>
      <c r="EU24" s="6" t="n">
        <v>1915</v>
      </c>
      <c r="EV24" s="6" t="n">
        <v>1950</v>
      </c>
      <c r="EW24" s="6" t="n">
        <v>2101</v>
      </c>
      <c r="EX24" s="6" t="n">
        <v>2240</v>
      </c>
      <c r="EY24" s="6" t="n">
        <v>2736</v>
      </c>
      <c r="EZ24" s="6" t="n">
        <v>3051</v>
      </c>
      <c r="FA24" s="6" t="n">
        <v>3511</v>
      </c>
      <c r="FB24" s="6" t="n">
        <v>3547</v>
      </c>
      <c r="FC24" s="6" t="n">
        <v>4092</v>
      </c>
      <c r="FD24" s="6" t="n">
        <v>5139</v>
      </c>
      <c r="FE24" s="6" t="n">
        <v>9900</v>
      </c>
      <c r="FF24" s="6" t="n">
        <v>9901</v>
      </c>
      <c r="FG24" s="6" t="n">
        <v>10000</v>
      </c>
      <c r="FH24" s="6" t="n">
        <v>10000</v>
      </c>
      <c r="FI24" s="6" t="n">
        <v>10000</v>
      </c>
      <c r="FJ24" s="6" t="n">
        <v>10000</v>
      </c>
      <c r="FK24" s="6" t="n">
        <v>10000</v>
      </c>
      <c r="FL24" s="6" t="n">
        <v>10000</v>
      </c>
      <c r="FM24" s="6" t="n">
        <v>10000</v>
      </c>
      <c r="FN24" s="6" t="n">
        <v>10000</v>
      </c>
      <c r="FO24" s="6" t="n">
        <v>10000</v>
      </c>
      <c r="FP24" s="6" t="n">
        <v>10000</v>
      </c>
      <c r="FQ24" s="6" t="n">
        <v>10000</v>
      </c>
      <c r="FR24" s="6" t="n">
        <v>10000</v>
      </c>
      <c r="FS24" s="6" t="n">
        <v>10000</v>
      </c>
      <c r="FT24" s="6" t="n">
        <v>10000</v>
      </c>
      <c r="FU24" s="6" t="n">
        <v>10000</v>
      </c>
      <c r="FV24" s="6" t="n">
        <v>10000</v>
      </c>
      <c r="FW24" s="6" t="n">
        <v>10000</v>
      </c>
      <c r="FX24" s="6" t="n">
        <v>10000</v>
      </c>
      <c r="FY24" s="6" t="n">
        <v>10000</v>
      </c>
      <c r="FZ24" s="6" t="n">
        <v>10000</v>
      </c>
      <c r="GA24" s="6" t="n">
        <v>10000</v>
      </c>
      <c r="GB24" s="6" t="n">
        <v>10000</v>
      </c>
      <c r="GC24" s="6" t="n">
        <v>10000</v>
      </c>
      <c r="GD24" s="6" t="n">
        <v>10000</v>
      </c>
      <c r="GE24" s="6" t="n">
        <v>10000</v>
      </c>
      <c r="GF24" s="6" t="n">
        <v>10000</v>
      </c>
      <c r="GG24" s="6" t="n">
        <v>10000</v>
      </c>
      <c r="GH24" s="6" t="n">
        <v>10000</v>
      </c>
      <c r="GI24" s="6" t="n">
        <v>10000</v>
      </c>
      <c r="GJ24" s="6" t="n">
        <v>10000</v>
      </c>
      <c r="GK24" s="6" t="n">
        <v>10000</v>
      </c>
      <c r="GL24" s="6" t="n">
        <v>10000</v>
      </c>
    </row>
    <row r="25">
      <c r="A25" s="6" t="inlineStr">
        <is>
          <t>DAM</t>
        </is>
      </c>
      <c r="B25" s="6" t="n">
        <v>22</v>
      </c>
      <c r="C25" s="6" t="n">
        <v>10000</v>
      </c>
      <c r="D25" s="6" t="n">
        <v>10000</v>
      </c>
      <c r="E25" s="6" t="n">
        <v>10000</v>
      </c>
      <c r="F25" s="6" t="n">
        <v>10000</v>
      </c>
      <c r="G25" s="6" t="n">
        <v>10000</v>
      </c>
      <c r="H25" s="6" t="n">
        <v>10000</v>
      </c>
      <c r="I25" s="6" t="n">
        <v>10000</v>
      </c>
      <c r="J25" s="6" t="n">
        <v>10000</v>
      </c>
      <c r="K25" s="6" t="n">
        <v>10000</v>
      </c>
      <c r="L25" s="6" t="n">
        <v>10000</v>
      </c>
      <c r="M25" s="6" t="n">
        <v>10000</v>
      </c>
      <c r="N25" s="6" t="n">
        <v>10000</v>
      </c>
      <c r="O25" s="6" t="n">
        <v>10000</v>
      </c>
      <c r="P25" s="6" t="n">
        <v>10000</v>
      </c>
      <c r="Q25" s="6" t="n">
        <v>10000</v>
      </c>
      <c r="R25" s="6" t="n">
        <v>10000</v>
      </c>
      <c r="S25" s="6" t="n">
        <v>10000</v>
      </c>
      <c r="T25" s="6" t="n">
        <v>10000</v>
      </c>
      <c r="U25" s="6" t="n">
        <v>10000</v>
      </c>
      <c r="V25" s="6" t="n">
        <v>10000</v>
      </c>
      <c r="W25" s="6" t="n">
        <v>10000</v>
      </c>
      <c r="X25" s="6" t="n">
        <v>10000</v>
      </c>
      <c r="Y25" s="6" t="n">
        <v>10000</v>
      </c>
      <c r="Z25" s="6" t="n">
        <v>10000</v>
      </c>
      <c r="AA25" s="6" t="n">
        <v>10000</v>
      </c>
      <c r="AB25" s="6" t="n">
        <v>10000</v>
      </c>
      <c r="AC25" s="6" t="n">
        <v>10000</v>
      </c>
      <c r="AD25" s="6" t="n">
        <v>10000</v>
      </c>
      <c r="AE25" s="6" t="n">
        <v>10000</v>
      </c>
      <c r="AF25" s="6" t="n">
        <v>10000</v>
      </c>
      <c r="AG25" s="6" t="n">
        <v>10000</v>
      </c>
      <c r="AH25" s="6" t="n">
        <v>10000</v>
      </c>
      <c r="AI25" s="6" t="n">
        <v>9499</v>
      </c>
      <c r="AJ25" s="6" t="n">
        <v>4281</v>
      </c>
      <c r="AK25" s="6" t="n">
        <v>3561</v>
      </c>
      <c r="AL25" s="6" t="n">
        <v>3511</v>
      </c>
      <c r="AM25" s="6" t="n">
        <v>2951</v>
      </c>
      <c r="AN25" s="6" t="n">
        <v>2950</v>
      </c>
      <c r="AO25" s="6" t="n">
        <v>2796</v>
      </c>
      <c r="AP25" s="6" t="n">
        <v>2690</v>
      </c>
      <c r="AQ25" s="6" t="n">
        <v>2610</v>
      </c>
      <c r="AR25" s="6" t="n">
        <v>2281</v>
      </c>
      <c r="AS25" s="6" t="n">
        <v>2280</v>
      </c>
      <c r="AT25" s="6" t="n">
        <v>2170</v>
      </c>
      <c r="AU25" s="6" t="n">
        <v>2078</v>
      </c>
      <c r="AV25" s="6" t="n">
        <v>2039</v>
      </c>
      <c r="AW25" s="6" t="n">
        <v>2002</v>
      </c>
      <c r="AX25" s="6" t="n">
        <v>2002</v>
      </c>
      <c r="AY25" s="6" t="n">
        <v>2002</v>
      </c>
      <c r="AZ25" s="6" t="n">
        <v>2002</v>
      </c>
      <c r="BA25" s="6" t="n">
        <v>2001</v>
      </c>
      <c r="BB25" s="6" t="n">
        <v>2001</v>
      </c>
      <c r="BC25" s="6" t="n">
        <v>1911</v>
      </c>
      <c r="BD25" s="6" t="n">
        <v>1950</v>
      </c>
      <c r="BE25" s="6" t="n">
        <v>2173</v>
      </c>
      <c r="BF25" s="6" t="n">
        <v>2331</v>
      </c>
      <c r="BG25" s="6" t="n">
        <v>2690</v>
      </c>
      <c r="BH25" s="6" t="n">
        <v>2788</v>
      </c>
      <c r="BI25" s="6" t="n">
        <v>3369</v>
      </c>
      <c r="BJ25" s="6" t="n">
        <v>3500</v>
      </c>
      <c r="BK25" s="6" t="n">
        <v>4092</v>
      </c>
      <c r="BL25" s="6" t="n">
        <v>5138</v>
      </c>
      <c r="BM25" s="6" t="n">
        <v>8000</v>
      </c>
      <c r="BN25" s="6" t="n">
        <v>9901</v>
      </c>
      <c r="BO25" s="6" t="n">
        <v>10000</v>
      </c>
      <c r="BP25" s="6" t="n">
        <v>10000</v>
      </c>
      <c r="BQ25" s="6" t="n">
        <v>10000</v>
      </c>
      <c r="BR25" s="6" t="n">
        <v>10000</v>
      </c>
      <c r="BS25" s="6" t="n">
        <v>10000</v>
      </c>
      <c r="BT25" s="6" t="n">
        <v>10000</v>
      </c>
      <c r="BU25" s="6" t="n">
        <v>10000</v>
      </c>
      <c r="BV25" s="6" t="n">
        <v>10000</v>
      </c>
      <c r="BW25" s="6" t="n">
        <v>10000</v>
      </c>
      <c r="BX25" s="6" t="n">
        <v>10000</v>
      </c>
      <c r="BY25" s="6" t="n">
        <v>10000</v>
      </c>
      <c r="BZ25" s="6" t="n">
        <v>10000</v>
      </c>
      <c r="CA25" s="6" t="n">
        <v>10000</v>
      </c>
      <c r="CB25" s="6" t="n">
        <v>10000</v>
      </c>
      <c r="CC25" s="6" t="n">
        <v>10000</v>
      </c>
      <c r="CD25" s="6" t="n">
        <v>10000</v>
      </c>
      <c r="CE25" s="6" t="n">
        <v>10000</v>
      </c>
      <c r="CF25" s="6" t="n">
        <v>10000</v>
      </c>
      <c r="CG25" s="6" t="n">
        <v>10000</v>
      </c>
      <c r="CH25" s="6" t="n">
        <v>10000</v>
      </c>
      <c r="CI25" s="6" t="n">
        <v>10000</v>
      </c>
      <c r="CJ25" s="6" t="n">
        <v>10000</v>
      </c>
      <c r="CK25" s="6" t="n">
        <v>10000</v>
      </c>
      <c r="CL25" s="6" t="n">
        <v>10000</v>
      </c>
      <c r="CM25" s="6" t="n">
        <v>10000</v>
      </c>
      <c r="CN25" s="6" t="n">
        <v>10000</v>
      </c>
      <c r="CO25" s="6" t="n">
        <v>10000</v>
      </c>
      <c r="CP25" s="6" t="n">
        <v>10000</v>
      </c>
      <c r="CQ25" s="6" t="n">
        <v>10000</v>
      </c>
      <c r="CR25" s="6" t="n">
        <v>10000</v>
      </c>
      <c r="CS25" s="6" t="n">
        <v>10000</v>
      </c>
      <c r="CT25" s="6" t="n">
        <v>10000</v>
      </c>
      <c r="CU25" s="6" t="n">
        <v>10000</v>
      </c>
      <c r="CV25" s="6" t="n">
        <v>10000</v>
      </c>
      <c r="CW25" s="6" t="n">
        <v>10000</v>
      </c>
      <c r="CX25" s="6" t="n">
        <v>10000</v>
      </c>
      <c r="CY25" s="6" t="n">
        <v>10000</v>
      </c>
      <c r="CZ25" s="6" t="n">
        <v>10000</v>
      </c>
      <c r="DA25" s="6" t="n">
        <v>10000</v>
      </c>
      <c r="DB25" s="6" t="n">
        <v>10000</v>
      </c>
      <c r="DC25" s="6" t="n">
        <v>10000</v>
      </c>
      <c r="DD25" s="6" t="n">
        <v>10000</v>
      </c>
      <c r="DE25" s="6" t="n">
        <v>10000</v>
      </c>
      <c r="DF25" s="6" t="n">
        <v>10000</v>
      </c>
      <c r="DG25" s="6" t="n">
        <v>10000</v>
      </c>
      <c r="DH25" s="6" t="n">
        <v>10000</v>
      </c>
      <c r="DI25" s="6" t="n">
        <v>10000</v>
      </c>
      <c r="DJ25" s="6" t="n">
        <v>10000</v>
      </c>
      <c r="DK25" s="6" t="n">
        <v>10000</v>
      </c>
      <c r="DL25" s="6" t="n">
        <v>10000</v>
      </c>
      <c r="DM25" s="6" t="n">
        <v>10000</v>
      </c>
      <c r="DN25" s="6" t="n">
        <v>10000</v>
      </c>
      <c r="DO25" s="6" t="n">
        <v>10000</v>
      </c>
      <c r="DP25" s="6" t="n">
        <v>10000</v>
      </c>
      <c r="DQ25" s="6" t="n">
        <v>10000</v>
      </c>
      <c r="DR25" s="6" t="n">
        <v>10000</v>
      </c>
      <c r="DS25" s="6" t="n">
        <v>10000</v>
      </c>
      <c r="DT25" s="6" t="n">
        <v>10000</v>
      </c>
      <c r="DU25" s="6" t="n">
        <v>10000</v>
      </c>
      <c r="DV25" s="6" t="n">
        <v>10000</v>
      </c>
      <c r="DW25" s="6" t="n">
        <v>10000</v>
      </c>
      <c r="DX25" s="6" t="n">
        <v>10000</v>
      </c>
      <c r="DY25" s="6" t="n">
        <v>10000</v>
      </c>
      <c r="DZ25" s="6" t="n">
        <v>10000</v>
      </c>
      <c r="EA25" s="6" t="n">
        <v>9499</v>
      </c>
      <c r="EB25" s="6" t="n">
        <v>4281</v>
      </c>
      <c r="EC25" s="6" t="n">
        <v>3561</v>
      </c>
      <c r="ED25" s="6" t="n">
        <v>3511</v>
      </c>
      <c r="EE25" s="6" t="n">
        <v>2951</v>
      </c>
      <c r="EF25" s="6" t="n">
        <v>2950</v>
      </c>
      <c r="EG25" s="6" t="n">
        <v>2796</v>
      </c>
      <c r="EH25" s="6" t="n">
        <v>2690</v>
      </c>
      <c r="EI25" s="6" t="n">
        <v>2610</v>
      </c>
      <c r="EJ25" s="6" t="n">
        <v>2281</v>
      </c>
      <c r="EK25" s="6" t="n">
        <v>2280</v>
      </c>
      <c r="EL25" s="6" t="n">
        <v>2170</v>
      </c>
      <c r="EM25" s="6" t="n">
        <v>2078</v>
      </c>
      <c r="EN25" s="6" t="n">
        <v>2039</v>
      </c>
      <c r="EO25" s="6" t="n">
        <v>2002</v>
      </c>
      <c r="EP25" s="6" t="n">
        <v>2002</v>
      </c>
      <c r="EQ25" s="6" t="n">
        <v>2002</v>
      </c>
      <c r="ER25" s="6" t="n">
        <v>2002</v>
      </c>
      <c r="ES25" s="6" t="n">
        <v>2001</v>
      </c>
      <c r="ET25" s="6" t="n">
        <v>2001</v>
      </c>
      <c r="EU25" s="6" t="n">
        <v>1911</v>
      </c>
      <c r="EV25" s="6" t="n">
        <v>1950</v>
      </c>
      <c r="EW25" s="6" t="n">
        <v>2173</v>
      </c>
      <c r="EX25" s="6" t="n">
        <v>2331</v>
      </c>
      <c r="EY25" s="6" t="n">
        <v>2690</v>
      </c>
      <c r="EZ25" s="6" t="n">
        <v>2788</v>
      </c>
      <c r="FA25" s="6" t="n">
        <v>3369</v>
      </c>
      <c r="FB25" s="6" t="n">
        <v>3500</v>
      </c>
      <c r="FC25" s="6" t="n">
        <v>4092</v>
      </c>
      <c r="FD25" s="6" t="n">
        <v>5138</v>
      </c>
      <c r="FE25" s="6" t="n">
        <v>8000</v>
      </c>
      <c r="FF25" s="6" t="n">
        <v>9901</v>
      </c>
      <c r="FG25" s="6" t="n">
        <v>10000</v>
      </c>
      <c r="FH25" s="6" t="n">
        <v>10000</v>
      </c>
      <c r="FI25" s="6" t="n">
        <v>10000</v>
      </c>
      <c r="FJ25" s="6" t="n">
        <v>10000</v>
      </c>
      <c r="FK25" s="6" t="n">
        <v>10000</v>
      </c>
      <c r="FL25" s="6" t="n">
        <v>10000</v>
      </c>
      <c r="FM25" s="6" t="n">
        <v>10000</v>
      </c>
      <c r="FN25" s="6" t="n">
        <v>10000</v>
      </c>
      <c r="FO25" s="6" t="n">
        <v>10000</v>
      </c>
      <c r="FP25" s="6" t="n">
        <v>10000</v>
      </c>
      <c r="FQ25" s="6" t="n">
        <v>10000</v>
      </c>
      <c r="FR25" s="6" t="n">
        <v>10000</v>
      </c>
      <c r="FS25" s="6" t="n">
        <v>10000</v>
      </c>
      <c r="FT25" s="6" t="n">
        <v>10000</v>
      </c>
      <c r="FU25" s="6" t="n">
        <v>10000</v>
      </c>
      <c r="FV25" s="6" t="n">
        <v>10000</v>
      </c>
      <c r="FW25" s="6" t="n">
        <v>10000</v>
      </c>
      <c r="FX25" s="6" t="n">
        <v>10000</v>
      </c>
      <c r="FY25" s="6" t="n">
        <v>10000</v>
      </c>
      <c r="FZ25" s="6" t="n">
        <v>10000</v>
      </c>
      <c r="GA25" s="6" t="n">
        <v>10000</v>
      </c>
      <c r="GB25" s="6" t="n">
        <v>10000</v>
      </c>
      <c r="GC25" s="6" t="n">
        <v>10000</v>
      </c>
      <c r="GD25" s="6" t="n">
        <v>10000</v>
      </c>
      <c r="GE25" s="6" t="n">
        <v>10000</v>
      </c>
      <c r="GF25" s="6" t="n">
        <v>10000</v>
      </c>
      <c r="GG25" s="6" t="n">
        <v>10000</v>
      </c>
      <c r="GH25" s="6" t="n">
        <v>10000</v>
      </c>
      <c r="GI25" s="6" t="n">
        <v>10000</v>
      </c>
      <c r="GJ25" s="6" t="n">
        <v>10000</v>
      </c>
      <c r="GK25" s="6" t="n">
        <v>10000</v>
      </c>
      <c r="GL25" s="6" t="n">
        <v>10000</v>
      </c>
    </row>
    <row r="26">
      <c r="A26" s="6" t="inlineStr">
        <is>
          <t>DAM</t>
        </is>
      </c>
      <c r="B26" s="6" t="n">
        <v>23</v>
      </c>
      <c r="C26" s="6" t="n">
        <v>10000</v>
      </c>
      <c r="D26" s="6" t="n">
        <v>10000</v>
      </c>
      <c r="E26" s="6" t="n">
        <v>10000</v>
      </c>
      <c r="F26" s="6" t="n">
        <v>10000</v>
      </c>
      <c r="G26" s="6" t="n">
        <v>10000</v>
      </c>
      <c r="H26" s="6" t="n">
        <v>10000</v>
      </c>
      <c r="I26" s="6" t="n">
        <v>10000</v>
      </c>
      <c r="J26" s="6" t="n">
        <v>10000</v>
      </c>
      <c r="K26" s="6" t="n">
        <v>10000</v>
      </c>
      <c r="L26" s="6" t="n">
        <v>10000</v>
      </c>
      <c r="M26" s="6" t="n">
        <v>10000</v>
      </c>
      <c r="N26" s="6" t="n">
        <v>10000</v>
      </c>
      <c r="O26" s="6" t="n">
        <v>10000</v>
      </c>
      <c r="P26" s="6" t="n">
        <v>10000</v>
      </c>
      <c r="Q26" s="6" t="n">
        <v>10000</v>
      </c>
      <c r="R26" s="6" t="n">
        <v>10000</v>
      </c>
      <c r="S26" s="6" t="n">
        <v>10000</v>
      </c>
      <c r="T26" s="6" t="n">
        <v>10000</v>
      </c>
      <c r="U26" s="6" t="n">
        <v>10000</v>
      </c>
      <c r="V26" s="6" t="n">
        <v>10000</v>
      </c>
      <c r="W26" s="6" t="n">
        <v>10000</v>
      </c>
      <c r="X26" s="6" t="n">
        <v>10000</v>
      </c>
      <c r="Y26" s="6" t="n">
        <v>10000</v>
      </c>
      <c r="Z26" s="6" t="n">
        <v>10000</v>
      </c>
      <c r="AA26" s="6" t="n">
        <v>10000</v>
      </c>
      <c r="AB26" s="6" t="n">
        <v>10000</v>
      </c>
      <c r="AC26" s="6" t="n">
        <v>10000</v>
      </c>
      <c r="AD26" s="6" t="n">
        <v>10000</v>
      </c>
      <c r="AE26" s="6" t="n">
        <v>10000</v>
      </c>
      <c r="AF26" s="6" t="n">
        <v>10000</v>
      </c>
      <c r="AG26" s="6" t="n">
        <v>10000</v>
      </c>
      <c r="AH26" s="6" t="n">
        <v>10000</v>
      </c>
      <c r="AI26" s="6" t="n">
        <v>4281</v>
      </c>
      <c r="AJ26" s="6" t="n">
        <v>3966</v>
      </c>
      <c r="AK26" s="6" t="n">
        <v>3474</v>
      </c>
      <c r="AL26" s="6" t="n">
        <v>3407</v>
      </c>
      <c r="AM26" s="6" t="n">
        <v>3000</v>
      </c>
      <c r="AN26" s="6" t="n">
        <v>2871</v>
      </c>
      <c r="AO26" s="6" t="n">
        <v>2811</v>
      </c>
      <c r="AP26" s="6" t="n">
        <v>2738</v>
      </c>
      <c r="AQ26" s="6" t="n">
        <v>2618</v>
      </c>
      <c r="AR26" s="6" t="n">
        <v>2331</v>
      </c>
      <c r="AS26" s="6" t="n">
        <v>2002</v>
      </c>
      <c r="AT26" s="6" t="n">
        <v>2000</v>
      </c>
      <c r="AU26" s="6" t="n">
        <v>2001</v>
      </c>
      <c r="AV26" s="6" t="n">
        <v>2001</v>
      </c>
      <c r="AW26" s="6" t="n">
        <v>2001</v>
      </c>
      <c r="AX26" s="6" t="n">
        <v>2001</v>
      </c>
      <c r="AY26" s="6" t="n">
        <v>1975</v>
      </c>
      <c r="AZ26" s="6" t="n">
        <v>2000</v>
      </c>
      <c r="BA26" s="6" t="n">
        <v>2000</v>
      </c>
      <c r="BB26" s="6" t="n">
        <v>1996</v>
      </c>
      <c r="BC26" s="6" t="n">
        <v>1953</v>
      </c>
      <c r="BD26" s="6" t="n">
        <v>1985</v>
      </c>
      <c r="BE26" s="6" t="n">
        <v>2100</v>
      </c>
      <c r="BF26" s="6" t="n">
        <v>2181</v>
      </c>
      <c r="BG26" s="6" t="n">
        <v>2651</v>
      </c>
      <c r="BH26" s="6" t="n">
        <v>2755</v>
      </c>
      <c r="BI26" s="6" t="n">
        <v>3051</v>
      </c>
      <c r="BJ26" s="6" t="n">
        <v>3301</v>
      </c>
      <c r="BK26" s="6" t="n">
        <v>3546</v>
      </c>
      <c r="BL26" s="6" t="n">
        <v>3740</v>
      </c>
      <c r="BM26" s="6" t="n">
        <v>4089</v>
      </c>
      <c r="BN26" s="6" t="n">
        <v>4819</v>
      </c>
      <c r="BO26" s="6" t="n">
        <v>10000</v>
      </c>
      <c r="BP26" s="6" t="n">
        <v>10000</v>
      </c>
      <c r="BQ26" s="6" t="n">
        <v>10000</v>
      </c>
      <c r="BR26" s="6" t="n">
        <v>10000</v>
      </c>
      <c r="BS26" s="6" t="n">
        <v>10000</v>
      </c>
      <c r="BT26" s="6" t="n">
        <v>10000</v>
      </c>
      <c r="BU26" s="6" t="n">
        <v>10000</v>
      </c>
      <c r="BV26" s="6" t="n">
        <v>10000</v>
      </c>
      <c r="BW26" s="6" t="n">
        <v>10000</v>
      </c>
      <c r="BX26" s="6" t="n">
        <v>10000</v>
      </c>
      <c r="BY26" s="6" t="n">
        <v>10000</v>
      </c>
      <c r="BZ26" s="6" t="n">
        <v>10000</v>
      </c>
      <c r="CA26" s="6" t="n">
        <v>10000</v>
      </c>
      <c r="CB26" s="6" t="n">
        <v>10000</v>
      </c>
      <c r="CC26" s="6" t="n">
        <v>10000</v>
      </c>
      <c r="CD26" s="6" t="n">
        <v>10000</v>
      </c>
      <c r="CE26" s="6" t="n">
        <v>10000</v>
      </c>
      <c r="CF26" s="6" t="n">
        <v>10000</v>
      </c>
      <c r="CG26" s="6" t="n">
        <v>10000</v>
      </c>
      <c r="CH26" s="6" t="n">
        <v>10000</v>
      </c>
      <c r="CI26" s="6" t="n">
        <v>10000</v>
      </c>
      <c r="CJ26" s="6" t="n">
        <v>10000</v>
      </c>
      <c r="CK26" s="6" t="n">
        <v>10000</v>
      </c>
      <c r="CL26" s="6" t="n">
        <v>10000</v>
      </c>
      <c r="CM26" s="6" t="n">
        <v>10000</v>
      </c>
      <c r="CN26" s="6" t="n">
        <v>10000</v>
      </c>
      <c r="CO26" s="6" t="n">
        <v>10000</v>
      </c>
      <c r="CP26" s="6" t="n">
        <v>10000</v>
      </c>
      <c r="CQ26" s="6" t="n">
        <v>10000</v>
      </c>
      <c r="CR26" s="6" t="n">
        <v>10000</v>
      </c>
      <c r="CS26" s="6" t="n">
        <v>10000</v>
      </c>
      <c r="CT26" s="6" t="n">
        <v>10000</v>
      </c>
      <c r="CU26" s="6" t="n">
        <v>10000</v>
      </c>
      <c r="CV26" s="6" t="n">
        <v>10000</v>
      </c>
      <c r="CW26" s="6" t="n">
        <v>10000</v>
      </c>
      <c r="CX26" s="6" t="n">
        <v>10000</v>
      </c>
      <c r="CY26" s="6" t="n">
        <v>10000</v>
      </c>
      <c r="CZ26" s="6" t="n">
        <v>10000</v>
      </c>
      <c r="DA26" s="6" t="n">
        <v>10000</v>
      </c>
      <c r="DB26" s="6" t="n">
        <v>10000</v>
      </c>
      <c r="DC26" s="6" t="n">
        <v>10000</v>
      </c>
      <c r="DD26" s="6" t="n">
        <v>10000</v>
      </c>
      <c r="DE26" s="6" t="n">
        <v>10000</v>
      </c>
      <c r="DF26" s="6" t="n">
        <v>10000</v>
      </c>
      <c r="DG26" s="6" t="n">
        <v>10000</v>
      </c>
      <c r="DH26" s="6" t="n">
        <v>10000</v>
      </c>
      <c r="DI26" s="6" t="n">
        <v>10000</v>
      </c>
      <c r="DJ26" s="6" t="n">
        <v>10000</v>
      </c>
      <c r="DK26" s="6" t="n">
        <v>10000</v>
      </c>
      <c r="DL26" s="6" t="n">
        <v>10000</v>
      </c>
      <c r="DM26" s="6" t="n">
        <v>10000</v>
      </c>
      <c r="DN26" s="6" t="n">
        <v>10000</v>
      </c>
      <c r="DO26" s="6" t="n">
        <v>10000</v>
      </c>
      <c r="DP26" s="6" t="n">
        <v>10000</v>
      </c>
      <c r="DQ26" s="6" t="n">
        <v>10000</v>
      </c>
      <c r="DR26" s="6" t="n">
        <v>10000</v>
      </c>
      <c r="DS26" s="6" t="n">
        <v>10000</v>
      </c>
      <c r="DT26" s="6" t="n">
        <v>10000</v>
      </c>
      <c r="DU26" s="6" t="n">
        <v>10000</v>
      </c>
      <c r="DV26" s="6" t="n">
        <v>10000</v>
      </c>
      <c r="DW26" s="6" t="n">
        <v>10000</v>
      </c>
      <c r="DX26" s="6" t="n">
        <v>10000</v>
      </c>
      <c r="DY26" s="6" t="n">
        <v>10000</v>
      </c>
      <c r="DZ26" s="6" t="n">
        <v>10000</v>
      </c>
      <c r="EA26" s="6" t="n">
        <v>4281</v>
      </c>
      <c r="EB26" s="6" t="n">
        <v>3966</v>
      </c>
      <c r="EC26" s="6" t="n">
        <v>3474</v>
      </c>
      <c r="ED26" s="6" t="n">
        <v>3407</v>
      </c>
      <c r="EE26" s="6" t="n">
        <v>3000</v>
      </c>
      <c r="EF26" s="6" t="n">
        <v>2871</v>
      </c>
      <c r="EG26" s="6" t="n">
        <v>2811</v>
      </c>
      <c r="EH26" s="6" t="n">
        <v>2738</v>
      </c>
      <c r="EI26" s="6" t="n">
        <v>2618</v>
      </c>
      <c r="EJ26" s="6" t="n">
        <v>2331</v>
      </c>
      <c r="EK26" s="6" t="n">
        <v>2002</v>
      </c>
      <c r="EL26" s="6" t="n">
        <v>2000</v>
      </c>
      <c r="EM26" s="6" t="n">
        <v>2001</v>
      </c>
      <c r="EN26" s="6" t="n">
        <v>2001</v>
      </c>
      <c r="EO26" s="6" t="n">
        <v>2001</v>
      </c>
      <c r="EP26" s="6" t="n">
        <v>2001</v>
      </c>
      <c r="EQ26" s="6" t="n">
        <v>1975</v>
      </c>
      <c r="ER26" s="6" t="n">
        <v>2000</v>
      </c>
      <c r="ES26" s="6" t="n">
        <v>2000</v>
      </c>
      <c r="ET26" s="6" t="n">
        <v>1996</v>
      </c>
      <c r="EU26" s="6" t="n">
        <v>1953</v>
      </c>
      <c r="EV26" s="6" t="n">
        <v>1985</v>
      </c>
      <c r="EW26" s="6" t="n">
        <v>2100</v>
      </c>
      <c r="EX26" s="6" t="n">
        <v>2181</v>
      </c>
      <c r="EY26" s="6" t="n">
        <v>2651</v>
      </c>
      <c r="EZ26" s="6" t="n">
        <v>2755</v>
      </c>
      <c r="FA26" s="6" t="n">
        <v>3051</v>
      </c>
      <c r="FB26" s="6" t="n">
        <v>3301</v>
      </c>
      <c r="FC26" s="6" t="n">
        <v>3546</v>
      </c>
      <c r="FD26" s="6" t="n">
        <v>3740</v>
      </c>
      <c r="FE26" s="6" t="n">
        <v>4089</v>
      </c>
      <c r="FF26" s="6" t="n">
        <v>4819</v>
      </c>
      <c r="FG26" s="6" t="n">
        <v>10000</v>
      </c>
      <c r="FH26" s="6" t="n">
        <v>10000</v>
      </c>
      <c r="FI26" s="6" t="n">
        <v>10000</v>
      </c>
      <c r="FJ26" s="6" t="n">
        <v>10000</v>
      </c>
      <c r="FK26" s="6" t="n">
        <v>10000</v>
      </c>
      <c r="FL26" s="6" t="n">
        <v>10000</v>
      </c>
      <c r="FM26" s="6" t="n">
        <v>10000</v>
      </c>
      <c r="FN26" s="6" t="n">
        <v>10000</v>
      </c>
      <c r="FO26" s="6" t="n">
        <v>10000</v>
      </c>
      <c r="FP26" s="6" t="n">
        <v>10000</v>
      </c>
      <c r="FQ26" s="6" t="n">
        <v>10000</v>
      </c>
      <c r="FR26" s="6" t="n">
        <v>10000</v>
      </c>
      <c r="FS26" s="6" t="n">
        <v>10000</v>
      </c>
      <c r="FT26" s="6" t="n">
        <v>10000</v>
      </c>
      <c r="FU26" s="6" t="n">
        <v>10000</v>
      </c>
      <c r="FV26" s="6" t="n">
        <v>10000</v>
      </c>
      <c r="FW26" s="6" t="n">
        <v>10000</v>
      </c>
      <c r="FX26" s="6" t="n">
        <v>10000</v>
      </c>
      <c r="FY26" s="6" t="n">
        <v>10000</v>
      </c>
      <c r="FZ26" s="6" t="n">
        <v>10000</v>
      </c>
      <c r="GA26" s="6" t="n">
        <v>10000</v>
      </c>
      <c r="GB26" s="6" t="n">
        <v>10000</v>
      </c>
      <c r="GC26" s="6" t="n">
        <v>10000</v>
      </c>
      <c r="GD26" s="6" t="n">
        <v>10000</v>
      </c>
      <c r="GE26" s="6" t="n">
        <v>10000</v>
      </c>
      <c r="GF26" s="6" t="n">
        <v>10000</v>
      </c>
      <c r="GG26" s="6" t="n">
        <v>10000</v>
      </c>
      <c r="GH26" s="6" t="n">
        <v>10000</v>
      </c>
      <c r="GI26" s="6" t="n">
        <v>10000</v>
      </c>
      <c r="GJ26" s="6" t="n">
        <v>10000</v>
      </c>
      <c r="GK26" s="6" t="n">
        <v>10000</v>
      </c>
      <c r="GL26" s="6" t="n">
        <v>10000</v>
      </c>
    </row>
    <row r="27">
      <c r="A27" s="6" t="inlineStr">
        <is>
          <t>DAM</t>
        </is>
      </c>
      <c r="B27" s="6" t="n">
        <v>24</v>
      </c>
      <c r="C27" s="6" t="n">
        <v>3472</v>
      </c>
      <c r="D27" s="6" t="n">
        <v>3472</v>
      </c>
      <c r="E27" s="6" t="n">
        <v>3460</v>
      </c>
      <c r="F27" s="6" t="n">
        <v>3460</v>
      </c>
      <c r="G27" s="6" t="n">
        <v>3210</v>
      </c>
      <c r="H27" s="6" t="n">
        <v>3200</v>
      </c>
      <c r="I27" s="6" t="n">
        <v>3149</v>
      </c>
      <c r="J27" s="6" t="n">
        <v>3149</v>
      </c>
      <c r="K27" s="6" t="n">
        <v>3020</v>
      </c>
      <c r="L27" s="6" t="n">
        <v>3020</v>
      </c>
      <c r="M27" s="6" t="n">
        <v>3020</v>
      </c>
      <c r="N27" s="6" t="n">
        <v>3001</v>
      </c>
      <c r="O27" s="6" t="n">
        <v>3000</v>
      </c>
      <c r="P27" s="6" t="n">
        <v>2999</v>
      </c>
      <c r="Q27" s="6" t="n">
        <v>2851</v>
      </c>
      <c r="R27" s="6" t="n">
        <v>2850</v>
      </c>
      <c r="S27" s="6" t="n">
        <v>2500</v>
      </c>
      <c r="T27" s="6" t="n">
        <v>2500</v>
      </c>
      <c r="U27" s="6" t="n">
        <v>2500</v>
      </c>
      <c r="V27" s="6" t="n">
        <v>2500</v>
      </c>
      <c r="W27" s="6" t="n">
        <v>2575</v>
      </c>
      <c r="X27" s="6" t="n">
        <v>2575</v>
      </c>
      <c r="Y27" s="6" t="n">
        <v>2631</v>
      </c>
      <c r="Z27" s="6" t="n">
        <v>2811</v>
      </c>
      <c r="AA27" s="6" t="n">
        <v>3422</v>
      </c>
      <c r="AB27" s="6" t="n">
        <v>3680</v>
      </c>
      <c r="AC27" s="6" t="n">
        <v>3700</v>
      </c>
      <c r="AD27" s="6" t="n">
        <v>3530</v>
      </c>
      <c r="AE27" s="6" t="n">
        <v>3251</v>
      </c>
      <c r="AF27" s="6" t="n">
        <v>3140</v>
      </c>
      <c r="AG27" s="6" t="n">
        <v>2631</v>
      </c>
      <c r="AH27" s="6" t="n">
        <v>2380</v>
      </c>
      <c r="AI27" s="6" t="n">
        <v>2020</v>
      </c>
      <c r="AJ27" s="6" t="n">
        <v>1491</v>
      </c>
      <c r="AK27" s="6" t="n">
        <v>1501</v>
      </c>
      <c r="AL27" s="6" t="n">
        <v>1501</v>
      </c>
      <c r="AM27" s="6" t="n">
        <v>1800</v>
      </c>
      <c r="AN27" s="6" t="n">
        <v>1800</v>
      </c>
      <c r="AO27" s="6" t="n">
        <v>1800</v>
      </c>
      <c r="AP27" s="6" t="n">
        <v>1832</v>
      </c>
      <c r="AQ27" s="6" t="n">
        <v>1832</v>
      </c>
      <c r="AR27" s="6" t="n">
        <v>1832</v>
      </c>
      <c r="AS27" s="6" t="n">
        <v>1832</v>
      </c>
      <c r="AT27" s="6" t="n">
        <v>1832</v>
      </c>
      <c r="AU27" s="6" t="n">
        <v>1832</v>
      </c>
      <c r="AV27" s="6" t="n">
        <v>1800</v>
      </c>
      <c r="AW27" s="6" t="n">
        <v>1832</v>
      </c>
      <c r="AX27" s="6" t="n">
        <v>1832</v>
      </c>
      <c r="AY27" s="6" t="n">
        <v>1832</v>
      </c>
      <c r="AZ27" s="6" t="n">
        <v>1832</v>
      </c>
      <c r="BA27" s="6" t="n">
        <v>1832</v>
      </c>
      <c r="BB27" s="6" t="n">
        <v>1832</v>
      </c>
      <c r="BC27" s="6" t="n">
        <v>1679</v>
      </c>
      <c r="BD27" s="6" t="n">
        <v>1713</v>
      </c>
      <c r="BE27" s="6" t="n">
        <v>1832</v>
      </c>
      <c r="BF27" s="6" t="n">
        <v>1833</v>
      </c>
      <c r="BG27" s="6" t="n">
        <v>1849</v>
      </c>
      <c r="BH27" s="6" t="n">
        <v>1901</v>
      </c>
      <c r="BI27" s="6" t="n">
        <v>1999</v>
      </c>
      <c r="BJ27" s="6" t="n">
        <v>1966</v>
      </c>
      <c r="BK27" s="6" t="n">
        <v>1900</v>
      </c>
      <c r="BL27" s="6" t="n">
        <v>1901</v>
      </c>
      <c r="BM27" s="6" t="n">
        <v>1501</v>
      </c>
      <c r="BN27" s="6" t="n">
        <v>1899</v>
      </c>
      <c r="BO27" s="6" t="n">
        <v>2120</v>
      </c>
      <c r="BP27" s="6" t="n">
        <v>2120</v>
      </c>
      <c r="BQ27" s="6" t="n">
        <v>2380</v>
      </c>
      <c r="BR27" s="6" t="n">
        <v>2380</v>
      </c>
      <c r="BS27" s="6" t="n">
        <v>2881</v>
      </c>
      <c r="BT27" s="6" t="n">
        <v>3150</v>
      </c>
      <c r="BU27" s="6" t="n">
        <v>3501</v>
      </c>
      <c r="BV27" s="6" t="n">
        <v>3879</v>
      </c>
      <c r="BW27" s="6" t="n">
        <v>4170</v>
      </c>
      <c r="BX27" s="6" t="n">
        <v>4501</v>
      </c>
      <c r="BY27" s="6" t="n">
        <v>5500</v>
      </c>
      <c r="BZ27" s="6" t="n">
        <v>6775</v>
      </c>
      <c r="CA27" s="6" t="n">
        <v>10000</v>
      </c>
      <c r="CB27" s="6" t="n">
        <v>10000</v>
      </c>
      <c r="CC27" s="6" t="n">
        <v>10000</v>
      </c>
      <c r="CD27" s="6" t="n">
        <v>10000</v>
      </c>
      <c r="CE27" s="6" t="n">
        <v>10000</v>
      </c>
      <c r="CF27" s="6" t="n">
        <v>10000</v>
      </c>
      <c r="CG27" s="6" t="n">
        <v>9500</v>
      </c>
      <c r="CH27" s="6" t="n">
        <v>9500</v>
      </c>
      <c r="CI27" s="6" t="n">
        <v>5500</v>
      </c>
      <c r="CJ27" s="6" t="n">
        <v>4870</v>
      </c>
      <c r="CK27" s="6" t="n">
        <v>4520</v>
      </c>
      <c r="CL27" s="6" t="n">
        <v>4520</v>
      </c>
      <c r="CM27" s="6" t="n">
        <v>4001</v>
      </c>
      <c r="CN27" s="6" t="n">
        <v>4019</v>
      </c>
      <c r="CO27" s="6" t="n">
        <v>4001</v>
      </c>
      <c r="CP27" s="6" t="n">
        <v>4019</v>
      </c>
      <c r="CQ27" s="6" t="n">
        <v>3916</v>
      </c>
      <c r="CR27" s="6" t="n">
        <v>3880</v>
      </c>
      <c r="CS27" s="6" t="n">
        <v>3879</v>
      </c>
      <c r="CT27" s="6" t="n">
        <v>3700</v>
      </c>
      <c r="CU27" s="6" t="n">
        <v>3472</v>
      </c>
      <c r="CV27" s="6" t="n">
        <v>3472</v>
      </c>
      <c r="CW27" s="6" t="n">
        <v>3460</v>
      </c>
      <c r="CX27" s="6" t="n">
        <v>3460</v>
      </c>
      <c r="CY27" s="6" t="n">
        <v>3210</v>
      </c>
      <c r="CZ27" s="6" t="n">
        <v>3200</v>
      </c>
      <c r="DA27" s="6" t="n">
        <v>3149</v>
      </c>
      <c r="DB27" s="6" t="n">
        <v>3149</v>
      </c>
      <c r="DC27" s="6" t="n">
        <v>3020</v>
      </c>
      <c r="DD27" s="6" t="n">
        <v>3020</v>
      </c>
      <c r="DE27" s="6" t="n">
        <v>3020</v>
      </c>
      <c r="DF27" s="6" t="n">
        <v>3001</v>
      </c>
      <c r="DG27" s="6" t="n">
        <v>3000</v>
      </c>
      <c r="DH27" s="6" t="n">
        <v>2999</v>
      </c>
      <c r="DI27" s="6" t="n">
        <v>2851</v>
      </c>
      <c r="DJ27" s="6" t="n">
        <v>2850</v>
      </c>
      <c r="DK27" s="6" t="n">
        <v>2500</v>
      </c>
      <c r="DL27" s="6" t="n">
        <v>2500</v>
      </c>
      <c r="DM27" s="6" t="n">
        <v>2500</v>
      </c>
      <c r="DN27" s="6" t="n">
        <v>2500</v>
      </c>
      <c r="DO27" s="6" t="n">
        <v>2575</v>
      </c>
      <c r="DP27" s="6" t="n">
        <v>2575</v>
      </c>
      <c r="DQ27" s="6" t="n">
        <v>2631</v>
      </c>
      <c r="DR27" s="6" t="n">
        <v>2811</v>
      </c>
      <c r="DS27" s="6" t="n">
        <v>3422</v>
      </c>
      <c r="DT27" s="6" t="n">
        <v>3680</v>
      </c>
      <c r="DU27" s="6" t="n">
        <v>3700</v>
      </c>
      <c r="DV27" s="6" t="n">
        <v>3530</v>
      </c>
      <c r="DW27" s="6" t="n">
        <v>3251</v>
      </c>
      <c r="DX27" s="6" t="n">
        <v>3140</v>
      </c>
      <c r="DY27" s="6" t="n">
        <v>2631</v>
      </c>
      <c r="DZ27" s="6" t="n">
        <v>2380</v>
      </c>
      <c r="EA27" s="6" t="n">
        <v>2020</v>
      </c>
      <c r="EB27" s="6" t="n">
        <v>1491</v>
      </c>
      <c r="EC27" s="6" t="n">
        <v>1501</v>
      </c>
      <c r="ED27" s="6" t="n">
        <v>1501</v>
      </c>
      <c r="EE27" s="6" t="n">
        <v>1800</v>
      </c>
      <c r="EF27" s="6" t="n">
        <v>1800</v>
      </c>
      <c r="EG27" s="6" t="n">
        <v>1800</v>
      </c>
      <c r="EH27" s="6" t="n">
        <v>1832</v>
      </c>
      <c r="EI27" s="6" t="n">
        <v>1832</v>
      </c>
      <c r="EJ27" s="6" t="n">
        <v>1832</v>
      </c>
      <c r="EK27" s="6" t="n">
        <v>1832</v>
      </c>
      <c r="EL27" s="6" t="n">
        <v>1832</v>
      </c>
      <c r="EM27" s="6" t="n">
        <v>1832</v>
      </c>
      <c r="EN27" s="6" t="n">
        <v>1800</v>
      </c>
      <c r="EO27" s="6" t="n">
        <v>1832</v>
      </c>
      <c r="EP27" s="6" t="n">
        <v>1832</v>
      </c>
      <c r="EQ27" s="6" t="n">
        <v>1832</v>
      </c>
      <c r="ER27" s="6" t="n">
        <v>1832</v>
      </c>
      <c r="ES27" s="6" t="n">
        <v>1832</v>
      </c>
      <c r="ET27" s="6" t="n">
        <v>1832</v>
      </c>
      <c r="EU27" s="6" t="n">
        <v>1679</v>
      </c>
      <c r="EV27" s="6" t="n">
        <v>1713</v>
      </c>
      <c r="EW27" s="6" t="n">
        <v>1832</v>
      </c>
      <c r="EX27" s="6" t="n">
        <v>1833</v>
      </c>
      <c r="EY27" s="6" t="n">
        <v>1849</v>
      </c>
      <c r="EZ27" s="6" t="n">
        <v>1901</v>
      </c>
      <c r="FA27" s="6" t="n">
        <v>1999</v>
      </c>
      <c r="FB27" s="6" t="n">
        <v>1966</v>
      </c>
      <c r="FC27" s="6" t="n">
        <v>1900</v>
      </c>
      <c r="FD27" s="6" t="n">
        <v>1901</v>
      </c>
      <c r="FE27" s="6" t="n">
        <v>1501</v>
      </c>
      <c r="FF27" s="6" t="n">
        <v>1899</v>
      </c>
      <c r="FG27" s="6" t="n">
        <v>2120</v>
      </c>
      <c r="FH27" s="6" t="n">
        <v>2120</v>
      </c>
      <c r="FI27" s="6" t="n">
        <v>2380</v>
      </c>
      <c r="FJ27" s="6" t="n">
        <v>2380</v>
      </c>
      <c r="FK27" s="6" t="n">
        <v>2881</v>
      </c>
      <c r="FL27" s="6" t="n">
        <v>3150</v>
      </c>
      <c r="FM27" s="6" t="n">
        <v>3501</v>
      </c>
      <c r="FN27" s="6" t="n">
        <v>3879</v>
      </c>
      <c r="FO27" s="6" t="n">
        <v>4170</v>
      </c>
      <c r="FP27" s="6" t="n">
        <v>4501</v>
      </c>
      <c r="FQ27" s="6" t="n">
        <v>5500</v>
      </c>
      <c r="FR27" s="6" t="n">
        <v>6775</v>
      </c>
      <c r="FS27" s="6" t="n">
        <v>10000</v>
      </c>
      <c r="FT27" s="6" t="n">
        <v>10000</v>
      </c>
      <c r="FU27" s="6" t="n">
        <v>10000</v>
      </c>
      <c r="FV27" s="6" t="n">
        <v>10000</v>
      </c>
      <c r="FW27" s="6" t="n">
        <v>10000</v>
      </c>
      <c r="FX27" s="6" t="n">
        <v>10000</v>
      </c>
      <c r="FY27" s="6" t="n">
        <v>9500</v>
      </c>
      <c r="FZ27" s="6" t="n">
        <v>9500</v>
      </c>
      <c r="GA27" s="6" t="n">
        <v>5500</v>
      </c>
      <c r="GB27" s="6" t="n">
        <v>4870</v>
      </c>
      <c r="GC27" s="6" t="n">
        <v>4520</v>
      </c>
      <c r="GD27" s="6" t="n">
        <v>4520</v>
      </c>
      <c r="GE27" s="6" t="n">
        <v>4001</v>
      </c>
      <c r="GF27" s="6" t="n">
        <v>4019</v>
      </c>
      <c r="GG27" s="6" t="n">
        <v>4001</v>
      </c>
      <c r="GH27" s="6" t="n">
        <v>4019</v>
      </c>
      <c r="GI27" s="6" t="n">
        <v>3916</v>
      </c>
      <c r="GJ27" s="6" t="n">
        <v>3880</v>
      </c>
      <c r="GK27" s="6" t="n">
        <v>3879</v>
      </c>
      <c r="GL27" s="6" t="n">
        <v>3700</v>
      </c>
    </row>
    <row r="28">
      <c r="A28" s="6" t="inlineStr">
        <is>
          <t>DAM</t>
        </is>
      </c>
      <c r="B28" s="6" t="n">
        <v>25</v>
      </c>
      <c r="C28" s="6" t="n">
        <v>3920</v>
      </c>
      <c r="D28" s="6" t="n">
        <v>3769</v>
      </c>
      <c r="E28" s="6" t="n">
        <v>3750</v>
      </c>
      <c r="F28" s="6" t="n">
        <v>3630</v>
      </c>
      <c r="G28" s="6" t="n">
        <v>3540</v>
      </c>
      <c r="H28" s="6" t="n">
        <v>3472</v>
      </c>
      <c r="I28" s="6" t="n">
        <v>3400</v>
      </c>
      <c r="J28" s="6" t="n">
        <v>3399</v>
      </c>
      <c r="K28" s="6" t="n">
        <v>3201</v>
      </c>
      <c r="L28" s="6" t="n">
        <v>3113</v>
      </c>
      <c r="M28" s="6" t="n">
        <v>3081</v>
      </c>
      <c r="N28" s="6" t="n">
        <v>3075</v>
      </c>
      <c r="O28" s="6" t="n">
        <v>3100</v>
      </c>
      <c r="P28" s="6" t="n">
        <v>3020</v>
      </c>
      <c r="Q28" s="6" t="n">
        <v>2990</v>
      </c>
      <c r="R28" s="6" t="n">
        <v>2851</v>
      </c>
      <c r="S28" s="6" t="n">
        <v>2830</v>
      </c>
      <c r="T28" s="6" t="n">
        <v>2830</v>
      </c>
      <c r="U28" s="6" t="n">
        <v>2837</v>
      </c>
      <c r="V28" s="6" t="n">
        <v>2830</v>
      </c>
      <c r="W28" s="6" t="n">
        <v>2838</v>
      </c>
      <c r="X28" s="6" t="n">
        <v>3000</v>
      </c>
      <c r="Y28" s="6" t="n">
        <v>3200</v>
      </c>
      <c r="Z28" s="6" t="n">
        <v>3227</v>
      </c>
      <c r="AA28" s="6" t="n">
        <v>3600</v>
      </c>
      <c r="AB28" s="6" t="n">
        <v>3699</v>
      </c>
      <c r="AC28" s="6" t="n">
        <v>3631</v>
      </c>
      <c r="AD28" s="6" t="n">
        <v>3630</v>
      </c>
      <c r="AE28" s="6" t="n">
        <v>3605</v>
      </c>
      <c r="AF28" s="6" t="n">
        <v>3358</v>
      </c>
      <c r="AG28" s="6" t="n">
        <v>3233</v>
      </c>
      <c r="AH28" s="6" t="n">
        <v>2780</v>
      </c>
      <c r="AI28" s="6" t="n">
        <v>2320</v>
      </c>
      <c r="AJ28" s="6" t="n">
        <v>2299</v>
      </c>
      <c r="AK28" s="6" t="n">
        <v>2011</v>
      </c>
      <c r="AL28" s="6" t="n">
        <v>1900</v>
      </c>
      <c r="AM28" s="6" t="n">
        <v>1832</v>
      </c>
      <c r="AN28" s="6" t="n">
        <v>1800</v>
      </c>
      <c r="AO28" s="6" t="n">
        <v>1500</v>
      </c>
      <c r="AP28" s="6" t="n">
        <v>1800</v>
      </c>
      <c r="AQ28" s="6" t="n">
        <v>1347</v>
      </c>
      <c r="AR28" s="6" t="n">
        <v>1710</v>
      </c>
      <c r="AS28" s="6" t="n">
        <v>1710</v>
      </c>
      <c r="AT28" s="6" t="n">
        <v>1421</v>
      </c>
      <c r="AU28" s="6" t="n">
        <v>1347</v>
      </c>
      <c r="AV28" s="6" t="n">
        <v>1412</v>
      </c>
      <c r="AW28" s="6" t="n">
        <v>1710</v>
      </c>
      <c r="AX28" s="6" t="n">
        <v>1399</v>
      </c>
      <c r="AY28" s="6" t="n">
        <v>1710</v>
      </c>
      <c r="AZ28" s="6" t="n">
        <v>1711</v>
      </c>
      <c r="BA28" s="6" t="n">
        <v>1710</v>
      </c>
      <c r="BB28" s="6" t="n">
        <v>1710</v>
      </c>
      <c r="BC28" s="6" t="n">
        <v>1220</v>
      </c>
      <c r="BD28" s="6" t="n">
        <v>1220</v>
      </c>
      <c r="BE28" s="6" t="n">
        <v>1500</v>
      </c>
      <c r="BF28" s="6" t="n">
        <v>1815</v>
      </c>
      <c r="BG28" s="6" t="n">
        <v>1839</v>
      </c>
      <c r="BH28" s="6" t="n">
        <v>1999</v>
      </c>
      <c r="BI28" s="6" t="n">
        <v>2000</v>
      </c>
      <c r="BJ28" s="6" t="n">
        <v>2000</v>
      </c>
      <c r="BK28" s="6" t="n">
        <v>2020</v>
      </c>
      <c r="BL28" s="6" t="n">
        <v>2019</v>
      </c>
      <c r="BM28" s="6" t="n">
        <v>2290</v>
      </c>
      <c r="BN28" s="6" t="n">
        <v>2291</v>
      </c>
      <c r="BO28" s="6" t="n">
        <v>2219</v>
      </c>
      <c r="BP28" s="6" t="n">
        <v>2319</v>
      </c>
      <c r="BQ28" s="6" t="n">
        <v>2440</v>
      </c>
      <c r="BR28" s="6" t="n">
        <v>2600</v>
      </c>
      <c r="BS28" s="6" t="n">
        <v>2829</v>
      </c>
      <c r="BT28" s="6" t="n">
        <v>3020</v>
      </c>
      <c r="BU28" s="6" t="n">
        <v>3351</v>
      </c>
      <c r="BV28" s="6" t="n">
        <v>3681</v>
      </c>
      <c r="BW28" s="6" t="n">
        <v>4732</v>
      </c>
      <c r="BX28" s="6" t="n">
        <v>5466</v>
      </c>
      <c r="BY28" s="6" t="n">
        <v>10000</v>
      </c>
      <c r="BZ28" s="6" t="n">
        <v>10000</v>
      </c>
      <c r="CA28" s="6" t="n">
        <v>10000</v>
      </c>
      <c r="CB28" s="6" t="n">
        <v>10000</v>
      </c>
      <c r="CC28" s="6" t="n">
        <v>10000</v>
      </c>
      <c r="CD28" s="6" t="n">
        <v>10000</v>
      </c>
      <c r="CE28" s="6" t="n">
        <v>10000</v>
      </c>
      <c r="CF28" s="6" t="n">
        <v>10000</v>
      </c>
      <c r="CG28" s="6" t="n">
        <v>10000</v>
      </c>
      <c r="CH28" s="6" t="n">
        <v>10000</v>
      </c>
      <c r="CI28" s="6" t="n">
        <v>10000</v>
      </c>
      <c r="CJ28" s="6" t="n">
        <v>5540</v>
      </c>
      <c r="CK28" s="6" t="n">
        <v>5200</v>
      </c>
      <c r="CL28" s="6" t="n">
        <v>4871</v>
      </c>
      <c r="CM28" s="6" t="n">
        <v>4500</v>
      </c>
      <c r="CN28" s="6" t="n">
        <v>4500</v>
      </c>
      <c r="CO28" s="6" t="n">
        <v>4501</v>
      </c>
      <c r="CP28" s="6" t="n">
        <v>5000</v>
      </c>
      <c r="CQ28" s="6" t="n">
        <v>4501</v>
      </c>
      <c r="CR28" s="6" t="n">
        <v>4500</v>
      </c>
      <c r="CS28" s="6" t="n">
        <v>4270</v>
      </c>
      <c r="CT28" s="6" t="n">
        <v>4229</v>
      </c>
      <c r="CU28" s="6" t="n">
        <v>3920</v>
      </c>
      <c r="CV28" s="6" t="n">
        <v>3769</v>
      </c>
      <c r="CW28" s="6" t="n">
        <v>3750</v>
      </c>
      <c r="CX28" s="6" t="n">
        <v>3630</v>
      </c>
      <c r="CY28" s="6" t="n">
        <v>3540</v>
      </c>
      <c r="CZ28" s="6" t="n">
        <v>3472</v>
      </c>
      <c r="DA28" s="6" t="n">
        <v>3400</v>
      </c>
      <c r="DB28" s="6" t="n">
        <v>3399</v>
      </c>
      <c r="DC28" s="6" t="n">
        <v>3201</v>
      </c>
      <c r="DD28" s="6" t="n">
        <v>3113</v>
      </c>
      <c r="DE28" s="6" t="n">
        <v>3081</v>
      </c>
      <c r="DF28" s="6" t="n">
        <v>3075</v>
      </c>
      <c r="DG28" s="6" t="n">
        <v>3100</v>
      </c>
      <c r="DH28" s="6" t="n">
        <v>3020</v>
      </c>
      <c r="DI28" s="6" t="n">
        <v>2990</v>
      </c>
      <c r="DJ28" s="6" t="n">
        <v>2851</v>
      </c>
      <c r="DK28" s="6" t="n">
        <v>2830</v>
      </c>
      <c r="DL28" s="6" t="n">
        <v>2830</v>
      </c>
      <c r="DM28" s="6" t="n">
        <v>2837</v>
      </c>
      <c r="DN28" s="6" t="n">
        <v>2830</v>
      </c>
      <c r="DO28" s="6" t="n">
        <v>2838</v>
      </c>
      <c r="DP28" s="6" t="n">
        <v>3000</v>
      </c>
      <c r="DQ28" s="6" t="n">
        <v>3200</v>
      </c>
      <c r="DR28" s="6" t="n">
        <v>3227</v>
      </c>
      <c r="DS28" s="6" t="n">
        <v>3600</v>
      </c>
      <c r="DT28" s="6" t="n">
        <v>3699</v>
      </c>
      <c r="DU28" s="6" t="n">
        <v>3631</v>
      </c>
      <c r="DV28" s="6" t="n">
        <v>3630</v>
      </c>
      <c r="DW28" s="6" t="n">
        <v>3605</v>
      </c>
      <c r="DX28" s="6" t="n">
        <v>3358</v>
      </c>
      <c r="DY28" s="6" t="n">
        <v>3233</v>
      </c>
      <c r="DZ28" s="6" t="n">
        <v>2780</v>
      </c>
      <c r="EA28" s="6" t="n">
        <v>2320</v>
      </c>
      <c r="EB28" s="6" t="n">
        <v>2299</v>
      </c>
      <c r="EC28" s="6" t="n">
        <v>2011</v>
      </c>
      <c r="ED28" s="6" t="n">
        <v>1900</v>
      </c>
      <c r="EE28" s="6" t="n">
        <v>1832</v>
      </c>
      <c r="EF28" s="6" t="n">
        <v>1800</v>
      </c>
      <c r="EG28" s="6" t="n">
        <v>1500</v>
      </c>
      <c r="EH28" s="6" t="n">
        <v>1800</v>
      </c>
      <c r="EI28" s="6" t="n">
        <v>1347</v>
      </c>
      <c r="EJ28" s="6" t="n">
        <v>1710</v>
      </c>
      <c r="EK28" s="6" t="n">
        <v>1710</v>
      </c>
      <c r="EL28" s="6" t="n">
        <v>1421</v>
      </c>
      <c r="EM28" s="6" t="n">
        <v>1347</v>
      </c>
      <c r="EN28" s="6" t="n">
        <v>1412</v>
      </c>
      <c r="EO28" s="6" t="n">
        <v>1710</v>
      </c>
      <c r="EP28" s="6" t="n">
        <v>1399</v>
      </c>
      <c r="EQ28" s="6" t="n">
        <v>1710</v>
      </c>
      <c r="ER28" s="6" t="n">
        <v>1711</v>
      </c>
      <c r="ES28" s="6" t="n">
        <v>1710</v>
      </c>
      <c r="ET28" s="6" t="n">
        <v>1710</v>
      </c>
      <c r="EU28" s="6" t="n">
        <v>1220</v>
      </c>
      <c r="EV28" s="6" t="n">
        <v>1220</v>
      </c>
      <c r="EW28" s="6" t="n">
        <v>1500</v>
      </c>
      <c r="EX28" s="6" t="n">
        <v>1815</v>
      </c>
      <c r="EY28" s="6" t="n">
        <v>1839</v>
      </c>
      <c r="EZ28" s="6" t="n">
        <v>1999</v>
      </c>
      <c r="FA28" s="6" t="n">
        <v>2000</v>
      </c>
      <c r="FB28" s="6" t="n">
        <v>2000</v>
      </c>
      <c r="FC28" s="6" t="n">
        <v>2020</v>
      </c>
      <c r="FD28" s="6" t="n">
        <v>2019</v>
      </c>
      <c r="FE28" s="6" t="n">
        <v>2290</v>
      </c>
      <c r="FF28" s="6" t="n">
        <v>2291</v>
      </c>
      <c r="FG28" s="6" t="n">
        <v>2219</v>
      </c>
      <c r="FH28" s="6" t="n">
        <v>2319</v>
      </c>
      <c r="FI28" s="6" t="n">
        <v>2440</v>
      </c>
      <c r="FJ28" s="6" t="n">
        <v>2600</v>
      </c>
      <c r="FK28" s="6" t="n">
        <v>2829</v>
      </c>
      <c r="FL28" s="6" t="n">
        <v>3020</v>
      </c>
      <c r="FM28" s="6" t="n">
        <v>3351</v>
      </c>
      <c r="FN28" s="6" t="n">
        <v>3681</v>
      </c>
      <c r="FO28" s="6" t="n">
        <v>4732</v>
      </c>
      <c r="FP28" s="6" t="n">
        <v>5466</v>
      </c>
      <c r="FQ28" s="6" t="n">
        <v>10000</v>
      </c>
      <c r="FR28" s="6" t="n">
        <v>10000</v>
      </c>
      <c r="FS28" s="6" t="n">
        <v>10000</v>
      </c>
      <c r="FT28" s="6" t="n">
        <v>10000</v>
      </c>
      <c r="FU28" s="6" t="n">
        <v>10000</v>
      </c>
      <c r="FV28" s="6" t="n">
        <v>10000</v>
      </c>
      <c r="FW28" s="6" t="n">
        <v>10000</v>
      </c>
      <c r="FX28" s="6" t="n">
        <v>10000</v>
      </c>
      <c r="FY28" s="6" t="n">
        <v>10000</v>
      </c>
      <c r="FZ28" s="6" t="n">
        <v>10000</v>
      </c>
      <c r="GA28" s="6" t="n">
        <v>10000</v>
      </c>
      <c r="GB28" s="6" t="n">
        <v>5540</v>
      </c>
      <c r="GC28" s="6" t="n">
        <v>5200</v>
      </c>
      <c r="GD28" s="6" t="n">
        <v>4871</v>
      </c>
      <c r="GE28" s="6" t="n">
        <v>4500</v>
      </c>
      <c r="GF28" s="6" t="n">
        <v>4500</v>
      </c>
      <c r="GG28" s="6" t="n">
        <v>4501</v>
      </c>
      <c r="GH28" s="6" t="n">
        <v>5000</v>
      </c>
      <c r="GI28" s="6" t="n">
        <v>4501</v>
      </c>
      <c r="GJ28" s="6" t="n">
        <v>4500</v>
      </c>
      <c r="GK28" s="6" t="n">
        <v>4270</v>
      </c>
      <c r="GL28" s="6" t="n">
        <v>4229</v>
      </c>
    </row>
    <row r="29">
      <c r="A29" s="6" t="inlineStr">
        <is>
          <t>DAM</t>
        </is>
      </c>
      <c r="B29" s="6" t="n">
        <v>26</v>
      </c>
      <c r="C29" s="6" t="n">
        <v>4001</v>
      </c>
      <c r="D29" s="6" t="n">
        <v>4000</v>
      </c>
      <c r="E29" s="6" t="n">
        <v>4000</v>
      </c>
      <c r="F29" s="6" t="n">
        <v>3630</v>
      </c>
      <c r="G29" s="6" t="n">
        <v>3600</v>
      </c>
      <c r="H29" s="6" t="n">
        <v>3500</v>
      </c>
      <c r="I29" s="6" t="n">
        <v>3399</v>
      </c>
      <c r="J29" s="6" t="n">
        <v>3201</v>
      </c>
      <c r="K29" s="6" t="n">
        <v>3201</v>
      </c>
      <c r="L29" s="6" t="n">
        <v>3200</v>
      </c>
      <c r="M29" s="6" t="n">
        <v>3150</v>
      </c>
      <c r="N29" s="6" t="n">
        <v>3140</v>
      </c>
      <c r="O29" s="6" t="n">
        <v>3001</v>
      </c>
      <c r="P29" s="6" t="n">
        <v>2851</v>
      </c>
      <c r="Q29" s="6" t="n">
        <v>2841</v>
      </c>
      <c r="R29" s="6" t="n">
        <v>2830</v>
      </c>
      <c r="S29" s="6" t="n">
        <v>2830</v>
      </c>
      <c r="T29" s="6" t="n">
        <v>2830</v>
      </c>
      <c r="U29" s="6" t="n">
        <v>2830</v>
      </c>
      <c r="V29" s="6" t="n">
        <v>2830</v>
      </c>
      <c r="W29" s="6" t="n">
        <v>2830</v>
      </c>
      <c r="X29" s="6" t="n">
        <v>3019</v>
      </c>
      <c r="Y29" s="6" t="n">
        <v>3201</v>
      </c>
      <c r="Z29" s="6" t="n">
        <v>3201</v>
      </c>
      <c r="AA29" s="6" t="n">
        <v>3501</v>
      </c>
      <c r="AB29" s="6" t="n">
        <v>3589</v>
      </c>
      <c r="AC29" s="6" t="n">
        <v>3600</v>
      </c>
      <c r="AD29" s="6" t="n">
        <v>3550</v>
      </c>
      <c r="AE29" s="6" t="n">
        <v>3500</v>
      </c>
      <c r="AF29" s="6" t="n">
        <v>3289</v>
      </c>
      <c r="AG29" s="6" t="n">
        <v>2830</v>
      </c>
      <c r="AH29" s="6" t="n">
        <v>2120</v>
      </c>
      <c r="AI29" s="6" t="n">
        <v>2000</v>
      </c>
      <c r="AJ29" s="6" t="n">
        <v>1991</v>
      </c>
      <c r="AK29" s="6" t="n">
        <v>1501</v>
      </c>
      <c r="AL29" s="6" t="n">
        <v>1421</v>
      </c>
      <c r="AM29" s="6" t="n">
        <v>1320</v>
      </c>
      <c r="AN29" s="6" t="n">
        <v>1830</v>
      </c>
      <c r="AO29" s="6" t="n">
        <v>1501</v>
      </c>
      <c r="AP29" s="6" t="n">
        <v>1830</v>
      </c>
      <c r="AQ29" s="6" t="n">
        <v>1420</v>
      </c>
      <c r="AR29" s="6" t="n">
        <v>1108</v>
      </c>
      <c r="AS29" s="6" t="n">
        <v>1420</v>
      </c>
      <c r="AT29" s="6" t="n">
        <v>1500</v>
      </c>
      <c r="AU29" s="6" t="n">
        <v>1799</v>
      </c>
      <c r="AV29" s="6" t="n">
        <v>1830</v>
      </c>
      <c r="AW29" s="6" t="n">
        <v>1830</v>
      </c>
      <c r="AX29" s="6" t="n">
        <v>1830</v>
      </c>
      <c r="AY29" s="6" t="n">
        <v>1831</v>
      </c>
      <c r="AZ29" s="6" t="n">
        <v>1831</v>
      </c>
      <c r="BA29" s="6" t="n">
        <v>1831</v>
      </c>
      <c r="BB29" s="6" t="n">
        <v>1831</v>
      </c>
      <c r="BC29" s="6" t="n">
        <v>1513</v>
      </c>
      <c r="BD29" s="6" t="n">
        <v>1830</v>
      </c>
      <c r="BE29" s="6" t="n">
        <v>1830</v>
      </c>
      <c r="BF29" s="6" t="n">
        <v>1830</v>
      </c>
      <c r="BG29" s="6" t="n">
        <v>1868</v>
      </c>
      <c r="BH29" s="6" t="n">
        <v>1999</v>
      </c>
      <c r="BI29" s="6" t="n">
        <v>1999</v>
      </c>
      <c r="BJ29" s="6" t="n">
        <v>1999</v>
      </c>
      <c r="BK29" s="6" t="n">
        <v>1999</v>
      </c>
      <c r="BL29" s="6" t="n">
        <v>2000</v>
      </c>
      <c r="BM29" s="6" t="n">
        <v>2060</v>
      </c>
      <c r="BN29" s="6" t="n">
        <v>2220</v>
      </c>
      <c r="BO29" s="6" t="n">
        <v>2220</v>
      </c>
      <c r="BP29" s="6" t="n">
        <v>2381</v>
      </c>
      <c r="BQ29" s="6" t="n">
        <v>2827</v>
      </c>
      <c r="BR29" s="6" t="n">
        <v>2960</v>
      </c>
      <c r="BS29" s="6" t="n">
        <v>3150</v>
      </c>
      <c r="BT29" s="6" t="n">
        <v>3351</v>
      </c>
      <c r="BU29" s="6" t="n">
        <v>3566</v>
      </c>
      <c r="BV29" s="6" t="n">
        <v>4130</v>
      </c>
      <c r="BW29" s="6" t="n">
        <v>4741</v>
      </c>
      <c r="BX29" s="6" t="n">
        <v>5065</v>
      </c>
      <c r="BY29" s="6" t="n">
        <v>10000</v>
      </c>
      <c r="BZ29" s="6" t="n">
        <v>10000</v>
      </c>
      <c r="CA29" s="6" t="n">
        <v>10000</v>
      </c>
      <c r="CB29" s="6" t="n">
        <v>10000</v>
      </c>
      <c r="CC29" s="6" t="n">
        <v>10000</v>
      </c>
      <c r="CD29" s="6" t="n">
        <v>10000</v>
      </c>
      <c r="CE29" s="6" t="n">
        <v>10000</v>
      </c>
      <c r="CF29" s="6" t="n">
        <v>10000</v>
      </c>
      <c r="CG29" s="6" t="n">
        <v>6501</v>
      </c>
      <c r="CH29" s="6" t="n">
        <v>8530</v>
      </c>
      <c r="CI29" s="6" t="n">
        <v>5500</v>
      </c>
      <c r="CJ29" s="6" t="n">
        <v>5064</v>
      </c>
      <c r="CK29" s="6" t="n">
        <v>4871</v>
      </c>
      <c r="CL29" s="6" t="n">
        <v>4809</v>
      </c>
      <c r="CM29" s="6" t="n">
        <v>4200</v>
      </c>
      <c r="CN29" s="6" t="n">
        <v>4201</v>
      </c>
      <c r="CO29" s="6" t="n">
        <v>4201</v>
      </c>
      <c r="CP29" s="6" t="n">
        <v>4270</v>
      </c>
      <c r="CQ29" s="6" t="n">
        <v>4269</v>
      </c>
      <c r="CR29" s="6" t="n">
        <v>4201</v>
      </c>
      <c r="CS29" s="6" t="n">
        <v>4201</v>
      </c>
      <c r="CT29" s="6" t="n">
        <v>4200</v>
      </c>
      <c r="CU29" s="6" t="n">
        <v>4001</v>
      </c>
      <c r="CV29" s="6" t="n">
        <v>4000</v>
      </c>
      <c r="CW29" s="6" t="n">
        <v>4000</v>
      </c>
      <c r="CX29" s="6" t="n">
        <v>3630</v>
      </c>
      <c r="CY29" s="6" t="n">
        <v>3600</v>
      </c>
      <c r="CZ29" s="6" t="n">
        <v>3500</v>
      </c>
      <c r="DA29" s="6" t="n">
        <v>3399</v>
      </c>
      <c r="DB29" s="6" t="n">
        <v>3201</v>
      </c>
      <c r="DC29" s="6" t="n">
        <v>3201</v>
      </c>
      <c r="DD29" s="6" t="n">
        <v>3200</v>
      </c>
      <c r="DE29" s="6" t="n">
        <v>3150</v>
      </c>
      <c r="DF29" s="6" t="n">
        <v>3140</v>
      </c>
      <c r="DG29" s="6" t="n">
        <v>3001</v>
      </c>
      <c r="DH29" s="6" t="n">
        <v>2851</v>
      </c>
      <c r="DI29" s="6" t="n">
        <v>2841</v>
      </c>
      <c r="DJ29" s="6" t="n">
        <v>2830</v>
      </c>
      <c r="DK29" s="6" t="n">
        <v>2830</v>
      </c>
      <c r="DL29" s="6" t="n">
        <v>2830</v>
      </c>
      <c r="DM29" s="6" t="n">
        <v>2830</v>
      </c>
      <c r="DN29" s="6" t="n">
        <v>2830</v>
      </c>
      <c r="DO29" s="6" t="n">
        <v>2830</v>
      </c>
      <c r="DP29" s="6" t="n">
        <v>3019</v>
      </c>
      <c r="DQ29" s="6" t="n">
        <v>3201</v>
      </c>
      <c r="DR29" s="6" t="n">
        <v>3201</v>
      </c>
      <c r="DS29" s="6" t="n">
        <v>3501</v>
      </c>
      <c r="DT29" s="6" t="n">
        <v>3589</v>
      </c>
      <c r="DU29" s="6" t="n">
        <v>3600</v>
      </c>
      <c r="DV29" s="6" t="n">
        <v>3550</v>
      </c>
      <c r="DW29" s="6" t="n">
        <v>3500</v>
      </c>
      <c r="DX29" s="6" t="n">
        <v>3289</v>
      </c>
      <c r="DY29" s="6" t="n">
        <v>2830</v>
      </c>
      <c r="DZ29" s="6" t="n">
        <v>2120</v>
      </c>
      <c r="EA29" s="6" t="n">
        <v>2000</v>
      </c>
      <c r="EB29" s="6" t="n">
        <v>1991</v>
      </c>
      <c r="EC29" s="6" t="n">
        <v>1501</v>
      </c>
      <c r="ED29" s="6" t="n">
        <v>1421</v>
      </c>
      <c r="EE29" s="6" t="n">
        <v>1320</v>
      </c>
      <c r="EF29" s="6" t="n">
        <v>1830</v>
      </c>
      <c r="EG29" s="6" t="n">
        <v>1501</v>
      </c>
      <c r="EH29" s="6" t="n">
        <v>1830</v>
      </c>
      <c r="EI29" s="6" t="n">
        <v>1420</v>
      </c>
      <c r="EJ29" s="6" t="n">
        <v>1108</v>
      </c>
      <c r="EK29" s="6" t="n">
        <v>1420</v>
      </c>
      <c r="EL29" s="6" t="n">
        <v>1500</v>
      </c>
      <c r="EM29" s="6" t="n">
        <v>1799</v>
      </c>
      <c r="EN29" s="6" t="n">
        <v>1830</v>
      </c>
      <c r="EO29" s="6" t="n">
        <v>1830</v>
      </c>
      <c r="EP29" s="6" t="n">
        <v>1830</v>
      </c>
      <c r="EQ29" s="6" t="n">
        <v>1831</v>
      </c>
      <c r="ER29" s="6" t="n">
        <v>1831</v>
      </c>
      <c r="ES29" s="6" t="n">
        <v>1831</v>
      </c>
      <c r="ET29" s="6" t="n">
        <v>1831</v>
      </c>
      <c r="EU29" s="6" t="n">
        <v>1513</v>
      </c>
      <c r="EV29" s="6" t="n">
        <v>1830</v>
      </c>
      <c r="EW29" s="6" t="n">
        <v>1830</v>
      </c>
      <c r="EX29" s="6" t="n">
        <v>1830</v>
      </c>
      <c r="EY29" s="6" t="n">
        <v>1868</v>
      </c>
      <c r="EZ29" s="6" t="n">
        <v>1999</v>
      </c>
      <c r="FA29" s="6" t="n">
        <v>1999</v>
      </c>
      <c r="FB29" s="6" t="n">
        <v>1999</v>
      </c>
      <c r="FC29" s="6" t="n">
        <v>1999</v>
      </c>
      <c r="FD29" s="6" t="n">
        <v>2000</v>
      </c>
      <c r="FE29" s="6" t="n">
        <v>2060</v>
      </c>
      <c r="FF29" s="6" t="n">
        <v>2220</v>
      </c>
      <c r="FG29" s="6" t="n">
        <v>2220</v>
      </c>
      <c r="FH29" s="6" t="n">
        <v>2381</v>
      </c>
      <c r="FI29" s="6" t="n">
        <v>2827</v>
      </c>
      <c r="FJ29" s="6" t="n">
        <v>2960</v>
      </c>
      <c r="FK29" s="6" t="n">
        <v>3150</v>
      </c>
      <c r="FL29" s="6" t="n">
        <v>3351</v>
      </c>
      <c r="FM29" s="6" t="n">
        <v>3566</v>
      </c>
      <c r="FN29" s="6" t="n">
        <v>4130</v>
      </c>
      <c r="FO29" s="6" t="n">
        <v>4741</v>
      </c>
      <c r="FP29" s="6" t="n">
        <v>5065</v>
      </c>
      <c r="FQ29" s="6" t="n">
        <v>10000</v>
      </c>
      <c r="FR29" s="6" t="n">
        <v>10000</v>
      </c>
      <c r="FS29" s="6" t="n">
        <v>10000</v>
      </c>
      <c r="FT29" s="6" t="n">
        <v>10000</v>
      </c>
      <c r="FU29" s="6" t="n">
        <v>10000</v>
      </c>
      <c r="FV29" s="6" t="n">
        <v>10000</v>
      </c>
      <c r="FW29" s="6" t="n">
        <v>10000</v>
      </c>
      <c r="FX29" s="6" t="n">
        <v>10000</v>
      </c>
      <c r="FY29" s="6" t="n">
        <v>6501</v>
      </c>
      <c r="FZ29" s="6" t="n">
        <v>8530</v>
      </c>
      <c r="GA29" s="6" t="n">
        <v>5500</v>
      </c>
      <c r="GB29" s="6" t="n">
        <v>5064</v>
      </c>
      <c r="GC29" s="6" t="n">
        <v>4871</v>
      </c>
      <c r="GD29" s="6" t="n">
        <v>4809</v>
      </c>
      <c r="GE29" s="6" t="n">
        <v>4200</v>
      </c>
      <c r="GF29" s="6" t="n">
        <v>4201</v>
      </c>
      <c r="GG29" s="6" t="n">
        <v>4201</v>
      </c>
      <c r="GH29" s="6" t="n">
        <v>4270</v>
      </c>
      <c r="GI29" s="6" t="n">
        <v>4269</v>
      </c>
      <c r="GJ29" s="6" t="n">
        <v>4201</v>
      </c>
      <c r="GK29" s="6" t="n">
        <v>4201</v>
      </c>
      <c r="GL29" s="6" t="n">
        <v>4200</v>
      </c>
    </row>
    <row r="30">
      <c r="A30" s="6" t="inlineStr">
        <is>
          <t>DAM</t>
        </is>
      </c>
      <c r="B30" s="6" t="n">
        <v>27</v>
      </c>
      <c r="C30" s="6" t="n">
        <v>4221</v>
      </c>
      <c r="D30" s="6" t="n">
        <v>4130</v>
      </c>
      <c r="E30" s="6" t="n">
        <v>4020</v>
      </c>
      <c r="F30" s="6" t="n">
        <v>3999</v>
      </c>
      <c r="G30" s="6" t="n">
        <v>3775</v>
      </c>
      <c r="H30" s="6" t="n">
        <v>3730</v>
      </c>
      <c r="I30" s="6" t="n">
        <v>3729</v>
      </c>
      <c r="J30" s="6" t="n">
        <v>3600</v>
      </c>
      <c r="K30" s="6" t="n">
        <v>3472</v>
      </c>
      <c r="L30" s="6" t="n">
        <v>3400</v>
      </c>
      <c r="M30" s="6" t="n">
        <v>3390</v>
      </c>
      <c r="N30" s="6" t="n">
        <v>3390</v>
      </c>
      <c r="O30" s="6" t="n">
        <v>3380</v>
      </c>
      <c r="P30" s="6" t="n">
        <v>3200</v>
      </c>
      <c r="Q30" s="6" t="n">
        <v>3150</v>
      </c>
      <c r="R30" s="6" t="n">
        <v>3120</v>
      </c>
      <c r="S30" s="6" t="n">
        <v>3060</v>
      </c>
      <c r="T30" s="6" t="n">
        <v>3001</v>
      </c>
      <c r="U30" s="6" t="n">
        <v>3000</v>
      </c>
      <c r="V30" s="6" t="n">
        <v>2930</v>
      </c>
      <c r="W30" s="6" t="n">
        <v>2720</v>
      </c>
      <c r="X30" s="6" t="n">
        <v>2869</v>
      </c>
      <c r="Y30" s="6" t="n">
        <v>2869</v>
      </c>
      <c r="Z30" s="6" t="n">
        <v>2929</v>
      </c>
      <c r="AA30" s="6" t="n">
        <v>3060</v>
      </c>
      <c r="AB30" s="6" t="n">
        <v>3309</v>
      </c>
      <c r="AC30" s="6" t="n">
        <v>3309</v>
      </c>
      <c r="AD30" s="6" t="n">
        <v>3309</v>
      </c>
      <c r="AE30" s="6" t="n">
        <v>2930</v>
      </c>
      <c r="AF30" s="6" t="n">
        <v>2750</v>
      </c>
      <c r="AG30" s="6" t="n">
        <v>2120</v>
      </c>
      <c r="AH30" s="6" t="n">
        <v>1940</v>
      </c>
      <c r="AI30" s="6" t="n">
        <v>1097</v>
      </c>
      <c r="AJ30" s="6" t="n">
        <v>1097</v>
      </c>
      <c r="AK30" s="6" t="n">
        <v>1096</v>
      </c>
      <c r="AL30" s="6" t="n">
        <v>301</v>
      </c>
      <c r="AM30" s="6" t="n">
        <v>1001</v>
      </c>
      <c r="AN30" s="6" t="n">
        <v>1100</v>
      </c>
      <c r="AO30" s="6" t="n">
        <v>1101</v>
      </c>
      <c r="AP30" s="6" t="n">
        <v>1097</v>
      </c>
      <c r="AQ30" s="6" t="n">
        <v>1101</v>
      </c>
      <c r="AR30" s="6" t="n">
        <v>1399</v>
      </c>
      <c r="AS30" s="6" t="n">
        <v>1799</v>
      </c>
      <c r="AT30" s="6" t="n">
        <v>1551</v>
      </c>
      <c r="AU30" s="6" t="n">
        <v>1421</v>
      </c>
      <c r="AV30" s="6" t="n">
        <v>1500</v>
      </c>
      <c r="AW30" s="6" t="n">
        <v>1799</v>
      </c>
      <c r="AX30" s="6" t="n">
        <v>1799</v>
      </c>
      <c r="AY30" s="6" t="n">
        <v>1800</v>
      </c>
      <c r="AZ30" s="6" t="n">
        <v>1800</v>
      </c>
      <c r="BA30" s="6" t="n">
        <v>1800</v>
      </c>
      <c r="BB30" s="6" t="n">
        <v>1800</v>
      </c>
      <c r="BC30" s="6" t="n">
        <v>1102</v>
      </c>
      <c r="BD30" s="6" t="n">
        <v>1400</v>
      </c>
      <c r="BE30" s="6" t="n">
        <v>1799</v>
      </c>
      <c r="BF30" s="6" t="n">
        <v>1799</v>
      </c>
      <c r="BG30" s="6" t="n">
        <v>1801</v>
      </c>
      <c r="BH30" s="6" t="n">
        <v>1820</v>
      </c>
      <c r="BI30" s="6" t="n">
        <v>1820</v>
      </c>
      <c r="BJ30" s="6" t="n">
        <v>1800</v>
      </c>
      <c r="BK30" s="6" t="n">
        <v>1830</v>
      </c>
      <c r="BL30" s="6" t="n">
        <v>1830</v>
      </c>
      <c r="BM30" s="6" t="n">
        <v>1900</v>
      </c>
      <c r="BN30" s="6" t="n">
        <v>2011</v>
      </c>
      <c r="BO30" s="6" t="n">
        <v>2000</v>
      </c>
      <c r="BP30" s="6" t="n">
        <v>2119</v>
      </c>
      <c r="BQ30" s="6" t="n">
        <v>2780</v>
      </c>
      <c r="BR30" s="6" t="n">
        <v>2870</v>
      </c>
      <c r="BS30" s="6" t="n">
        <v>2921</v>
      </c>
      <c r="BT30" s="6" t="n">
        <v>3119</v>
      </c>
      <c r="BU30" s="6" t="n">
        <v>3310</v>
      </c>
      <c r="BV30" s="6" t="n">
        <v>3567</v>
      </c>
      <c r="BW30" s="6" t="n">
        <v>4019</v>
      </c>
      <c r="BX30" s="6" t="n">
        <v>4369</v>
      </c>
      <c r="BY30" s="6" t="n">
        <v>5921</v>
      </c>
      <c r="BZ30" s="6" t="n">
        <v>7029</v>
      </c>
      <c r="CA30" s="6" t="n">
        <v>10000</v>
      </c>
      <c r="CB30" s="6" t="n">
        <v>10000</v>
      </c>
      <c r="CC30" s="6" t="n">
        <v>10000</v>
      </c>
      <c r="CD30" s="6" t="n">
        <v>10000</v>
      </c>
      <c r="CE30" s="6" t="n">
        <v>10000</v>
      </c>
      <c r="CF30" s="6" t="n">
        <v>10000</v>
      </c>
      <c r="CG30" s="6" t="n">
        <v>5530</v>
      </c>
      <c r="CH30" s="6" t="n">
        <v>5828</v>
      </c>
      <c r="CI30" s="6" t="n">
        <v>4870</v>
      </c>
      <c r="CJ30" s="6" t="n">
        <v>4742</v>
      </c>
      <c r="CK30" s="6" t="n">
        <v>4131</v>
      </c>
      <c r="CL30" s="6" t="n">
        <v>4131</v>
      </c>
      <c r="CM30" s="6" t="n">
        <v>4001</v>
      </c>
      <c r="CN30" s="6" t="n">
        <v>4040</v>
      </c>
      <c r="CO30" s="6" t="n">
        <v>4369</v>
      </c>
      <c r="CP30" s="6" t="n">
        <v>4750</v>
      </c>
      <c r="CQ30" s="6" t="n">
        <v>4500</v>
      </c>
      <c r="CR30" s="6" t="n">
        <v>4301</v>
      </c>
      <c r="CS30" s="6" t="n">
        <v>4101</v>
      </c>
      <c r="CT30" s="6" t="n">
        <v>4001</v>
      </c>
      <c r="CU30" s="6" t="n">
        <v>4221</v>
      </c>
      <c r="CV30" s="6" t="n">
        <v>4130</v>
      </c>
      <c r="CW30" s="6" t="n">
        <v>4020</v>
      </c>
      <c r="CX30" s="6" t="n">
        <v>3999</v>
      </c>
      <c r="CY30" s="6" t="n">
        <v>3775</v>
      </c>
      <c r="CZ30" s="6" t="n">
        <v>3730</v>
      </c>
      <c r="DA30" s="6" t="n">
        <v>3729</v>
      </c>
      <c r="DB30" s="6" t="n">
        <v>3600</v>
      </c>
      <c r="DC30" s="6" t="n">
        <v>3472</v>
      </c>
      <c r="DD30" s="6" t="n">
        <v>3400</v>
      </c>
      <c r="DE30" s="6" t="n">
        <v>3390</v>
      </c>
      <c r="DF30" s="6" t="n">
        <v>3390</v>
      </c>
      <c r="DG30" s="6" t="n">
        <v>3380</v>
      </c>
      <c r="DH30" s="6" t="n">
        <v>3200</v>
      </c>
      <c r="DI30" s="6" t="n">
        <v>3150</v>
      </c>
      <c r="DJ30" s="6" t="n">
        <v>3120</v>
      </c>
      <c r="DK30" s="6" t="n">
        <v>3060</v>
      </c>
      <c r="DL30" s="6" t="n">
        <v>3001</v>
      </c>
      <c r="DM30" s="6" t="n">
        <v>3000</v>
      </c>
      <c r="DN30" s="6" t="n">
        <v>2930</v>
      </c>
      <c r="DO30" s="6" t="n">
        <v>2720</v>
      </c>
      <c r="DP30" s="6" t="n">
        <v>2869</v>
      </c>
      <c r="DQ30" s="6" t="n">
        <v>2869</v>
      </c>
      <c r="DR30" s="6" t="n">
        <v>2929</v>
      </c>
      <c r="DS30" s="6" t="n">
        <v>3060</v>
      </c>
      <c r="DT30" s="6" t="n">
        <v>3309</v>
      </c>
      <c r="DU30" s="6" t="n">
        <v>3309</v>
      </c>
      <c r="DV30" s="6" t="n">
        <v>3309</v>
      </c>
      <c r="DW30" s="6" t="n">
        <v>2930</v>
      </c>
      <c r="DX30" s="6" t="n">
        <v>2750</v>
      </c>
      <c r="DY30" s="6" t="n">
        <v>2120</v>
      </c>
      <c r="DZ30" s="6" t="n">
        <v>1940</v>
      </c>
      <c r="EA30" s="6" t="n">
        <v>1097</v>
      </c>
      <c r="EB30" s="6" t="n">
        <v>1097</v>
      </c>
      <c r="EC30" s="6" t="n">
        <v>1096</v>
      </c>
      <c r="ED30" s="6" t="n">
        <v>301</v>
      </c>
      <c r="EE30" s="6" t="n">
        <v>1001</v>
      </c>
      <c r="EF30" s="6" t="n">
        <v>1100</v>
      </c>
      <c r="EG30" s="6" t="n">
        <v>1101</v>
      </c>
      <c r="EH30" s="6" t="n">
        <v>1097</v>
      </c>
      <c r="EI30" s="6" t="n">
        <v>1101</v>
      </c>
      <c r="EJ30" s="6" t="n">
        <v>1399</v>
      </c>
      <c r="EK30" s="6" t="n">
        <v>1799</v>
      </c>
      <c r="EL30" s="6" t="n">
        <v>1551</v>
      </c>
      <c r="EM30" s="6" t="n">
        <v>1421</v>
      </c>
      <c r="EN30" s="6" t="n">
        <v>1500</v>
      </c>
      <c r="EO30" s="6" t="n">
        <v>1799</v>
      </c>
      <c r="EP30" s="6" t="n">
        <v>1799</v>
      </c>
      <c r="EQ30" s="6" t="n">
        <v>1800</v>
      </c>
      <c r="ER30" s="6" t="n">
        <v>1800</v>
      </c>
      <c r="ES30" s="6" t="n">
        <v>1800</v>
      </c>
      <c r="ET30" s="6" t="n">
        <v>1800</v>
      </c>
      <c r="EU30" s="6" t="n">
        <v>1102</v>
      </c>
      <c r="EV30" s="6" t="n">
        <v>1400</v>
      </c>
      <c r="EW30" s="6" t="n">
        <v>1799</v>
      </c>
      <c r="EX30" s="6" t="n">
        <v>1799</v>
      </c>
      <c r="EY30" s="6" t="n">
        <v>1801</v>
      </c>
      <c r="EZ30" s="6" t="n">
        <v>1820</v>
      </c>
      <c r="FA30" s="6" t="n">
        <v>1820</v>
      </c>
      <c r="FB30" s="6" t="n">
        <v>1800</v>
      </c>
      <c r="FC30" s="6" t="n">
        <v>1830</v>
      </c>
      <c r="FD30" s="6" t="n">
        <v>1830</v>
      </c>
      <c r="FE30" s="6" t="n">
        <v>1900</v>
      </c>
      <c r="FF30" s="6" t="n">
        <v>2011</v>
      </c>
      <c r="FG30" s="6" t="n">
        <v>2000</v>
      </c>
      <c r="FH30" s="6" t="n">
        <v>2119</v>
      </c>
      <c r="FI30" s="6" t="n">
        <v>2780</v>
      </c>
      <c r="FJ30" s="6" t="n">
        <v>2870</v>
      </c>
      <c r="FK30" s="6" t="n">
        <v>2921</v>
      </c>
      <c r="FL30" s="6" t="n">
        <v>3119</v>
      </c>
      <c r="FM30" s="6" t="n">
        <v>3310</v>
      </c>
      <c r="FN30" s="6" t="n">
        <v>3567</v>
      </c>
      <c r="FO30" s="6" t="n">
        <v>4019</v>
      </c>
      <c r="FP30" s="6" t="n">
        <v>4369</v>
      </c>
      <c r="FQ30" s="6" t="n">
        <v>5921</v>
      </c>
      <c r="FR30" s="6" t="n">
        <v>7029</v>
      </c>
      <c r="FS30" s="6" t="n">
        <v>10000</v>
      </c>
      <c r="FT30" s="6" t="n">
        <v>10000</v>
      </c>
      <c r="FU30" s="6" t="n">
        <v>10000</v>
      </c>
      <c r="FV30" s="6" t="n">
        <v>10000</v>
      </c>
      <c r="FW30" s="6" t="n">
        <v>10000</v>
      </c>
      <c r="FX30" s="6" t="n">
        <v>10000</v>
      </c>
      <c r="FY30" s="6" t="n">
        <v>5530</v>
      </c>
      <c r="FZ30" s="6" t="n">
        <v>5828</v>
      </c>
      <c r="GA30" s="6" t="n">
        <v>4870</v>
      </c>
      <c r="GB30" s="6" t="n">
        <v>4742</v>
      </c>
      <c r="GC30" s="6" t="n">
        <v>4131</v>
      </c>
      <c r="GD30" s="6" t="n">
        <v>4131</v>
      </c>
      <c r="GE30" s="6" t="n">
        <v>4001</v>
      </c>
      <c r="GF30" s="6" t="n">
        <v>4040</v>
      </c>
      <c r="GG30" s="6" t="n">
        <v>4369</v>
      </c>
      <c r="GH30" s="6" t="n">
        <v>4750</v>
      </c>
      <c r="GI30" s="6" t="n">
        <v>4500</v>
      </c>
      <c r="GJ30" s="6" t="n">
        <v>4301</v>
      </c>
      <c r="GK30" s="6" t="n">
        <v>4101</v>
      </c>
      <c r="GL30" s="6" t="n">
        <v>4001</v>
      </c>
    </row>
    <row r="31">
      <c r="A31" s="6" t="inlineStr">
        <is>
          <t>DAM</t>
        </is>
      </c>
      <c r="B31" s="6" t="n">
        <v>28</v>
      </c>
      <c r="C31" s="6" t="n">
        <v>3750</v>
      </c>
      <c r="D31" s="6" t="n">
        <v>3750</v>
      </c>
      <c r="E31" s="6" t="n">
        <v>3730</v>
      </c>
      <c r="F31" s="6" t="n">
        <v>3600</v>
      </c>
      <c r="G31" s="6" t="n">
        <v>3390</v>
      </c>
      <c r="H31" s="6" t="n">
        <v>3389</v>
      </c>
      <c r="I31" s="6" t="n">
        <v>3150</v>
      </c>
      <c r="J31" s="6" t="n">
        <v>3140</v>
      </c>
      <c r="K31" s="6" t="n">
        <v>3086</v>
      </c>
      <c r="L31" s="6" t="n">
        <v>3059</v>
      </c>
      <c r="M31" s="6" t="n">
        <v>2930</v>
      </c>
      <c r="N31" s="6" t="n">
        <v>2870</v>
      </c>
      <c r="O31" s="6" t="n">
        <v>2780</v>
      </c>
      <c r="P31" s="6" t="n">
        <v>2513</v>
      </c>
      <c r="Q31" s="6" t="n">
        <v>2401</v>
      </c>
      <c r="R31" s="6" t="n">
        <v>2120</v>
      </c>
      <c r="S31" s="6" t="n">
        <v>2020</v>
      </c>
      <c r="T31" s="6" t="n">
        <v>2119</v>
      </c>
      <c r="U31" s="6" t="n">
        <v>2119</v>
      </c>
      <c r="V31" s="6" t="n">
        <v>2051</v>
      </c>
      <c r="W31" s="6" t="n">
        <v>2019</v>
      </c>
      <c r="X31" s="6" t="n">
        <v>2119</v>
      </c>
      <c r="Y31" s="6" t="n">
        <v>2019</v>
      </c>
      <c r="Z31" s="6" t="n">
        <v>2001</v>
      </c>
      <c r="AA31" s="6" t="n">
        <v>2401</v>
      </c>
      <c r="AB31" s="6" t="n">
        <v>2471</v>
      </c>
      <c r="AC31" s="6" t="n">
        <v>2500</v>
      </c>
      <c r="AD31" s="6" t="n">
        <v>2402</v>
      </c>
      <c r="AE31" s="6" t="n">
        <v>2119</v>
      </c>
      <c r="AF31" s="6" t="n">
        <v>1920</v>
      </c>
      <c r="AG31" s="6" t="n">
        <v>1150</v>
      </c>
      <c r="AH31" s="6" t="n">
        <v>200</v>
      </c>
      <c r="AI31" s="6" t="n">
        <v>200</v>
      </c>
      <c r="AJ31" s="6" t="n">
        <v>199</v>
      </c>
      <c r="AK31" s="6" t="n">
        <v>50</v>
      </c>
      <c r="AL31" s="6" t="n">
        <v>50</v>
      </c>
      <c r="AM31" s="6" t="n">
        <v>50</v>
      </c>
      <c r="AN31" s="6" t="n">
        <v>51</v>
      </c>
      <c r="AO31" s="6" t="n">
        <v>199</v>
      </c>
      <c r="AP31" s="6" t="n">
        <v>199</v>
      </c>
      <c r="AQ31" s="6" t="n">
        <v>50</v>
      </c>
      <c r="AR31" s="6" t="n">
        <v>199</v>
      </c>
      <c r="AS31" s="6" t="n">
        <v>199</v>
      </c>
      <c r="AT31" s="6" t="n">
        <v>199</v>
      </c>
      <c r="AU31" s="6" t="n">
        <v>199</v>
      </c>
      <c r="AV31" s="6" t="n">
        <v>199</v>
      </c>
      <c r="AW31" s="6" t="n">
        <v>199</v>
      </c>
      <c r="AX31" s="6" t="n">
        <v>199</v>
      </c>
      <c r="AY31" s="6" t="n">
        <v>199</v>
      </c>
      <c r="AZ31" s="6" t="n">
        <v>199</v>
      </c>
      <c r="BA31" s="6" t="n">
        <v>199</v>
      </c>
      <c r="BB31" s="6" t="n">
        <v>199</v>
      </c>
      <c r="BC31" s="6" t="n">
        <v>100</v>
      </c>
      <c r="BD31" s="6" t="n">
        <v>99</v>
      </c>
      <c r="BE31" s="6" t="n">
        <v>199</v>
      </c>
      <c r="BF31" s="6" t="n">
        <v>199</v>
      </c>
      <c r="BG31" s="6" t="n">
        <v>199</v>
      </c>
      <c r="BH31" s="6" t="n">
        <v>199</v>
      </c>
      <c r="BI31" s="6" t="n">
        <v>199</v>
      </c>
      <c r="BJ31" s="6" t="n">
        <v>199</v>
      </c>
      <c r="BK31" s="6" t="n">
        <v>100</v>
      </c>
      <c r="BL31" s="6" t="n">
        <v>99</v>
      </c>
      <c r="BM31" s="6" t="n">
        <v>99</v>
      </c>
      <c r="BN31" s="6" t="n">
        <v>51</v>
      </c>
      <c r="BO31" s="6" t="n">
        <v>199</v>
      </c>
      <c r="BP31" s="6" t="n">
        <v>199</v>
      </c>
      <c r="BQ31" s="6" t="n">
        <v>200</v>
      </c>
      <c r="BR31" s="6" t="n">
        <v>200</v>
      </c>
      <c r="BS31" s="6" t="n">
        <v>200</v>
      </c>
      <c r="BT31" s="6" t="n">
        <v>200</v>
      </c>
      <c r="BU31" s="6" t="n">
        <v>2000</v>
      </c>
      <c r="BV31" s="6" t="n">
        <v>2750</v>
      </c>
      <c r="BW31" s="6" t="n">
        <v>2929</v>
      </c>
      <c r="BX31" s="6" t="n">
        <v>3310</v>
      </c>
      <c r="BY31" s="6" t="n">
        <v>3201</v>
      </c>
      <c r="BZ31" s="6" t="n">
        <v>3059</v>
      </c>
      <c r="CA31" s="6" t="n">
        <v>4020</v>
      </c>
      <c r="CB31" s="6" t="n">
        <v>4501</v>
      </c>
      <c r="CC31" s="6" t="n">
        <v>4249</v>
      </c>
      <c r="CD31" s="6" t="n">
        <v>4020</v>
      </c>
      <c r="CE31" s="6" t="n">
        <v>3999</v>
      </c>
      <c r="CF31" s="6" t="n">
        <v>3741</v>
      </c>
      <c r="CG31" s="6" t="n">
        <v>3500</v>
      </c>
      <c r="CH31" s="6" t="n">
        <v>3741</v>
      </c>
      <c r="CI31" s="6" t="n">
        <v>3513</v>
      </c>
      <c r="CJ31" s="6" t="n">
        <v>3410</v>
      </c>
      <c r="CK31" s="6" t="n">
        <v>3389</v>
      </c>
      <c r="CL31" s="6" t="n">
        <v>3389</v>
      </c>
      <c r="CM31" s="6" t="n">
        <v>3199</v>
      </c>
      <c r="CN31" s="6" t="n">
        <v>3199</v>
      </c>
      <c r="CO31" s="6" t="n">
        <v>3201</v>
      </c>
      <c r="CP31" s="6" t="n">
        <v>3310</v>
      </c>
      <c r="CQ31" s="6" t="n">
        <v>3310</v>
      </c>
      <c r="CR31" s="6" t="n">
        <v>3240</v>
      </c>
      <c r="CS31" s="6" t="n">
        <v>3200</v>
      </c>
      <c r="CT31" s="6" t="n">
        <v>3120</v>
      </c>
      <c r="CU31" s="6" t="n">
        <v>3750</v>
      </c>
      <c r="CV31" s="6" t="n">
        <v>3750</v>
      </c>
      <c r="CW31" s="6" t="n">
        <v>3730</v>
      </c>
      <c r="CX31" s="6" t="n">
        <v>3600</v>
      </c>
      <c r="CY31" s="6" t="n">
        <v>3390</v>
      </c>
      <c r="CZ31" s="6" t="n">
        <v>3389</v>
      </c>
      <c r="DA31" s="6" t="n">
        <v>3150</v>
      </c>
      <c r="DB31" s="6" t="n">
        <v>3140</v>
      </c>
      <c r="DC31" s="6" t="n">
        <v>3086</v>
      </c>
      <c r="DD31" s="6" t="n">
        <v>3059</v>
      </c>
      <c r="DE31" s="6" t="n">
        <v>2930</v>
      </c>
      <c r="DF31" s="6" t="n">
        <v>2870</v>
      </c>
      <c r="DG31" s="6" t="n">
        <v>2780</v>
      </c>
      <c r="DH31" s="6" t="n">
        <v>2513</v>
      </c>
      <c r="DI31" s="6" t="n">
        <v>2401</v>
      </c>
      <c r="DJ31" s="6" t="n">
        <v>2120</v>
      </c>
      <c r="DK31" s="6" t="n">
        <v>2020</v>
      </c>
      <c r="DL31" s="6" t="n">
        <v>2119</v>
      </c>
      <c r="DM31" s="6" t="n">
        <v>2119</v>
      </c>
      <c r="DN31" s="6" t="n">
        <v>2051</v>
      </c>
      <c r="DO31" s="6" t="n">
        <v>2019</v>
      </c>
      <c r="DP31" s="6" t="n">
        <v>2119</v>
      </c>
      <c r="DQ31" s="6" t="n">
        <v>2019</v>
      </c>
      <c r="DR31" s="6" t="n">
        <v>2001</v>
      </c>
      <c r="DS31" s="6" t="n">
        <v>2401</v>
      </c>
      <c r="DT31" s="6" t="n">
        <v>2471</v>
      </c>
      <c r="DU31" s="6" t="n">
        <v>2500</v>
      </c>
      <c r="DV31" s="6" t="n">
        <v>2402</v>
      </c>
      <c r="DW31" s="6" t="n">
        <v>2119</v>
      </c>
      <c r="DX31" s="6" t="n">
        <v>1920</v>
      </c>
      <c r="DY31" s="6" t="n">
        <v>1150</v>
      </c>
      <c r="DZ31" s="6" t="n">
        <v>200</v>
      </c>
      <c r="EA31" s="6" t="n">
        <v>200</v>
      </c>
      <c r="EB31" s="6" t="n">
        <v>199</v>
      </c>
      <c r="EC31" s="6" t="n">
        <v>50</v>
      </c>
      <c r="ED31" s="6" t="n">
        <v>50</v>
      </c>
      <c r="EE31" s="6" t="n">
        <v>50</v>
      </c>
      <c r="EF31" s="6" t="n">
        <v>51</v>
      </c>
      <c r="EG31" s="6" t="n">
        <v>199</v>
      </c>
      <c r="EH31" s="6" t="n">
        <v>199</v>
      </c>
      <c r="EI31" s="6" t="n">
        <v>50</v>
      </c>
      <c r="EJ31" s="6" t="n">
        <v>199</v>
      </c>
      <c r="EK31" s="6" t="n">
        <v>199</v>
      </c>
      <c r="EL31" s="6" t="n">
        <v>199</v>
      </c>
      <c r="EM31" s="6" t="n">
        <v>199</v>
      </c>
      <c r="EN31" s="6" t="n">
        <v>199</v>
      </c>
      <c r="EO31" s="6" t="n">
        <v>199</v>
      </c>
      <c r="EP31" s="6" t="n">
        <v>199</v>
      </c>
      <c r="EQ31" s="6" t="n">
        <v>199</v>
      </c>
      <c r="ER31" s="6" t="n">
        <v>199</v>
      </c>
      <c r="ES31" s="6" t="n">
        <v>199</v>
      </c>
      <c r="ET31" s="6" t="n">
        <v>199</v>
      </c>
      <c r="EU31" s="6" t="n">
        <v>100</v>
      </c>
      <c r="EV31" s="6" t="n">
        <v>99</v>
      </c>
      <c r="EW31" s="6" t="n">
        <v>199</v>
      </c>
      <c r="EX31" s="6" t="n">
        <v>199</v>
      </c>
      <c r="EY31" s="6" t="n">
        <v>199</v>
      </c>
      <c r="EZ31" s="6" t="n">
        <v>199</v>
      </c>
      <c r="FA31" s="6" t="n">
        <v>199</v>
      </c>
      <c r="FB31" s="6" t="n">
        <v>199</v>
      </c>
      <c r="FC31" s="6" t="n">
        <v>100</v>
      </c>
      <c r="FD31" s="6" t="n">
        <v>99</v>
      </c>
      <c r="FE31" s="6" t="n">
        <v>99</v>
      </c>
      <c r="FF31" s="6" t="n">
        <v>51</v>
      </c>
      <c r="FG31" s="6" t="n">
        <v>199</v>
      </c>
      <c r="FH31" s="6" t="n">
        <v>199</v>
      </c>
      <c r="FI31" s="6" t="n">
        <v>200</v>
      </c>
      <c r="FJ31" s="6" t="n">
        <v>200</v>
      </c>
      <c r="FK31" s="6" t="n">
        <v>200</v>
      </c>
      <c r="FL31" s="6" t="n">
        <v>200</v>
      </c>
      <c r="FM31" s="6" t="n">
        <v>2000</v>
      </c>
      <c r="FN31" s="6" t="n">
        <v>2750</v>
      </c>
      <c r="FO31" s="6" t="n">
        <v>2929</v>
      </c>
      <c r="FP31" s="6" t="n">
        <v>3310</v>
      </c>
      <c r="FQ31" s="6" t="n">
        <v>3201</v>
      </c>
      <c r="FR31" s="6" t="n">
        <v>3059</v>
      </c>
      <c r="FS31" s="6" t="n">
        <v>4020</v>
      </c>
      <c r="FT31" s="6" t="n">
        <v>4501</v>
      </c>
      <c r="FU31" s="6" t="n">
        <v>4249</v>
      </c>
      <c r="FV31" s="6" t="n">
        <v>4020</v>
      </c>
      <c r="FW31" s="6" t="n">
        <v>3999</v>
      </c>
      <c r="FX31" s="6" t="n">
        <v>3741</v>
      </c>
      <c r="FY31" s="6" t="n">
        <v>3500</v>
      </c>
      <c r="FZ31" s="6" t="n">
        <v>3741</v>
      </c>
      <c r="GA31" s="6" t="n">
        <v>3513</v>
      </c>
      <c r="GB31" s="6" t="n">
        <v>3410</v>
      </c>
      <c r="GC31" s="6" t="n">
        <v>3389</v>
      </c>
      <c r="GD31" s="6" t="n">
        <v>3389</v>
      </c>
      <c r="GE31" s="6" t="n">
        <v>3199</v>
      </c>
      <c r="GF31" s="6" t="n">
        <v>3199</v>
      </c>
      <c r="GG31" s="6" t="n">
        <v>3201</v>
      </c>
      <c r="GH31" s="6" t="n">
        <v>3310</v>
      </c>
      <c r="GI31" s="6" t="n">
        <v>3310</v>
      </c>
      <c r="GJ31" s="6" t="n">
        <v>3240</v>
      </c>
      <c r="GK31" s="6" t="n">
        <v>3200</v>
      </c>
      <c r="GL31" s="6" t="n">
        <v>3120</v>
      </c>
    </row>
    <row r="32">
      <c r="A32" s="6" t="inlineStr">
        <is>
          <t>DAM</t>
        </is>
      </c>
      <c r="B32" s="6" t="n">
        <v>29</v>
      </c>
      <c r="C32" s="6" t="n">
        <v>3759</v>
      </c>
      <c r="D32" s="6" t="n">
        <v>3741</v>
      </c>
      <c r="E32" s="6" t="n">
        <v>3599</v>
      </c>
      <c r="F32" s="6" t="n">
        <v>3512</v>
      </c>
      <c r="G32" s="6" t="n">
        <v>3269</v>
      </c>
      <c r="H32" s="6" t="n">
        <v>3150</v>
      </c>
      <c r="I32" s="6" t="n">
        <v>3149</v>
      </c>
      <c r="J32" s="6" t="n">
        <v>3149</v>
      </c>
      <c r="K32" s="6" t="n">
        <v>3080</v>
      </c>
      <c r="L32" s="6" t="n">
        <v>3079</v>
      </c>
      <c r="M32" s="6" t="n">
        <v>3079</v>
      </c>
      <c r="N32" s="6" t="n">
        <v>3019</v>
      </c>
      <c r="O32" s="6" t="n">
        <v>2959</v>
      </c>
      <c r="P32" s="6" t="n">
        <v>2689</v>
      </c>
      <c r="Q32" s="6" t="n">
        <v>2690</v>
      </c>
      <c r="R32" s="6" t="n">
        <v>2401</v>
      </c>
      <c r="S32" s="6" t="n">
        <v>2402</v>
      </c>
      <c r="T32" s="6" t="n">
        <v>2401</v>
      </c>
      <c r="U32" s="6" t="n">
        <v>2401</v>
      </c>
      <c r="V32" s="6" t="n">
        <v>2299</v>
      </c>
      <c r="W32" s="6" t="n">
        <v>2090</v>
      </c>
      <c r="X32" s="6" t="n">
        <v>2019</v>
      </c>
      <c r="Y32" s="6" t="n">
        <v>2000</v>
      </c>
      <c r="Z32" s="6" t="n">
        <v>2000</v>
      </c>
      <c r="AA32" s="6" t="n">
        <v>2220</v>
      </c>
      <c r="AB32" s="6" t="n">
        <v>2220</v>
      </c>
      <c r="AC32" s="6" t="n">
        <v>2211</v>
      </c>
      <c r="AD32" s="6" t="n">
        <v>2219</v>
      </c>
      <c r="AE32" s="6" t="n">
        <v>2300</v>
      </c>
      <c r="AF32" s="6" t="n">
        <v>2219</v>
      </c>
      <c r="AG32" s="6" t="n">
        <v>1999</v>
      </c>
      <c r="AH32" s="6" t="n">
        <v>1800</v>
      </c>
      <c r="AI32" s="6" t="n">
        <v>1820</v>
      </c>
      <c r="AJ32" s="6" t="n">
        <v>1831</v>
      </c>
      <c r="AK32" s="6" t="n">
        <v>1830</v>
      </c>
      <c r="AL32" s="6" t="n">
        <v>1830</v>
      </c>
      <c r="AM32" s="6" t="n">
        <v>1830</v>
      </c>
      <c r="AN32" s="6" t="n">
        <v>1819</v>
      </c>
      <c r="AO32" s="6" t="n">
        <v>1800</v>
      </c>
      <c r="AP32" s="6" t="n">
        <v>1799</v>
      </c>
      <c r="AQ32" s="6" t="n">
        <v>1799</v>
      </c>
      <c r="AR32" s="6" t="n">
        <v>1799</v>
      </c>
      <c r="AS32" s="6" t="n">
        <v>1799</v>
      </c>
      <c r="AT32" s="6" t="n">
        <v>1799</v>
      </c>
      <c r="AU32" s="6" t="n">
        <v>1717</v>
      </c>
      <c r="AV32" s="6" t="n">
        <v>1799</v>
      </c>
      <c r="AW32" s="6" t="n">
        <v>1799</v>
      </c>
      <c r="AX32" s="6" t="n">
        <v>1799</v>
      </c>
      <c r="AY32" s="6" t="n">
        <v>1800</v>
      </c>
      <c r="AZ32" s="6" t="n">
        <v>1800</v>
      </c>
      <c r="BA32" s="6" t="n">
        <v>1800</v>
      </c>
      <c r="BB32" s="6" t="n">
        <v>1800</v>
      </c>
      <c r="BC32" s="6" t="n">
        <v>900</v>
      </c>
      <c r="BD32" s="6" t="n">
        <v>900</v>
      </c>
      <c r="BE32" s="6" t="n">
        <v>1799</v>
      </c>
      <c r="BF32" s="6" t="n">
        <v>1799</v>
      </c>
      <c r="BG32" s="6" t="n">
        <v>1830</v>
      </c>
      <c r="BH32" s="6" t="n">
        <v>1830</v>
      </c>
      <c r="BI32" s="6" t="n">
        <v>1831</v>
      </c>
      <c r="BJ32" s="6" t="n">
        <v>1850</v>
      </c>
      <c r="BK32" s="6" t="n">
        <v>2011</v>
      </c>
      <c r="BL32" s="6" t="n">
        <v>2089</v>
      </c>
      <c r="BM32" s="6" t="n">
        <v>2481</v>
      </c>
      <c r="BN32" s="6" t="n">
        <v>2531</v>
      </c>
      <c r="BO32" s="6" t="n">
        <v>2402</v>
      </c>
      <c r="BP32" s="6" t="n">
        <v>2837</v>
      </c>
      <c r="BQ32" s="6" t="n">
        <v>3079</v>
      </c>
      <c r="BR32" s="6" t="n">
        <v>3149</v>
      </c>
      <c r="BS32" s="6" t="n">
        <v>3233</v>
      </c>
      <c r="BT32" s="6" t="n">
        <v>3459</v>
      </c>
      <c r="BU32" s="6" t="n">
        <v>3599</v>
      </c>
      <c r="BV32" s="6" t="n">
        <v>3983</v>
      </c>
      <c r="BW32" s="6" t="n">
        <v>4869</v>
      </c>
      <c r="BX32" s="6" t="n">
        <v>7029</v>
      </c>
      <c r="BY32" s="6" t="n">
        <v>7999</v>
      </c>
      <c r="BZ32" s="6" t="n">
        <v>5065</v>
      </c>
      <c r="CA32" s="6" t="n">
        <v>10000</v>
      </c>
      <c r="CB32" s="6" t="n">
        <v>10000</v>
      </c>
      <c r="CC32" s="6" t="n">
        <v>10000</v>
      </c>
      <c r="CD32" s="6" t="n">
        <v>10000</v>
      </c>
      <c r="CE32" s="6" t="n">
        <v>10000</v>
      </c>
      <c r="CF32" s="6" t="n">
        <v>10000</v>
      </c>
      <c r="CG32" s="6" t="n">
        <v>10000</v>
      </c>
      <c r="CH32" s="6" t="n">
        <v>10000</v>
      </c>
      <c r="CI32" s="6" t="n">
        <v>10000</v>
      </c>
      <c r="CJ32" s="6" t="n">
        <v>6455</v>
      </c>
      <c r="CK32" s="6" t="n">
        <v>4870</v>
      </c>
      <c r="CL32" s="6" t="n">
        <v>4901</v>
      </c>
      <c r="CM32" s="6" t="n">
        <v>4200</v>
      </c>
      <c r="CN32" s="6" t="n">
        <v>4339</v>
      </c>
      <c r="CO32" s="6" t="n">
        <v>4799</v>
      </c>
      <c r="CP32" s="6" t="n">
        <v>4799</v>
      </c>
      <c r="CQ32" s="6" t="n">
        <v>4799</v>
      </c>
      <c r="CR32" s="6" t="n">
        <v>4501</v>
      </c>
      <c r="CS32" s="6" t="n">
        <v>4101</v>
      </c>
      <c r="CT32" s="6" t="n">
        <v>4020</v>
      </c>
      <c r="CU32" s="6" t="n">
        <v>3759</v>
      </c>
      <c r="CV32" s="6" t="n">
        <v>3741</v>
      </c>
      <c r="CW32" s="6" t="n">
        <v>3599</v>
      </c>
      <c r="CX32" s="6" t="n">
        <v>3512</v>
      </c>
      <c r="CY32" s="6" t="n">
        <v>3269</v>
      </c>
      <c r="CZ32" s="6" t="n">
        <v>3150</v>
      </c>
      <c r="DA32" s="6" t="n">
        <v>3149</v>
      </c>
      <c r="DB32" s="6" t="n">
        <v>3149</v>
      </c>
      <c r="DC32" s="6" t="n">
        <v>3080</v>
      </c>
      <c r="DD32" s="6" t="n">
        <v>3079</v>
      </c>
      <c r="DE32" s="6" t="n">
        <v>3079</v>
      </c>
      <c r="DF32" s="6" t="n">
        <v>3019</v>
      </c>
      <c r="DG32" s="6" t="n">
        <v>2959</v>
      </c>
      <c r="DH32" s="6" t="n">
        <v>2689</v>
      </c>
      <c r="DI32" s="6" t="n">
        <v>2690</v>
      </c>
      <c r="DJ32" s="6" t="n">
        <v>2401</v>
      </c>
      <c r="DK32" s="6" t="n">
        <v>2402</v>
      </c>
      <c r="DL32" s="6" t="n">
        <v>2401</v>
      </c>
      <c r="DM32" s="6" t="n">
        <v>2401</v>
      </c>
      <c r="DN32" s="6" t="n">
        <v>2299</v>
      </c>
      <c r="DO32" s="6" t="n">
        <v>2090</v>
      </c>
      <c r="DP32" s="6" t="n">
        <v>2019</v>
      </c>
      <c r="DQ32" s="6" t="n">
        <v>2000</v>
      </c>
      <c r="DR32" s="6" t="n">
        <v>2000</v>
      </c>
      <c r="DS32" s="6" t="n">
        <v>2220</v>
      </c>
      <c r="DT32" s="6" t="n">
        <v>2220</v>
      </c>
      <c r="DU32" s="6" t="n">
        <v>2211</v>
      </c>
      <c r="DV32" s="6" t="n">
        <v>2219</v>
      </c>
      <c r="DW32" s="6" t="n">
        <v>2300</v>
      </c>
      <c r="DX32" s="6" t="n">
        <v>2219</v>
      </c>
      <c r="DY32" s="6" t="n">
        <v>1999</v>
      </c>
      <c r="DZ32" s="6" t="n">
        <v>1800</v>
      </c>
      <c r="EA32" s="6" t="n">
        <v>1820</v>
      </c>
      <c r="EB32" s="6" t="n">
        <v>1831</v>
      </c>
      <c r="EC32" s="6" t="n">
        <v>1830</v>
      </c>
      <c r="ED32" s="6" t="n">
        <v>1830</v>
      </c>
      <c r="EE32" s="6" t="n">
        <v>1830</v>
      </c>
      <c r="EF32" s="6" t="n">
        <v>1819</v>
      </c>
      <c r="EG32" s="6" t="n">
        <v>1800</v>
      </c>
      <c r="EH32" s="6" t="n">
        <v>1799</v>
      </c>
      <c r="EI32" s="6" t="n">
        <v>1799</v>
      </c>
      <c r="EJ32" s="6" t="n">
        <v>1799</v>
      </c>
      <c r="EK32" s="6" t="n">
        <v>1799</v>
      </c>
      <c r="EL32" s="6" t="n">
        <v>1799</v>
      </c>
      <c r="EM32" s="6" t="n">
        <v>1717</v>
      </c>
      <c r="EN32" s="6" t="n">
        <v>1799</v>
      </c>
      <c r="EO32" s="6" t="n">
        <v>1799</v>
      </c>
      <c r="EP32" s="6" t="n">
        <v>1799</v>
      </c>
      <c r="EQ32" s="6" t="n">
        <v>1800</v>
      </c>
      <c r="ER32" s="6" t="n">
        <v>1800</v>
      </c>
      <c r="ES32" s="6" t="n">
        <v>1800</v>
      </c>
      <c r="ET32" s="6" t="n">
        <v>1800</v>
      </c>
      <c r="EU32" s="6" t="n">
        <v>900</v>
      </c>
      <c r="EV32" s="6" t="n">
        <v>900</v>
      </c>
      <c r="EW32" s="6" t="n">
        <v>1799</v>
      </c>
      <c r="EX32" s="6" t="n">
        <v>1799</v>
      </c>
      <c r="EY32" s="6" t="n">
        <v>1830</v>
      </c>
      <c r="EZ32" s="6" t="n">
        <v>1830</v>
      </c>
      <c r="FA32" s="6" t="n">
        <v>1831</v>
      </c>
      <c r="FB32" s="6" t="n">
        <v>1850</v>
      </c>
      <c r="FC32" s="6" t="n">
        <v>2011</v>
      </c>
      <c r="FD32" s="6" t="n">
        <v>2089</v>
      </c>
      <c r="FE32" s="6" t="n">
        <v>2481</v>
      </c>
      <c r="FF32" s="6" t="n">
        <v>2531</v>
      </c>
      <c r="FG32" s="6" t="n">
        <v>2402</v>
      </c>
      <c r="FH32" s="6" t="n">
        <v>2837</v>
      </c>
      <c r="FI32" s="6" t="n">
        <v>3079</v>
      </c>
      <c r="FJ32" s="6" t="n">
        <v>3149</v>
      </c>
      <c r="FK32" s="6" t="n">
        <v>3233</v>
      </c>
      <c r="FL32" s="6" t="n">
        <v>3459</v>
      </c>
      <c r="FM32" s="6" t="n">
        <v>3599</v>
      </c>
      <c r="FN32" s="6" t="n">
        <v>3983</v>
      </c>
      <c r="FO32" s="6" t="n">
        <v>4869</v>
      </c>
      <c r="FP32" s="6" t="n">
        <v>7029</v>
      </c>
      <c r="FQ32" s="6" t="n">
        <v>7999</v>
      </c>
      <c r="FR32" s="6" t="n">
        <v>5065</v>
      </c>
      <c r="FS32" s="6" t="n">
        <v>10000</v>
      </c>
      <c r="FT32" s="6" t="n">
        <v>10000</v>
      </c>
      <c r="FU32" s="6" t="n">
        <v>10000</v>
      </c>
      <c r="FV32" s="6" t="n">
        <v>10000</v>
      </c>
      <c r="FW32" s="6" t="n">
        <v>10000</v>
      </c>
      <c r="FX32" s="6" t="n">
        <v>10000</v>
      </c>
      <c r="FY32" s="6" t="n">
        <v>10000</v>
      </c>
      <c r="FZ32" s="6" t="n">
        <v>10000</v>
      </c>
      <c r="GA32" s="6" t="n">
        <v>10000</v>
      </c>
      <c r="GB32" s="6" t="n">
        <v>6455</v>
      </c>
      <c r="GC32" s="6" t="n">
        <v>4870</v>
      </c>
      <c r="GD32" s="6" t="n">
        <v>4901</v>
      </c>
      <c r="GE32" s="6" t="n">
        <v>4200</v>
      </c>
      <c r="GF32" s="6" t="n">
        <v>4339</v>
      </c>
      <c r="GG32" s="6" t="n">
        <v>4799</v>
      </c>
      <c r="GH32" s="6" t="n">
        <v>4799</v>
      </c>
      <c r="GI32" s="6" t="n">
        <v>4799</v>
      </c>
      <c r="GJ32" s="6" t="n">
        <v>4501</v>
      </c>
      <c r="GK32" s="6" t="n">
        <v>4101</v>
      </c>
      <c r="GL32" s="6" t="n">
        <v>4020</v>
      </c>
    </row>
    <row r="33">
      <c r="A33" s="6" t="inlineStr">
        <is>
          <t>DAM</t>
        </is>
      </c>
      <c r="B33" s="6" t="n">
        <v>30</v>
      </c>
      <c r="C33" s="6" t="n">
        <v>3801</v>
      </c>
      <c r="D33" s="6" t="n">
        <v>3800</v>
      </c>
      <c r="E33" s="6" t="n">
        <v>3600</v>
      </c>
      <c r="F33" s="6" t="n">
        <v>3599</v>
      </c>
      <c r="G33" s="6" t="n">
        <v>3399</v>
      </c>
      <c r="H33" s="6" t="n">
        <v>3291</v>
      </c>
      <c r="I33" s="6" t="n">
        <v>3200</v>
      </c>
      <c r="J33" s="6" t="n">
        <v>3150</v>
      </c>
      <c r="K33" s="6" t="n">
        <v>3080</v>
      </c>
      <c r="L33" s="6" t="n">
        <v>3079</v>
      </c>
      <c r="M33" s="6" t="n">
        <v>3019</v>
      </c>
      <c r="N33" s="6" t="n">
        <v>2838</v>
      </c>
      <c r="O33" s="6" t="n">
        <v>2600</v>
      </c>
      <c r="P33" s="6" t="n">
        <v>2299</v>
      </c>
      <c r="Q33" s="6" t="n">
        <v>2210</v>
      </c>
      <c r="R33" s="6" t="n">
        <v>2019</v>
      </c>
      <c r="S33" s="6" t="n">
        <v>2000</v>
      </c>
      <c r="T33" s="6" t="n">
        <v>2019</v>
      </c>
      <c r="U33" s="6" t="n">
        <v>2100</v>
      </c>
      <c r="V33" s="6" t="n">
        <v>2120</v>
      </c>
      <c r="W33" s="6" t="n">
        <v>2351</v>
      </c>
      <c r="X33" s="6" t="n">
        <v>2301</v>
      </c>
      <c r="Y33" s="6" t="n">
        <v>2300</v>
      </c>
      <c r="Z33" s="6" t="n">
        <v>2301</v>
      </c>
      <c r="AA33" s="6" t="n">
        <v>2391</v>
      </c>
      <c r="AB33" s="6" t="n">
        <v>2391</v>
      </c>
      <c r="AC33" s="6" t="n">
        <v>2391</v>
      </c>
      <c r="AD33" s="6" t="n">
        <v>2391</v>
      </c>
      <c r="AE33" s="6" t="n">
        <v>2390</v>
      </c>
      <c r="AF33" s="6" t="n">
        <v>2331</v>
      </c>
      <c r="AG33" s="6" t="n">
        <v>2000</v>
      </c>
      <c r="AH33" s="6" t="n">
        <v>1799</v>
      </c>
      <c r="AI33" s="6" t="n">
        <v>1078</v>
      </c>
      <c r="AJ33" s="6" t="n">
        <v>1204</v>
      </c>
      <c r="AK33" s="6" t="n">
        <v>796</v>
      </c>
      <c r="AL33" s="6" t="n">
        <v>600</v>
      </c>
      <c r="AM33" s="6" t="n">
        <v>600</v>
      </c>
      <c r="AN33" s="6" t="n">
        <v>500</v>
      </c>
      <c r="AO33" s="6" t="n">
        <v>600</v>
      </c>
      <c r="AP33" s="6" t="n">
        <v>796</v>
      </c>
      <c r="AQ33" s="6" t="n">
        <v>1011</v>
      </c>
      <c r="AR33" s="6" t="n">
        <v>1200</v>
      </c>
      <c r="AS33" s="6" t="n">
        <v>1245</v>
      </c>
      <c r="AT33" s="6" t="n">
        <v>1214</v>
      </c>
      <c r="AU33" s="6" t="n">
        <v>1266</v>
      </c>
      <c r="AV33" s="6" t="n">
        <v>1201</v>
      </c>
      <c r="AW33" s="6" t="n">
        <v>1266</v>
      </c>
      <c r="AX33" s="6" t="n">
        <v>1201</v>
      </c>
      <c r="AY33" s="6" t="n">
        <v>1321</v>
      </c>
      <c r="AZ33" s="6" t="n">
        <v>1320</v>
      </c>
      <c r="BA33" s="6" t="n">
        <v>1289</v>
      </c>
      <c r="BB33" s="6" t="n">
        <v>1213</v>
      </c>
      <c r="BC33" s="6" t="n">
        <v>200</v>
      </c>
      <c r="BD33" s="6" t="n">
        <v>200</v>
      </c>
      <c r="BE33" s="6" t="n">
        <v>797</v>
      </c>
      <c r="BF33" s="6" t="n">
        <v>1001</v>
      </c>
      <c r="BG33" s="6" t="n">
        <v>1399</v>
      </c>
      <c r="BH33" s="6" t="n">
        <v>1633</v>
      </c>
      <c r="BI33" s="6" t="n">
        <v>1595</v>
      </c>
      <c r="BJ33" s="6" t="n">
        <v>1799</v>
      </c>
      <c r="BK33" s="6" t="n">
        <v>1800</v>
      </c>
      <c r="BL33" s="6" t="n">
        <v>1820</v>
      </c>
      <c r="BM33" s="6" t="n">
        <v>1800</v>
      </c>
      <c r="BN33" s="6" t="n">
        <v>1800</v>
      </c>
      <c r="BO33" s="6" t="n">
        <v>2001</v>
      </c>
      <c r="BP33" s="6" t="n">
        <v>2008</v>
      </c>
      <c r="BQ33" s="6" t="n">
        <v>2354</v>
      </c>
      <c r="BR33" s="6" t="n">
        <v>2500</v>
      </c>
      <c r="BS33" s="6" t="n">
        <v>2119</v>
      </c>
      <c r="BT33" s="6" t="n">
        <v>2401</v>
      </c>
      <c r="BU33" s="6" t="n">
        <v>2781</v>
      </c>
      <c r="BV33" s="6" t="n">
        <v>3149</v>
      </c>
      <c r="BW33" s="6" t="n">
        <v>3411</v>
      </c>
      <c r="BX33" s="6" t="n">
        <v>4019</v>
      </c>
      <c r="BY33" s="6" t="n">
        <v>7999</v>
      </c>
      <c r="BZ33" s="6" t="n">
        <v>7030</v>
      </c>
      <c r="CA33" s="6" t="n">
        <v>9499</v>
      </c>
      <c r="CB33" s="6" t="n">
        <v>9499</v>
      </c>
      <c r="CC33" s="6" t="n">
        <v>6001</v>
      </c>
      <c r="CD33" s="6" t="n">
        <v>5401</v>
      </c>
      <c r="CE33" s="6" t="n">
        <v>5000</v>
      </c>
      <c r="CF33" s="6" t="n">
        <v>4742</v>
      </c>
      <c r="CG33" s="6" t="n">
        <v>4131</v>
      </c>
      <c r="CH33" s="6" t="n">
        <v>4300</v>
      </c>
      <c r="CI33" s="6" t="n">
        <v>4130</v>
      </c>
      <c r="CJ33" s="6" t="n">
        <v>3850</v>
      </c>
      <c r="CK33" s="6" t="n">
        <v>3501</v>
      </c>
      <c r="CL33" s="6" t="n">
        <v>3501</v>
      </c>
      <c r="CM33" s="6" t="n">
        <v>3400</v>
      </c>
      <c r="CN33" s="6" t="n">
        <v>3501</v>
      </c>
      <c r="CO33" s="6" t="n">
        <v>3540</v>
      </c>
      <c r="CP33" s="6" t="n">
        <v>3540</v>
      </c>
      <c r="CQ33" s="6" t="n">
        <v>3539</v>
      </c>
      <c r="CR33" s="6" t="n">
        <v>3472</v>
      </c>
      <c r="CS33" s="6" t="n">
        <v>3270</v>
      </c>
      <c r="CT33" s="6" t="n">
        <v>3209</v>
      </c>
      <c r="CU33" s="6" t="n">
        <v>3801</v>
      </c>
      <c r="CV33" s="6" t="n">
        <v>3800</v>
      </c>
      <c r="CW33" s="6" t="n">
        <v>3600</v>
      </c>
      <c r="CX33" s="6" t="n">
        <v>3599</v>
      </c>
      <c r="CY33" s="6" t="n">
        <v>3399</v>
      </c>
      <c r="CZ33" s="6" t="n">
        <v>3291</v>
      </c>
      <c r="DA33" s="6" t="n">
        <v>3200</v>
      </c>
      <c r="DB33" s="6" t="n">
        <v>3150</v>
      </c>
      <c r="DC33" s="6" t="n">
        <v>3080</v>
      </c>
      <c r="DD33" s="6" t="n">
        <v>3079</v>
      </c>
      <c r="DE33" s="6" t="n">
        <v>3019</v>
      </c>
      <c r="DF33" s="6" t="n">
        <v>2838</v>
      </c>
      <c r="DG33" s="6" t="n">
        <v>2600</v>
      </c>
      <c r="DH33" s="6" t="n">
        <v>2299</v>
      </c>
      <c r="DI33" s="6" t="n">
        <v>2210</v>
      </c>
      <c r="DJ33" s="6" t="n">
        <v>2019</v>
      </c>
      <c r="DK33" s="6" t="n">
        <v>2000</v>
      </c>
      <c r="DL33" s="6" t="n">
        <v>2019</v>
      </c>
      <c r="DM33" s="6" t="n">
        <v>2100</v>
      </c>
      <c r="DN33" s="6" t="n">
        <v>2120</v>
      </c>
      <c r="DO33" s="6" t="n">
        <v>2351</v>
      </c>
      <c r="DP33" s="6" t="n">
        <v>2301</v>
      </c>
      <c r="DQ33" s="6" t="n">
        <v>2300</v>
      </c>
      <c r="DR33" s="6" t="n">
        <v>2301</v>
      </c>
      <c r="DS33" s="6" t="n">
        <v>2391</v>
      </c>
      <c r="DT33" s="6" t="n">
        <v>2391</v>
      </c>
      <c r="DU33" s="6" t="n">
        <v>2391</v>
      </c>
      <c r="DV33" s="6" t="n">
        <v>2391</v>
      </c>
      <c r="DW33" s="6" t="n">
        <v>2390</v>
      </c>
      <c r="DX33" s="6" t="n">
        <v>2331</v>
      </c>
      <c r="DY33" s="6" t="n">
        <v>2000</v>
      </c>
      <c r="DZ33" s="6" t="n">
        <v>1799</v>
      </c>
      <c r="EA33" s="6" t="n">
        <v>1078</v>
      </c>
      <c r="EB33" s="6" t="n">
        <v>1204</v>
      </c>
      <c r="EC33" s="6" t="n">
        <v>796</v>
      </c>
      <c r="ED33" s="6" t="n">
        <v>600</v>
      </c>
      <c r="EE33" s="6" t="n">
        <v>600</v>
      </c>
      <c r="EF33" s="6" t="n">
        <v>500</v>
      </c>
      <c r="EG33" s="6" t="n">
        <v>600</v>
      </c>
      <c r="EH33" s="6" t="n">
        <v>796</v>
      </c>
      <c r="EI33" s="6" t="n">
        <v>1011</v>
      </c>
      <c r="EJ33" s="6" t="n">
        <v>1200</v>
      </c>
      <c r="EK33" s="6" t="n">
        <v>1245</v>
      </c>
      <c r="EL33" s="6" t="n">
        <v>1214</v>
      </c>
      <c r="EM33" s="6" t="n">
        <v>1266</v>
      </c>
      <c r="EN33" s="6" t="n">
        <v>1201</v>
      </c>
      <c r="EO33" s="6" t="n">
        <v>1266</v>
      </c>
      <c r="EP33" s="6" t="n">
        <v>1201</v>
      </c>
      <c r="EQ33" s="6" t="n">
        <v>1321</v>
      </c>
      <c r="ER33" s="6" t="n">
        <v>1320</v>
      </c>
      <c r="ES33" s="6" t="n">
        <v>1289</v>
      </c>
      <c r="ET33" s="6" t="n">
        <v>1213</v>
      </c>
      <c r="EU33" s="6" t="n">
        <v>200</v>
      </c>
      <c r="EV33" s="6" t="n">
        <v>200</v>
      </c>
      <c r="EW33" s="6" t="n">
        <v>797</v>
      </c>
      <c r="EX33" s="6" t="n">
        <v>1001</v>
      </c>
      <c r="EY33" s="6" t="n">
        <v>1399</v>
      </c>
      <c r="EZ33" s="6" t="n">
        <v>1633</v>
      </c>
      <c r="FA33" s="6" t="n">
        <v>1595</v>
      </c>
      <c r="FB33" s="6" t="n">
        <v>1799</v>
      </c>
      <c r="FC33" s="6" t="n">
        <v>1800</v>
      </c>
      <c r="FD33" s="6" t="n">
        <v>1820</v>
      </c>
      <c r="FE33" s="6" t="n">
        <v>1800</v>
      </c>
      <c r="FF33" s="6" t="n">
        <v>1800</v>
      </c>
      <c r="FG33" s="6" t="n">
        <v>2001</v>
      </c>
      <c r="FH33" s="6" t="n">
        <v>2008</v>
      </c>
      <c r="FI33" s="6" t="n">
        <v>2354</v>
      </c>
      <c r="FJ33" s="6" t="n">
        <v>2500</v>
      </c>
      <c r="FK33" s="6" t="n">
        <v>2119</v>
      </c>
      <c r="FL33" s="6" t="n">
        <v>2401</v>
      </c>
      <c r="FM33" s="6" t="n">
        <v>2781</v>
      </c>
      <c r="FN33" s="6" t="n">
        <v>3149</v>
      </c>
      <c r="FO33" s="6" t="n">
        <v>3411</v>
      </c>
      <c r="FP33" s="6" t="n">
        <v>4019</v>
      </c>
      <c r="FQ33" s="6" t="n">
        <v>7999</v>
      </c>
      <c r="FR33" s="6" t="n">
        <v>7030</v>
      </c>
      <c r="FS33" s="6" t="n">
        <v>9499</v>
      </c>
      <c r="FT33" s="6" t="n">
        <v>9499</v>
      </c>
      <c r="FU33" s="6" t="n">
        <v>6001</v>
      </c>
      <c r="FV33" s="6" t="n">
        <v>5401</v>
      </c>
      <c r="FW33" s="6" t="n">
        <v>5000</v>
      </c>
      <c r="FX33" s="6" t="n">
        <v>4742</v>
      </c>
      <c r="FY33" s="6" t="n">
        <v>4131</v>
      </c>
      <c r="FZ33" s="6" t="n">
        <v>4300</v>
      </c>
      <c r="GA33" s="6" t="n">
        <v>4130</v>
      </c>
      <c r="GB33" s="6" t="n">
        <v>3850</v>
      </c>
      <c r="GC33" s="6" t="n">
        <v>3501</v>
      </c>
      <c r="GD33" s="6" t="n">
        <v>3501</v>
      </c>
      <c r="GE33" s="6" t="n">
        <v>3400</v>
      </c>
      <c r="GF33" s="6" t="n">
        <v>3501</v>
      </c>
      <c r="GG33" s="6" t="n">
        <v>3540</v>
      </c>
      <c r="GH33" s="6" t="n">
        <v>3540</v>
      </c>
      <c r="GI33" s="6" t="n">
        <v>3539</v>
      </c>
      <c r="GJ33" s="6" t="n">
        <v>3472</v>
      </c>
      <c r="GK33" s="6" t="n">
        <v>3270</v>
      </c>
      <c r="GL33" s="6" t="n">
        <v>3209</v>
      </c>
    </row>
    <row r="34">
      <c r="A34" s="6" t="inlineStr">
        <is>
          <t>GDAM</t>
        </is>
      </c>
      <c r="B34" s="6" t="n">
        <v>1</v>
      </c>
      <c r="C34" s="6" t="n">
        <v>10000</v>
      </c>
      <c r="D34" s="6" t="n">
        <v>10000</v>
      </c>
      <c r="E34" s="6" t="n">
        <v>10000</v>
      </c>
      <c r="F34" s="6" t="n">
        <v>10000</v>
      </c>
      <c r="G34" s="6" t="n">
        <v>10000</v>
      </c>
      <c r="H34" s="6" t="n">
        <v>10000</v>
      </c>
      <c r="I34" s="6" t="n">
        <v>6001</v>
      </c>
      <c r="J34" s="6" t="n">
        <v>6001</v>
      </c>
      <c r="K34" s="6" t="n">
        <v>4999</v>
      </c>
      <c r="L34" s="6" t="n">
        <v>4999</v>
      </c>
      <c r="M34" s="6" t="n">
        <v>4999</v>
      </c>
      <c r="N34" s="6" t="n">
        <v>4999</v>
      </c>
      <c r="O34" s="6" t="n">
        <v>4999</v>
      </c>
      <c r="P34" s="6" t="n">
        <v>4999</v>
      </c>
      <c r="Q34" s="6" t="n">
        <v>4999</v>
      </c>
      <c r="R34" s="6" t="n">
        <v>4999</v>
      </c>
      <c r="S34" s="6" t="n">
        <v>5001</v>
      </c>
      <c r="T34" s="6" t="n">
        <v>5500</v>
      </c>
      <c r="U34" s="6" t="n">
        <v>5500</v>
      </c>
      <c r="V34" s="6" t="n">
        <v>5000</v>
      </c>
      <c r="W34" s="6" t="n">
        <v>5900</v>
      </c>
      <c r="X34" s="6" t="n">
        <v>10000</v>
      </c>
      <c r="Y34" s="6" t="n">
        <v>10000</v>
      </c>
      <c r="Z34" s="6" t="n">
        <v>10000</v>
      </c>
      <c r="AA34" s="6" t="n">
        <v>10000</v>
      </c>
      <c r="AB34" s="6" t="n">
        <v>10000</v>
      </c>
      <c r="AC34" s="6" t="n">
        <v>10000</v>
      </c>
      <c r="AD34" s="6" t="n">
        <v>10000</v>
      </c>
      <c r="AE34" s="6" t="n">
        <v>9999</v>
      </c>
      <c r="AF34" s="6" t="n">
        <v>7700</v>
      </c>
      <c r="AG34" s="6" t="n">
        <v>5499</v>
      </c>
      <c r="AH34" s="6" t="n">
        <v>4601</v>
      </c>
      <c r="AI34" s="6" t="n">
        <v>4029</v>
      </c>
      <c r="AJ34" s="6" t="n">
        <v>4080</v>
      </c>
      <c r="AK34" s="6" t="n">
        <v>3638</v>
      </c>
      <c r="AL34" s="6" t="n">
        <v>3201</v>
      </c>
      <c r="AM34" s="6" t="n">
        <v>3200</v>
      </c>
      <c r="AN34" s="6" t="n">
        <v>2800</v>
      </c>
      <c r="AO34" s="6" t="n">
        <v>2399</v>
      </c>
      <c r="AP34" s="6" t="n">
        <v>2051</v>
      </c>
      <c r="AQ34" s="6" t="n">
        <v>1851</v>
      </c>
      <c r="AR34" s="6" t="n">
        <v>1701</v>
      </c>
      <c r="AS34" s="6" t="n">
        <v>1899</v>
      </c>
      <c r="AT34" s="6" t="n">
        <v>1899</v>
      </c>
      <c r="AU34" s="6" t="n">
        <v>1899</v>
      </c>
      <c r="AV34" s="6" t="n">
        <v>1799</v>
      </c>
      <c r="AW34" s="6" t="n">
        <v>1799</v>
      </c>
      <c r="AX34" s="6" t="n">
        <v>1799</v>
      </c>
      <c r="AY34" s="6" t="n">
        <v>1700</v>
      </c>
      <c r="AZ34" s="6" t="n">
        <v>1500</v>
      </c>
      <c r="BA34" s="6" t="n">
        <v>1535</v>
      </c>
      <c r="BB34" s="6" t="n">
        <v>1590</v>
      </c>
      <c r="BC34" s="6" t="n">
        <v>1500</v>
      </c>
      <c r="BD34" s="6" t="n">
        <v>1500</v>
      </c>
      <c r="BE34" s="6" t="n">
        <v>1500</v>
      </c>
      <c r="BF34" s="6" t="n">
        <v>1523</v>
      </c>
      <c r="BG34" s="6" t="n">
        <v>1500</v>
      </c>
      <c r="BH34" s="6" t="n">
        <v>1500</v>
      </c>
      <c r="BI34" s="6" t="n">
        <v>1900</v>
      </c>
      <c r="BJ34" s="6" t="n">
        <v>2000</v>
      </c>
      <c r="BK34" s="6" t="n">
        <v>2401</v>
      </c>
      <c r="BL34" s="6" t="n">
        <v>2601</v>
      </c>
      <c r="BM34" s="6" t="n">
        <v>3200</v>
      </c>
      <c r="BN34" s="6" t="n">
        <v>3400</v>
      </c>
      <c r="BO34" s="6" t="n">
        <v>3600</v>
      </c>
      <c r="BP34" s="6" t="n">
        <v>3671</v>
      </c>
      <c r="BQ34" s="6" t="n">
        <v>3700</v>
      </c>
      <c r="BR34" s="6" t="n">
        <v>3701</v>
      </c>
      <c r="BS34" s="6" t="n">
        <v>4000</v>
      </c>
      <c r="BT34" s="6" t="n">
        <v>4021</v>
      </c>
      <c r="BU34" s="6" t="n">
        <v>4200</v>
      </c>
      <c r="BV34" s="6" t="n">
        <v>4201</v>
      </c>
      <c r="BW34" s="6" t="n">
        <v>10000</v>
      </c>
      <c r="BX34" s="6" t="n">
        <v>10000</v>
      </c>
      <c r="BY34" s="6" t="n">
        <v>10000</v>
      </c>
      <c r="BZ34" s="6" t="n">
        <v>10000</v>
      </c>
      <c r="CA34" s="6" t="n">
        <v>10000</v>
      </c>
      <c r="CB34" s="6" t="n">
        <v>10000</v>
      </c>
      <c r="CC34" s="6" t="n">
        <v>10000</v>
      </c>
      <c r="CD34" s="6" t="n">
        <v>10000</v>
      </c>
      <c r="CE34" s="6" t="n">
        <v>10000</v>
      </c>
      <c r="CF34" s="6" t="n">
        <v>10000</v>
      </c>
      <c r="CG34" s="6" t="n">
        <v>10000</v>
      </c>
      <c r="CH34" s="6" t="n">
        <v>10000</v>
      </c>
      <c r="CI34" s="6" t="n">
        <v>10000</v>
      </c>
      <c r="CJ34" s="6" t="n">
        <v>10000</v>
      </c>
      <c r="CK34" s="6" t="n">
        <v>10000</v>
      </c>
      <c r="CL34" s="6" t="n">
        <v>10000</v>
      </c>
      <c r="CM34" s="6" t="n">
        <v>10000</v>
      </c>
      <c r="CN34" s="6" t="n">
        <v>10000</v>
      </c>
      <c r="CO34" s="6" t="n">
        <v>10000</v>
      </c>
      <c r="CP34" s="6" t="n">
        <v>10000</v>
      </c>
      <c r="CQ34" s="6" t="n">
        <v>10000</v>
      </c>
      <c r="CR34" s="6" t="n">
        <v>10000</v>
      </c>
      <c r="CS34" s="6" t="n">
        <v>10000</v>
      </c>
      <c r="CT34" s="6" t="n">
        <v>10000</v>
      </c>
      <c r="CU34" s="6" t="n">
        <v>10000</v>
      </c>
      <c r="CV34" s="6" t="n">
        <v>10000</v>
      </c>
      <c r="CW34" s="6" t="n">
        <v>10000</v>
      </c>
      <c r="CX34" s="6" t="n">
        <v>10000</v>
      </c>
      <c r="CY34" s="6" t="n">
        <v>10000</v>
      </c>
      <c r="CZ34" s="6" t="n">
        <v>10000</v>
      </c>
      <c r="DA34" s="6" t="n">
        <v>6001</v>
      </c>
      <c r="DB34" s="6" t="n">
        <v>6001</v>
      </c>
      <c r="DC34" s="6" t="n">
        <v>4999</v>
      </c>
      <c r="DD34" s="6" t="n">
        <v>4999</v>
      </c>
      <c r="DE34" s="6" t="n">
        <v>4999</v>
      </c>
      <c r="DF34" s="6" t="n">
        <v>4999</v>
      </c>
      <c r="DG34" s="6" t="n">
        <v>4999</v>
      </c>
      <c r="DH34" s="6" t="n">
        <v>4999</v>
      </c>
      <c r="DI34" s="6" t="n">
        <v>4999</v>
      </c>
      <c r="DJ34" s="6" t="n">
        <v>4999</v>
      </c>
      <c r="DK34" s="6" t="n">
        <v>5001</v>
      </c>
      <c r="DL34" s="6" t="n">
        <v>5500</v>
      </c>
      <c r="DM34" s="6" t="n">
        <v>5500</v>
      </c>
      <c r="DN34" s="6" t="n">
        <v>5000</v>
      </c>
      <c r="DO34" s="6" t="n">
        <v>5900</v>
      </c>
      <c r="DP34" s="6" t="n">
        <v>10000</v>
      </c>
      <c r="DQ34" s="6" t="n">
        <v>10000</v>
      </c>
      <c r="DR34" s="6" t="n">
        <v>10000</v>
      </c>
      <c r="DS34" s="6" t="n">
        <v>10000</v>
      </c>
      <c r="DT34" s="6" t="n">
        <v>10000</v>
      </c>
      <c r="DU34" s="6" t="n">
        <v>10000</v>
      </c>
      <c r="DV34" s="6" t="n">
        <v>10000</v>
      </c>
      <c r="DW34" s="6" t="n">
        <v>9999</v>
      </c>
      <c r="DX34" s="6" t="n">
        <v>7700</v>
      </c>
      <c r="DY34" s="6" t="n">
        <v>5499</v>
      </c>
      <c r="DZ34" s="6" t="n">
        <v>4601</v>
      </c>
      <c r="EA34" s="6" t="n">
        <v>4029</v>
      </c>
      <c r="EB34" s="6" t="n">
        <v>4080</v>
      </c>
      <c r="EC34" s="6" t="n">
        <v>3638</v>
      </c>
      <c r="ED34" s="6" t="n">
        <v>3201</v>
      </c>
      <c r="EE34" s="6" t="n">
        <v>3200</v>
      </c>
      <c r="EF34" s="6" t="n">
        <v>2800</v>
      </c>
      <c r="EG34" s="6" t="n">
        <v>2399</v>
      </c>
      <c r="EH34" s="6" t="n">
        <v>2051</v>
      </c>
      <c r="EI34" s="6" t="n">
        <v>1851</v>
      </c>
      <c r="EJ34" s="6" t="n">
        <v>1701</v>
      </c>
      <c r="EK34" s="6" t="n">
        <v>1899</v>
      </c>
      <c r="EL34" s="6" t="n">
        <v>1899</v>
      </c>
      <c r="EM34" s="6" t="n">
        <v>1899</v>
      </c>
      <c r="EN34" s="6" t="n">
        <v>1799</v>
      </c>
      <c r="EO34" s="6" t="n">
        <v>1799</v>
      </c>
      <c r="EP34" s="6" t="n">
        <v>1799</v>
      </c>
      <c r="EQ34" s="6" t="n">
        <v>1700</v>
      </c>
      <c r="ER34" s="6" t="n">
        <v>1500</v>
      </c>
      <c r="ES34" s="6" t="n">
        <v>1535</v>
      </c>
      <c r="ET34" s="6" t="n">
        <v>1590</v>
      </c>
      <c r="EU34" s="6" t="n">
        <v>1500</v>
      </c>
      <c r="EV34" s="6" t="n">
        <v>1500</v>
      </c>
      <c r="EW34" s="6" t="n">
        <v>1500</v>
      </c>
      <c r="EX34" s="6" t="n">
        <v>1523</v>
      </c>
      <c r="EY34" s="6" t="n">
        <v>1500</v>
      </c>
      <c r="EZ34" s="6" t="n">
        <v>1500</v>
      </c>
      <c r="FA34" s="6" t="n">
        <v>1900</v>
      </c>
      <c r="FB34" s="6" t="n">
        <v>2000</v>
      </c>
      <c r="FC34" s="6" t="n">
        <v>2401</v>
      </c>
      <c r="FD34" s="6" t="n">
        <v>2601</v>
      </c>
      <c r="FE34" s="6" t="n">
        <v>3200</v>
      </c>
      <c r="FF34" s="6" t="n">
        <v>3400</v>
      </c>
      <c r="FG34" s="6" t="n">
        <v>3600</v>
      </c>
      <c r="FH34" s="6" t="n">
        <v>3671</v>
      </c>
      <c r="FI34" s="6" t="n">
        <v>3700</v>
      </c>
      <c r="FJ34" s="6" t="n">
        <v>3701</v>
      </c>
      <c r="FK34" s="6" t="n">
        <v>4000</v>
      </c>
      <c r="FL34" s="6" t="n">
        <v>4021</v>
      </c>
      <c r="FM34" s="6" t="n">
        <v>4200</v>
      </c>
      <c r="FN34" s="6" t="n">
        <v>4201</v>
      </c>
      <c r="FO34" s="6" t="n">
        <v>10000</v>
      </c>
      <c r="FP34" s="6" t="n">
        <v>10000</v>
      </c>
      <c r="FQ34" s="6" t="n">
        <v>10000</v>
      </c>
      <c r="FR34" s="6" t="n">
        <v>10000</v>
      </c>
      <c r="FS34" s="6" t="n">
        <v>10000</v>
      </c>
      <c r="FT34" s="6" t="n">
        <v>10000</v>
      </c>
      <c r="FU34" s="6" t="n">
        <v>10000</v>
      </c>
      <c r="FV34" s="6" t="n">
        <v>10000</v>
      </c>
      <c r="FW34" s="6" t="n">
        <v>10000</v>
      </c>
      <c r="FX34" s="6" t="n">
        <v>10000</v>
      </c>
      <c r="FY34" s="6" t="n">
        <v>10000</v>
      </c>
      <c r="FZ34" s="6" t="n">
        <v>10000</v>
      </c>
      <c r="GA34" s="6" t="n">
        <v>10000</v>
      </c>
      <c r="GB34" s="6" t="n">
        <v>10000</v>
      </c>
      <c r="GC34" s="6" t="n">
        <v>10000</v>
      </c>
      <c r="GD34" s="6" t="n">
        <v>10000</v>
      </c>
      <c r="GE34" s="6" t="n">
        <v>10000</v>
      </c>
      <c r="GF34" s="6" t="n">
        <v>10000</v>
      </c>
      <c r="GG34" s="6" t="n">
        <v>10000</v>
      </c>
      <c r="GH34" s="6" t="n">
        <v>10000</v>
      </c>
      <c r="GI34" s="6" t="n">
        <v>10000</v>
      </c>
      <c r="GJ34" s="6" t="n">
        <v>10000</v>
      </c>
      <c r="GK34" s="6" t="n">
        <v>10000</v>
      </c>
      <c r="GL34" s="6" t="n">
        <v>10000</v>
      </c>
    </row>
    <row r="35">
      <c r="A35" s="6" t="inlineStr">
        <is>
          <t>GDAM</t>
        </is>
      </c>
      <c r="B35" s="6" t="n">
        <v>2</v>
      </c>
      <c r="C35" s="6" t="n">
        <v>10000</v>
      </c>
      <c r="D35" s="6" t="n">
        <v>10000</v>
      </c>
      <c r="E35" s="6" t="n">
        <v>10000</v>
      </c>
      <c r="F35" s="6" t="n">
        <v>10000</v>
      </c>
      <c r="G35" s="6" t="n">
        <v>10000</v>
      </c>
      <c r="H35" s="6" t="n">
        <v>10000</v>
      </c>
      <c r="I35" s="6" t="n">
        <v>10000</v>
      </c>
      <c r="J35" s="6" t="n">
        <v>10000</v>
      </c>
      <c r="K35" s="6" t="n">
        <v>6501</v>
      </c>
      <c r="L35" s="6" t="n">
        <v>6501</v>
      </c>
      <c r="M35" s="6" t="n">
        <v>6501</v>
      </c>
      <c r="N35" s="6" t="n">
        <v>6501</v>
      </c>
      <c r="O35" s="6" t="n">
        <v>6501</v>
      </c>
      <c r="P35" s="6" t="n">
        <v>6501</v>
      </c>
      <c r="Q35" s="6" t="n">
        <v>6500</v>
      </c>
      <c r="R35" s="6" t="n">
        <v>6501</v>
      </c>
      <c r="S35" s="6" t="n">
        <v>6500</v>
      </c>
      <c r="T35" s="6" t="n">
        <v>6501</v>
      </c>
      <c r="U35" s="6" t="n">
        <v>6501</v>
      </c>
      <c r="V35" s="6" t="n">
        <v>10000</v>
      </c>
      <c r="W35" s="6" t="n">
        <v>10000</v>
      </c>
      <c r="X35" s="6" t="n">
        <v>10000</v>
      </c>
      <c r="Y35" s="6" t="n">
        <v>10000</v>
      </c>
      <c r="Z35" s="6" t="n">
        <v>10000</v>
      </c>
      <c r="AA35" s="6" t="n">
        <v>10000</v>
      </c>
      <c r="AB35" s="6" t="n">
        <v>10000</v>
      </c>
      <c r="AC35" s="6" t="n">
        <v>10000</v>
      </c>
      <c r="AD35" s="6" t="n">
        <v>10000</v>
      </c>
      <c r="AE35" s="6" t="n">
        <v>10000</v>
      </c>
      <c r="AF35" s="6" t="n">
        <v>10000</v>
      </c>
      <c r="AG35" s="6" t="n">
        <v>8363</v>
      </c>
      <c r="AH35" s="6" t="n">
        <v>5909</v>
      </c>
      <c r="AI35" s="6" t="n">
        <v>4028</v>
      </c>
      <c r="AJ35" s="6" t="n">
        <v>4000</v>
      </c>
      <c r="AK35" s="6" t="n">
        <v>3839</v>
      </c>
      <c r="AL35" s="6" t="n">
        <v>3340</v>
      </c>
      <c r="AM35" s="6" t="n">
        <v>3113</v>
      </c>
      <c r="AN35" s="6" t="n">
        <v>2901</v>
      </c>
      <c r="AO35" s="6" t="n">
        <v>2500</v>
      </c>
      <c r="AP35" s="6" t="n">
        <v>2300</v>
      </c>
      <c r="AQ35" s="6" t="n">
        <v>2109</v>
      </c>
      <c r="AR35" s="6" t="n">
        <v>2000</v>
      </c>
      <c r="AS35" s="6" t="n">
        <v>2148</v>
      </c>
      <c r="AT35" s="6" t="n">
        <v>2148</v>
      </c>
      <c r="AU35" s="6" t="n">
        <v>2148</v>
      </c>
      <c r="AV35" s="6" t="n">
        <v>2049</v>
      </c>
      <c r="AW35" s="6" t="n">
        <v>2001</v>
      </c>
      <c r="AX35" s="6" t="n">
        <v>2001</v>
      </c>
      <c r="AY35" s="6" t="n">
        <v>1901</v>
      </c>
      <c r="AZ35" s="6" t="n">
        <v>1750</v>
      </c>
      <c r="BA35" s="6" t="n">
        <v>1740</v>
      </c>
      <c r="BB35" s="6" t="n">
        <v>1539</v>
      </c>
      <c r="BC35" s="6" t="n">
        <v>1401</v>
      </c>
      <c r="BD35" s="6" t="n">
        <v>1401</v>
      </c>
      <c r="BE35" s="6" t="n">
        <v>1740</v>
      </c>
      <c r="BF35" s="6" t="n">
        <v>1772</v>
      </c>
      <c r="BG35" s="6" t="n">
        <v>1749</v>
      </c>
      <c r="BH35" s="6" t="n">
        <v>1813</v>
      </c>
      <c r="BI35" s="6" t="n">
        <v>2149</v>
      </c>
      <c r="BJ35" s="6" t="n">
        <v>2101</v>
      </c>
      <c r="BK35" s="6" t="n">
        <v>2250</v>
      </c>
      <c r="BL35" s="6" t="n">
        <v>2331</v>
      </c>
      <c r="BM35" s="6" t="n">
        <v>2550</v>
      </c>
      <c r="BN35" s="6" t="n">
        <v>2999</v>
      </c>
      <c r="BO35" s="6" t="n">
        <v>3251</v>
      </c>
      <c r="BP35" s="6" t="n">
        <v>3400</v>
      </c>
      <c r="BQ35" s="6" t="n">
        <v>3500</v>
      </c>
      <c r="BR35" s="6" t="n">
        <v>3545</v>
      </c>
      <c r="BS35" s="6" t="n">
        <v>3999</v>
      </c>
      <c r="BT35" s="6" t="n">
        <v>4020</v>
      </c>
      <c r="BU35" s="6" t="n">
        <v>4200</v>
      </c>
      <c r="BV35" s="6" t="n">
        <v>4500</v>
      </c>
      <c r="BW35" s="6" t="n">
        <v>10000</v>
      </c>
      <c r="BX35" s="6" t="n">
        <v>10000</v>
      </c>
      <c r="BY35" s="6" t="n">
        <v>10000</v>
      </c>
      <c r="BZ35" s="6" t="n">
        <v>10000</v>
      </c>
      <c r="CA35" s="6" t="n">
        <v>10000</v>
      </c>
      <c r="CB35" s="6" t="n">
        <v>10000</v>
      </c>
      <c r="CC35" s="6" t="n">
        <v>10000</v>
      </c>
      <c r="CD35" s="6" t="n">
        <v>10000</v>
      </c>
      <c r="CE35" s="6" t="n">
        <v>10000</v>
      </c>
      <c r="CF35" s="6" t="n">
        <v>10000</v>
      </c>
      <c r="CG35" s="6" t="n">
        <v>10000</v>
      </c>
      <c r="CH35" s="6" t="n">
        <v>10000</v>
      </c>
      <c r="CI35" s="6" t="n">
        <v>10000</v>
      </c>
      <c r="CJ35" s="6" t="n">
        <v>10000</v>
      </c>
      <c r="CK35" s="6" t="n">
        <v>10000</v>
      </c>
      <c r="CL35" s="6" t="n">
        <v>10000</v>
      </c>
      <c r="CM35" s="6" t="n">
        <v>10000</v>
      </c>
      <c r="CN35" s="6" t="n">
        <v>10000</v>
      </c>
      <c r="CO35" s="6" t="n">
        <v>10000</v>
      </c>
      <c r="CP35" s="6" t="n">
        <v>10000</v>
      </c>
      <c r="CQ35" s="6" t="n">
        <v>10000</v>
      </c>
      <c r="CR35" s="6" t="n">
        <v>10000</v>
      </c>
      <c r="CS35" s="6" t="n">
        <v>10000</v>
      </c>
      <c r="CT35" s="6" t="n">
        <v>10000</v>
      </c>
      <c r="CU35" s="6" t="n">
        <v>10000</v>
      </c>
      <c r="CV35" s="6" t="n">
        <v>10000</v>
      </c>
      <c r="CW35" s="6" t="n">
        <v>10000</v>
      </c>
      <c r="CX35" s="6" t="n">
        <v>10000</v>
      </c>
      <c r="CY35" s="6" t="n">
        <v>10000</v>
      </c>
      <c r="CZ35" s="6" t="n">
        <v>10000</v>
      </c>
      <c r="DA35" s="6" t="n">
        <v>10000</v>
      </c>
      <c r="DB35" s="6" t="n">
        <v>10000</v>
      </c>
      <c r="DC35" s="6" t="n">
        <v>6501</v>
      </c>
      <c r="DD35" s="6" t="n">
        <v>6501</v>
      </c>
      <c r="DE35" s="6" t="n">
        <v>6501</v>
      </c>
      <c r="DF35" s="6" t="n">
        <v>6501</v>
      </c>
      <c r="DG35" s="6" t="n">
        <v>6501</v>
      </c>
      <c r="DH35" s="6" t="n">
        <v>6501</v>
      </c>
      <c r="DI35" s="6" t="n">
        <v>6500</v>
      </c>
      <c r="DJ35" s="6" t="n">
        <v>6501</v>
      </c>
      <c r="DK35" s="6" t="n">
        <v>6500</v>
      </c>
      <c r="DL35" s="6" t="n">
        <v>6501</v>
      </c>
      <c r="DM35" s="6" t="n">
        <v>6501</v>
      </c>
      <c r="DN35" s="6" t="n">
        <v>10000</v>
      </c>
      <c r="DO35" s="6" t="n">
        <v>10000</v>
      </c>
      <c r="DP35" s="6" t="n">
        <v>10000</v>
      </c>
      <c r="DQ35" s="6" t="n">
        <v>10000</v>
      </c>
      <c r="DR35" s="6" t="n">
        <v>10000</v>
      </c>
      <c r="DS35" s="6" t="n">
        <v>10000</v>
      </c>
      <c r="DT35" s="6" t="n">
        <v>10000</v>
      </c>
      <c r="DU35" s="6" t="n">
        <v>10000</v>
      </c>
      <c r="DV35" s="6" t="n">
        <v>10000</v>
      </c>
      <c r="DW35" s="6" t="n">
        <v>10000</v>
      </c>
      <c r="DX35" s="6" t="n">
        <v>10000</v>
      </c>
      <c r="DY35" s="6" t="n">
        <v>8363</v>
      </c>
      <c r="DZ35" s="6" t="n">
        <v>5909</v>
      </c>
      <c r="EA35" s="6" t="n">
        <v>4028</v>
      </c>
      <c r="EB35" s="6" t="n">
        <v>4000</v>
      </c>
      <c r="EC35" s="6" t="n">
        <v>3839</v>
      </c>
      <c r="ED35" s="6" t="n">
        <v>3340</v>
      </c>
      <c r="EE35" s="6" t="n">
        <v>3113</v>
      </c>
      <c r="EF35" s="6" t="n">
        <v>2901</v>
      </c>
      <c r="EG35" s="6" t="n">
        <v>2500</v>
      </c>
      <c r="EH35" s="6" t="n">
        <v>2300</v>
      </c>
      <c r="EI35" s="6" t="n">
        <v>2109</v>
      </c>
      <c r="EJ35" s="6" t="n">
        <v>2000</v>
      </c>
      <c r="EK35" s="6" t="n">
        <v>2148</v>
      </c>
      <c r="EL35" s="6" t="n">
        <v>2148</v>
      </c>
      <c r="EM35" s="6" t="n">
        <v>2148</v>
      </c>
      <c r="EN35" s="6" t="n">
        <v>2049</v>
      </c>
      <c r="EO35" s="6" t="n">
        <v>2001</v>
      </c>
      <c r="EP35" s="6" t="n">
        <v>2001</v>
      </c>
      <c r="EQ35" s="6" t="n">
        <v>1901</v>
      </c>
      <c r="ER35" s="6" t="n">
        <v>1750</v>
      </c>
      <c r="ES35" s="6" t="n">
        <v>1740</v>
      </c>
      <c r="ET35" s="6" t="n">
        <v>1539</v>
      </c>
      <c r="EU35" s="6" t="n">
        <v>1401</v>
      </c>
      <c r="EV35" s="6" t="n">
        <v>1401</v>
      </c>
      <c r="EW35" s="6" t="n">
        <v>1740</v>
      </c>
      <c r="EX35" s="6" t="n">
        <v>1772</v>
      </c>
      <c r="EY35" s="6" t="n">
        <v>1749</v>
      </c>
      <c r="EZ35" s="6" t="n">
        <v>1813</v>
      </c>
      <c r="FA35" s="6" t="n">
        <v>2149</v>
      </c>
      <c r="FB35" s="6" t="n">
        <v>2101</v>
      </c>
      <c r="FC35" s="6" t="n">
        <v>2250</v>
      </c>
      <c r="FD35" s="6" t="n">
        <v>2331</v>
      </c>
      <c r="FE35" s="6" t="n">
        <v>2550</v>
      </c>
      <c r="FF35" s="6" t="n">
        <v>2999</v>
      </c>
      <c r="FG35" s="6" t="n">
        <v>3251</v>
      </c>
      <c r="FH35" s="6" t="n">
        <v>3400</v>
      </c>
      <c r="FI35" s="6" t="n">
        <v>3500</v>
      </c>
      <c r="FJ35" s="6" t="n">
        <v>3545</v>
      </c>
      <c r="FK35" s="6" t="n">
        <v>3999</v>
      </c>
      <c r="FL35" s="6" t="n">
        <v>4020</v>
      </c>
      <c r="FM35" s="6" t="n">
        <v>4200</v>
      </c>
      <c r="FN35" s="6" t="n">
        <v>4500</v>
      </c>
      <c r="FO35" s="6" t="n">
        <v>10000</v>
      </c>
      <c r="FP35" s="6" t="n">
        <v>10000</v>
      </c>
      <c r="FQ35" s="6" t="n">
        <v>10000</v>
      </c>
      <c r="FR35" s="6" t="n">
        <v>10000</v>
      </c>
      <c r="FS35" s="6" t="n">
        <v>10000</v>
      </c>
      <c r="FT35" s="6" t="n">
        <v>10000</v>
      </c>
      <c r="FU35" s="6" t="n">
        <v>10000</v>
      </c>
      <c r="FV35" s="6" t="n">
        <v>10000</v>
      </c>
      <c r="FW35" s="6" t="n">
        <v>10000</v>
      </c>
      <c r="FX35" s="6" t="n">
        <v>10000</v>
      </c>
      <c r="FY35" s="6" t="n">
        <v>10000</v>
      </c>
      <c r="FZ35" s="6" t="n">
        <v>10000</v>
      </c>
      <c r="GA35" s="6" t="n">
        <v>10000</v>
      </c>
      <c r="GB35" s="6" t="n">
        <v>10000</v>
      </c>
      <c r="GC35" s="6" t="n">
        <v>10000</v>
      </c>
      <c r="GD35" s="6" t="n">
        <v>10000</v>
      </c>
      <c r="GE35" s="6" t="n">
        <v>10000</v>
      </c>
      <c r="GF35" s="6" t="n">
        <v>10000</v>
      </c>
      <c r="GG35" s="6" t="n">
        <v>10000</v>
      </c>
      <c r="GH35" s="6" t="n">
        <v>10000</v>
      </c>
      <c r="GI35" s="6" t="n">
        <v>10000</v>
      </c>
      <c r="GJ35" s="6" t="n">
        <v>10000</v>
      </c>
      <c r="GK35" s="6" t="n">
        <v>10000</v>
      </c>
      <c r="GL35" s="6" t="n">
        <v>10000</v>
      </c>
    </row>
    <row r="36">
      <c r="A36" s="6" t="inlineStr">
        <is>
          <t>GDAM</t>
        </is>
      </c>
      <c r="B36" s="6" t="n">
        <v>3</v>
      </c>
      <c r="C36" s="6" t="n">
        <v>10000</v>
      </c>
      <c r="D36" s="6" t="n">
        <v>10000</v>
      </c>
      <c r="E36" s="6" t="n">
        <v>10000</v>
      </c>
      <c r="F36" s="6" t="n">
        <v>10000</v>
      </c>
      <c r="G36" s="6" t="n">
        <v>10000</v>
      </c>
      <c r="H36" s="6" t="n">
        <v>10000</v>
      </c>
      <c r="I36" s="6" t="n">
        <v>10000</v>
      </c>
      <c r="J36" s="6" t="n">
        <v>10000</v>
      </c>
      <c r="K36" s="6" t="n">
        <v>10000</v>
      </c>
      <c r="L36" s="6" t="n">
        <v>10000</v>
      </c>
      <c r="M36" s="6" t="n">
        <v>10000</v>
      </c>
      <c r="N36" s="6" t="n">
        <v>10000</v>
      </c>
      <c r="O36" s="6" t="n">
        <v>10000</v>
      </c>
      <c r="P36" s="6" t="n">
        <v>10000</v>
      </c>
      <c r="Q36" s="6" t="n">
        <v>10000</v>
      </c>
      <c r="R36" s="6" t="n">
        <v>10000</v>
      </c>
      <c r="S36" s="6" t="n">
        <v>10000</v>
      </c>
      <c r="T36" s="6" t="n">
        <v>10000</v>
      </c>
      <c r="U36" s="6" t="n">
        <v>10000</v>
      </c>
      <c r="V36" s="6" t="n">
        <v>10000</v>
      </c>
      <c r="W36" s="6" t="n">
        <v>10000</v>
      </c>
      <c r="X36" s="6" t="n">
        <v>10000</v>
      </c>
      <c r="Y36" s="6" t="n">
        <v>10000</v>
      </c>
      <c r="Z36" s="6" t="n">
        <v>10000</v>
      </c>
      <c r="AA36" s="6" t="n">
        <v>10000</v>
      </c>
      <c r="AB36" s="6" t="n">
        <v>10000</v>
      </c>
      <c r="AC36" s="6" t="n">
        <v>10000</v>
      </c>
      <c r="AD36" s="6" t="n">
        <v>10000</v>
      </c>
      <c r="AE36" s="6" t="n">
        <v>10000</v>
      </c>
      <c r="AF36" s="6" t="n">
        <v>10000</v>
      </c>
      <c r="AG36" s="6" t="n">
        <v>10000</v>
      </c>
      <c r="AH36" s="6" t="n">
        <v>9999</v>
      </c>
      <c r="AI36" s="6" t="n">
        <v>6200</v>
      </c>
      <c r="AJ36" s="6" t="n">
        <v>5542</v>
      </c>
      <c r="AK36" s="6" t="n">
        <v>5001</v>
      </c>
      <c r="AL36" s="6" t="n">
        <v>4150</v>
      </c>
      <c r="AM36" s="6" t="n">
        <v>3869</v>
      </c>
      <c r="AN36" s="6" t="n">
        <v>3590</v>
      </c>
      <c r="AO36" s="6" t="n">
        <v>3349</v>
      </c>
      <c r="AP36" s="6" t="n">
        <v>3051</v>
      </c>
      <c r="AQ36" s="6" t="n">
        <v>2400</v>
      </c>
      <c r="AR36" s="6" t="n">
        <v>2400</v>
      </c>
      <c r="AS36" s="6" t="n">
        <v>2500</v>
      </c>
      <c r="AT36" s="6" t="n">
        <v>2500</v>
      </c>
      <c r="AU36" s="6" t="n">
        <v>2401</v>
      </c>
      <c r="AV36" s="6" t="n">
        <v>2401</v>
      </c>
      <c r="AW36" s="6" t="n">
        <v>2400</v>
      </c>
      <c r="AX36" s="6" t="n">
        <v>2400</v>
      </c>
      <c r="AY36" s="6" t="n">
        <v>2101</v>
      </c>
      <c r="AZ36" s="6" t="n">
        <v>2100</v>
      </c>
      <c r="BA36" s="6" t="n">
        <v>2000</v>
      </c>
      <c r="BB36" s="6" t="n">
        <v>2000</v>
      </c>
      <c r="BC36" s="6" t="n">
        <v>2000</v>
      </c>
      <c r="BD36" s="6" t="n">
        <v>2000</v>
      </c>
      <c r="BE36" s="6" t="n">
        <v>2000</v>
      </c>
      <c r="BF36" s="6" t="n">
        <v>2001</v>
      </c>
      <c r="BG36" s="6" t="n">
        <v>2100</v>
      </c>
      <c r="BH36" s="6" t="n">
        <v>2280</v>
      </c>
      <c r="BI36" s="6" t="n">
        <v>2231</v>
      </c>
      <c r="BJ36" s="6" t="n">
        <v>2181</v>
      </c>
      <c r="BK36" s="6" t="n">
        <v>2600</v>
      </c>
      <c r="BL36" s="6" t="n">
        <v>2558</v>
      </c>
      <c r="BM36" s="6" t="n">
        <v>2895</v>
      </c>
      <c r="BN36" s="6" t="n">
        <v>3411</v>
      </c>
      <c r="BO36" s="6" t="n">
        <v>3700</v>
      </c>
      <c r="BP36" s="6" t="n">
        <v>3701</v>
      </c>
      <c r="BQ36" s="6" t="n">
        <v>3701</v>
      </c>
      <c r="BR36" s="6" t="n">
        <v>4000</v>
      </c>
      <c r="BS36" s="6" t="n">
        <v>5601</v>
      </c>
      <c r="BT36" s="6" t="n">
        <v>6000</v>
      </c>
      <c r="BU36" s="6" t="n">
        <v>9998</v>
      </c>
      <c r="BV36" s="6" t="n">
        <v>9999</v>
      </c>
      <c r="BW36" s="6" t="n">
        <v>10000</v>
      </c>
      <c r="BX36" s="6" t="n">
        <v>10000</v>
      </c>
      <c r="BY36" s="6" t="n">
        <v>10000</v>
      </c>
      <c r="BZ36" s="6" t="n">
        <v>10000</v>
      </c>
      <c r="CA36" s="6" t="n">
        <v>10000</v>
      </c>
      <c r="CB36" s="6" t="n">
        <v>10000</v>
      </c>
      <c r="CC36" s="6" t="n">
        <v>10000</v>
      </c>
      <c r="CD36" s="6" t="n">
        <v>10000</v>
      </c>
      <c r="CE36" s="6" t="n">
        <v>10000</v>
      </c>
      <c r="CF36" s="6" t="n">
        <v>10000</v>
      </c>
      <c r="CG36" s="6" t="n">
        <v>10000</v>
      </c>
      <c r="CH36" s="6" t="n">
        <v>10000</v>
      </c>
      <c r="CI36" s="6" t="n">
        <v>10000</v>
      </c>
      <c r="CJ36" s="6" t="n">
        <v>10000</v>
      </c>
      <c r="CK36" s="6" t="n">
        <v>10000</v>
      </c>
      <c r="CL36" s="6" t="n">
        <v>10000</v>
      </c>
      <c r="CM36" s="6" t="n">
        <v>10000</v>
      </c>
      <c r="CN36" s="6" t="n">
        <v>10000</v>
      </c>
      <c r="CO36" s="6" t="n">
        <v>10000</v>
      </c>
      <c r="CP36" s="6" t="n">
        <v>10000</v>
      </c>
      <c r="CQ36" s="6" t="n">
        <v>10000</v>
      </c>
      <c r="CR36" s="6" t="n">
        <v>10000</v>
      </c>
      <c r="CS36" s="6" t="n">
        <v>10000</v>
      </c>
      <c r="CT36" s="6" t="n">
        <v>10000</v>
      </c>
      <c r="CU36" s="6" t="n">
        <v>10000</v>
      </c>
      <c r="CV36" s="6" t="n">
        <v>10000</v>
      </c>
      <c r="CW36" s="6" t="n">
        <v>10000</v>
      </c>
      <c r="CX36" s="6" t="n">
        <v>10000</v>
      </c>
      <c r="CY36" s="6" t="n">
        <v>10000</v>
      </c>
      <c r="CZ36" s="6" t="n">
        <v>10000</v>
      </c>
      <c r="DA36" s="6" t="n">
        <v>10000</v>
      </c>
      <c r="DB36" s="6" t="n">
        <v>10000</v>
      </c>
      <c r="DC36" s="6" t="n">
        <v>10000</v>
      </c>
      <c r="DD36" s="6" t="n">
        <v>10000</v>
      </c>
      <c r="DE36" s="6" t="n">
        <v>10000</v>
      </c>
      <c r="DF36" s="6" t="n">
        <v>10000</v>
      </c>
      <c r="DG36" s="6" t="n">
        <v>10000</v>
      </c>
      <c r="DH36" s="6" t="n">
        <v>10000</v>
      </c>
      <c r="DI36" s="6" t="n">
        <v>10000</v>
      </c>
      <c r="DJ36" s="6" t="n">
        <v>10000</v>
      </c>
      <c r="DK36" s="6" t="n">
        <v>10000</v>
      </c>
      <c r="DL36" s="6" t="n">
        <v>10000</v>
      </c>
      <c r="DM36" s="6" t="n">
        <v>10000</v>
      </c>
      <c r="DN36" s="6" t="n">
        <v>10000</v>
      </c>
      <c r="DO36" s="6" t="n">
        <v>10000</v>
      </c>
      <c r="DP36" s="6" t="n">
        <v>10000</v>
      </c>
      <c r="DQ36" s="6" t="n">
        <v>10000</v>
      </c>
      <c r="DR36" s="6" t="n">
        <v>10000</v>
      </c>
      <c r="DS36" s="6" t="n">
        <v>10000</v>
      </c>
      <c r="DT36" s="6" t="n">
        <v>10000</v>
      </c>
      <c r="DU36" s="6" t="n">
        <v>10000</v>
      </c>
      <c r="DV36" s="6" t="n">
        <v>10000</v>
      </c>
      <c r="DW36" s="6" t="n">
        <v>10000</v>
      </c>
      <c r="DX36" s="6" t="n">
        <v>10000</v>
      </c>
      <c r="DY36" s="6" t="n">
        <v>10000</v>
      </c>
      <c r="DZ36" s="6" t="n">
        <v>9999</v>
      </c>
      <c r="EA36" s="6" t="n">
        <v>6200</v>
      </c>
      <c r="EB36" s="6" t="n">
        <v>5542</v>
      </c>
      <c r="EC36" s="6" t="n">
        <v>5001</v>
      </c>
      <c r="ED36" s="6" t="n">
        <v>4150</v>
      </c>
      <c r="EE36" s="6" t="n">
        <v>3869</v>
      </c>
      <c r="EF36" s="6" t="n">
        <v>3590</v>
      </c>
      <c r="EG36" s="6" t="n">
        <v>3349</v>
      </c>
      <c r="EH36" s="6" t="n">
        <v>3051</v>
      </c>
      <c r="EI36" s="6" t="n">
        <v>2400</v>
      </c>
      <c r="EJ36" s="6" t="n">
        <v>2400</v>
      </c>
      <c r="EK36" s="6" t="n">
        <v>2500</v>
      </c>
      <c r="EL36" s="6" t="n">
        <v>2500</v>
      </c>
      <c r="EM36" s="6" t="n">
        <v>2401</v>
      </c>
      <c r="EN36" s="6" t="n">
        <v>2401</v>
      </c>
      <c r="EO36" s="6" t="n">
        <v>2400</v>
      </c>
      <c r="EP36" s="6" t="n">
        <v>2400</v>
      </c>
      <c r="EQ36" s="6" t="n">
        <v>2101</v>
      </c>
      <c r="ER36" s="6" t="n">
        <v>2100</v>
      </c>
      <c r="ES36" s="6" t="n">
        <v>2000</v>
      </c>
      <c r="ET36" s="6" t="n">
        <v>2000</v>
      </c>
      <c r="EU36" s="6" t="n">
        <v>2000</v>
      </c>
      <c r="EV36" s="6" t="n">
        <v>2000</v>
      </c>
      <c r="EW36" s="6" t="n">
        <v>2000</v>
      </c>
      <c r="EX36" s="6" t="n">
        <v>2001</v>
      </c>
      <c r="EY36" s="6" t="n">
        <v>2100</v>
      </c>
      <c r="EZ36" s="6" t="n">
        <v>2280</v>
      </c>
      <c r="FA36" s="6" t="n">
        <v>2231</v>
      </c>
      <c r="FB36" s="6" t="n">
        <v>2181</v>
      </c>
      <c r="FC36" s="6" t="n">
        <v>2600</v>
      </c>
      <c r="FD36" s="6" t="n">
        <v>2558</v>
      </c>
      <c r="FE36" s="6" t="n">
        <v>2895</v>
      </c>
      <c r="FF36" s="6" t="n">
        <v>3411</v>
      </c>
      <c r="FG36" s="6" t="n">
        <v>3700</v>
      </c>
      <c r="FH36" s="6" t="n">
        <v>3701</v>
      </c>
      <c r="FI36" s="6" t="n">
        <v>3701</v>
      </c>
      <c r="FJ36" s="6" t="n">
        <v>4000</v>
      </c>
      <c r="FK36" s="6" t="n">
        <v>5601</v>
      </c>
      <c r="FL36" s="6" t="n">
        <v>6000</v>
      </c>
      <c r="FM36" s="6" t="n">
        <v>9998</v>
      </c>
      <c r="FN36" s="6" t="n">
        <v>9999</v>
      </c>
      <c r="FO36" s="6" t="n">
        <v>10000</v>
      </c>
      <c r="FP36" s="6" t="n">
        <v>10000</v>
      </c>
      <c r="FQ36" s="6" t="n">
        <v>10000</v>
      </c>
      <c r="FR36" s="6" t="n">
        <v>10000</v>
      </c>
      <c r="FS36" s="6" t="n">
        <v>10000</v>
      </c>
      <c r="FT36" s="6" t="n">
        <v>10000</v>
      </c>
      <c r="FU36" s="6" t="n">
        <v>10000</v>
      </c>
      <c r="FV36" s="6" t="n">
        <v>10000</v>
      </c>
      <c r="FW36" s="6" t="n">
        <v>10000</v>
      </c>
      <c r="FX36" s="6" t="n">
        <v>10000</v>
      </c>
      <c r="FY36" s="6" t="n">
        <v>10000</v>
      </c>
      <c r="FZ36" s="6" t="n">
        <v>10000</v>
      </c>
      <c r="GA36" s="6" t="n">
        <v>10000</v>
      </c>
      <c r="GB36" s="6" t="n">
        <v>10000</v>
      </c>
      <c r="GC36" s="6" t="n">
        <v>10000</v>
      </c>
      <c r="GD36" s="6" t="n">
        <v>10000</v>
      </c>
      <c r="GE36" s="6" t="n">
        <v>10000</v>
      </c>
      <c r="GF36" s="6" t="n">
        <v>10000</v>
      </c>
      <c r="GG36" s="6" t="n">
        <v>10000</v>
      </c>
      <c r="GH36" s="6" t="n">
        <v>10000</v>
      </c>
      <c r="GI36" s="6" t="n">
        <v>10000</v>
      </c>
      <c r="GJ36" s="6" t="n">
        <v>10000</v>
      </c>
      <c r="GK36" s="6" t="n">
        <v>10000</v>
      </c>
      <c r="GL36" s="6" t="n">
        <v>10000</v>
      </c>
    </row>
    <row r="37">
      <c r="A37" s="6" t="inlineStr">
        <is>
          <t>GDAM</t>
        </is>
      </c>
      <c r="B37" s="6" t="n">
        <v>4</v>
      </c>
      <c r="C37" s="6" t="n">
        <v>10000</v>
      </c>
      <c r="D37" s="6" t="n">
        <v>10000</v>
      </c>
      <c r="E37" s="6" t="n">
        <v>10000</v>
      </c>
      <c r="F37" s="6" t="n">
        <v>10000</v>
      </c>
      <c r="G37" s="6" t="n">
        <v>10000</v>
      </c>
      <c r="H37" s="6" t="n">
        <v>10000</v>
      </c>
      <c r="I37" s="6" t="n">
        <v>10000</v>
      </c>
      <c r="J37" s="6" t="n">
        <v>10000</v>
      </c>
      <c r="K37" s="6" t="n">
        <v>10000</v>
      </c>
      <c r="L37" s="6" t="n">
        <v>10000</v>
      </c>
      <c r="M37" s="6" t="n">
        <v>10000</v>
      </c>
      <c r="N37" s="6" t="n">
        <v>10000</v>
      </c>
      <c r="O37" s="6" t="n">
        <v>10000</v>
      </c>
      <c r="P37" s="6" t="n">
        <v>10000</v>
      </c>
      <c r="Q37" s="6" t="n">
        <v>10000</v>
      </c>
      <c r="R37" s="6" t="n">
        <v>10000</v>
      </c>
      <c r="S37" s="6" t="n">
        <v>10000</v>
      </c>
      <c r="T37" s="6" t="n">
        <v>10000</v>
      </c>
      <c r="U37" s="6" t="n">
        <v>10000</v>
      </c>
      <c r="V37" s="6" t="n">
        <v>10000</v>
      </c>
      <c r="W37" s="6" t="n">
        <v>10000</v>
      </c>
      <c r="X37" s="6" t="n">
        <v>10000</v>
      </c>
      <c r="Y37" s="6" t="n">
        <v>10000</v>
      </c>
      <c r="Z37" s="6" t="n">
        <v>10000</v>
      </c>
      <c r="AA37" s="6" t="n">
        <v>10000</v>
      </c>
      <c r="AB37" s="6" t="n">
        <v>10000</v>
      </c>
      <c r="AC37" s="6" t="n">
        <v>10000</v>
      </c>
      <c r="AD37" s="6" t="n">
        <v>10000</v>
      </c>
      <c r="AE37" s="6" t="n">
        <v>10000</v>
      </c>
      <c r="AF37" s="6" t="n">
        <v>10000</v>
      </c>
      <c r="AG37" s="6" t="n">
        <v>10000</v>
      </c>
      <c r="AH37" s="6" t="n">
        <v>9999</v>
      </c>
      <c r="AI37" s="6" t="n">
        <v>8600</v>
      </c>
      <c r="AJ37" s="6" t="n">
        <v>7999</v>
      </c>
      <c r="AK37" s="6" t="n">
        <v>6901</v>
      </c>
      <c r="AL37" s="6" t="n">
        <v>4912</v>
      </c>
      <c r="AM37" s="6" t="n">
        <v>4117</v>
      </c>
      <c r="AN37" s="6" t="n">
        <v>3711</v>
      </c>
      <c r="AO37" s="6" t="n">
        <v>3348</v>
      </c>
      <c r="AP37" s="6" t="n">
        <v>3066</v>
      </c>
      <c r="AQ37" s="6" t="n">
        <v>2513</v>
      </c>
      <c r="AR37" s="6" t="n">
        <v>2400</v>
      </c>
      <c r="AS37" s="6" t="n">
        <v>2500</v>
      </c>
      <c r="AT37" s="6" t="n">
        <v>2500</v>
      </c>
      <c r="AU37" s="6" t="n">
        <v>2439</v>
      </c>
      <c r="AV37" s="6" t="n">
        <v>2401</v>
      </c>
      <c r="AW37" s="6" t="n">
        <v>2401</v>
      </c>
      <c r="AX37" s="6" t="n">
        <v>2400</v>
      </c>
      <c r="AY37" s="6" t="n">
        <v>2240</v>
      </c>
      <c r="AZ37" s="6" t="n">
        <v>2201</v>
      </c>
      <c r="BA37" s="6" t="n">
        <v>2041</v>
      </c>
      <c r="BB37" s="6" t="n">
        <v>2000</v>
      </c>
      <c r="BC37" s="6" t="n">
        <v>2000</v>
      </c>
      <c r="BD37" s="6" t="n">
        <v>2000</v>
      </c>
      <c r="BE37" s="6" t="n">
        <v>2041</v>
      </c>
      <c r="BF37" s="6" t="n">
        <v>2041</v>
      </c>
      <c r="BG37" s="6" t="n">
        <v>2180</v>
      </c>
      <c r="BH37" s="6" t="n">
        <v>2280</v>
      </c>
      <c r="BI37" s="6" t="n">
        <v>2544</v>
      </c>
      <c r="BJ37" s="6" t="n">
        <v>2600</v>
      </c>
      <c r="BK37" s="6" t="n">
        <v>3256</v>
      </c>
      <c r="BL37" s="6" t="n">
        <v>3467</v>
      </c>
      <c r="BM37" s="6" t="n">
        <v>3499</v>
      </c>
      <c r="BN37" s="6" t="n">
        <v>3600</v>
      </c>
      <c r="BO37" s="6" t="n">
        <v>3652</v>
      </c>
      <c r="BP37" s="6" t="n">
        <v>4299</v>
      </c>
      <c r="BQ37" s="6" t="n">
        <v>5300</v>
      </c>
      <c r="BR37" s="6" t="n">
        <v>5300</v>
      </c>
      <c r="BS37" s="6" t="n">
        <v>6001</v>
      </c>
      <c r="BT37" s="6" t="n">
        <v>6500</v>
      </c>
      <c r="BU37" s="6" t="n">
        <v>8340</v>
      </c>
      <c r="BV37" s="6" t="n">
        <v>9999</v>
      </c>
      <c r="BW37" s="6" t="n">
        <v>10000</v>
      </c>
      <c r="BX37" s="6" t="n">
        <v>10000</v>
      </c>
      <c r="BY37" s="6" t="n">
        <v>10000</v>
      </c>
      <c r="BZ37" s="6" t="n">
        <v>10000</v>
      </c>
      <c r="CA37" s="6" t="n">
        <v>10000</v>
      </c>
      <c r="CB37" s="6" t="n">
        <v>10000</v>
      </c>
      <c r="CC37" s="6" t="n">
        <v>10000</v>
      </c>
      <c r="CD37" s="6" t="n">
        <v>10000</v>
      </c>
      <c r="CE37" s="6" t="n">
        <v>10000</v>
      </c>
      <c r="CF37" s="6" t="n">
        <v>10000</v>
      </c>
      <c r="CG37" s="6" t="n">
        <v>10000</v>
      </c>
      <c r="CH37" s="6" t="n">
        <v>10000</v>
      </c>
      <c r="CI37" s="6" t="n">
        <v>10000</v>
      </c>
      <c r="CJ37" s="6" t="n">
        <v>10000</v>
      </c>
      <c r="CK37" s="6" t="n">
        <v>10000</v>
      </c>
      <c r="CL37" s="6" t="n">
        <v>10000</v>
      </c>
      <c r="CM37" s="6" t="n">
        <v>10000</v>
      </c>
      <c r="CN37" s="6" t="n">
        <v>10000</v>
      </c>
      <c r="CO37" s="6" t="n">
        <v>10000</v>
      </c>
      <c r="CP37" s="6" t="n">
        <v>10000</v>
      </c>
      <c r="CQ37" s="6" t="n">
        <v>10000</v>
      </c>
      <c r="CR37" s="6" t="n">
        <v>10000</v>
      </c>
      <c r="CS37" s="6" t="n">
        <v>10000</v>
      </c>
      <c r="CT37" s="6" t="n">
        <v>10000</v>
      </c>
      <c r="CU37" s="6" t="n">
        <v>10000</v>
      </c>
      <c r="CV37" s="6" t="n">
        <v>10000</v>
      </c>
      <c r="CW37" s="6" t="n">
        <v>10000</v>
      </c>
      <c r="CX37" s="6" t="n">
        <v>10000</v>
      </c>
      <c r="CY37" s="6" t="n">
        <v>10000</v>
      </c>
      <c r="CZ37" s="6" t="n">
        <v>10000</v>
      </c>
      <c r="DA37" s="6" t="n">
        <v>10000</v>
      </c>
      <c r="DB37" s="6" t="n">
        <v>10000</v>
      </c>
      <c r="DC37" s="6" t="n">
        <v>10000</v>
      </c>
      <c r="DD37" s="6" t="n">
        <v>10000</v>
      </c>
      <c r="DE37" s="6" t="n">
        <v>10000</v>
      </c>
      <c r="DF37" s="6" t="n">
        <v>10000</v>
      </c>
      <c r="DG37" s="6" t="n">
        <v>10000</v>
      </c>
      <c r="DH37" s="6" t="n">
        <v>10000</v>
      </c>
      <c r="DI37" s="6" t="n">
        <v>10000</v>
      </c>
      <c r="DJ37" s="6" t="n">
        <v>10000</v>
      </c>
      <c r="DK37" s="6" t="n">
        <v>10000</v>
      </c>
      <c r="DL37" s="6" t="n">
        <v>10000</v>
      </c>
      <c r="DM37" s="6" t="n">
        <v>10000</v>
      </c>
      <c r="DN37" s="6" t="n">
        <v>10000</v>
      </c>
      <c r="DO37" s="6" t="n">
        <v>10000</v>
      </c>
      <c r="DP37" s="6" t="n">
        <v>10000</v>
      </c>
      <c r="DQ37" s="6" t="n">
        <v>10000</v>
      </c>
      <c r="DR37" s="6" t="n">
        <v>10000</v>
      </c>
      <c r="DS37" s="6" t="n">
        <v>10000</v>
      </c>
      <c r="DT37" s="6" t="n">
        <v>10000</v>
      </c>
      <c r="DU37" s="6" t="n">
        <v>10000</v>
      </c>
      <c r="DV37" s="6" t="n">
        <v>10000</v>
      </c>
      <c r="DW37" s="6" t="n">
        <v>10000</v>
      </c>
      <c r="DX37" s="6" t="n">
        <v>10000</v>
      </c>
      <c r="DY37" s="6" t="n">
        <v>10000</v>
      </c>
      <c r="DZ37" s="6" t="n">
        <v>9999</v>
      </c>
      <c r="EA37" s="6" t="n">
        <v>8600</v>
      </c>
      <c r="EB37" s="6" t="n">
        <v>7999</v>
      </c>
      <c r="EC37" s="6" t="n">
        <v>6901</v>
      </c>
      <c r="ED37" s="6" t="n">
        <v>4912</v>
      </c>
      <c r="EE37" s="6" t="n">
        <v>4117</v>
      </c>
      <c r="EF37" s="6" t="n">
        <v>3711</v>
      </c>
      <c r="EG37" s="6" t="n">
        <v>3348</v>
      </c>
      <c r="EH37" s="6" t="n">
        <v>3066</v>
      </c>
      <c r="EI37" s="6" t="n">
        <v>2513</v>
      </c>
      <c r="EJ37" s="6" t="n">
        <v>2400</v>
      </c>
      <c r="EK37" s="6" t="n">
        <v>2500</v>
      </c>
      <c r="EL37" s="6" t="n">
        <v>2500</v>
      </c>
      <c r="EM37" s="6" t="n">
        <v>2439</v>
      </c>
      <c r="EN37" s="6" t="n">
        <v>2401</v>
      </c>
      <c r="EO37" s="6" t="n">
        <v>2401</v>
      </c>
      <c r="EP37" s="6" t="n">
        <v>2400</v>
      </c>
      <c r="EQ37" s="6" t="n">
        <v>2240</v>
      </c>
      <c r="ER37" s="6" t="n">
        <v>2201</v>
      </c>
      <c r="ES37" s="6" t="n">
        <v>2041</v>
      </c>
      <c r="ET37" s="6" t="n">
        <v>2000</v>
      </c>
      <c r="EU37" s="6" t="n">
        <v>2000</v>
      </c>
      <c r="EV37" s="6" t="n">
        <v>2000</v>
      </c>
      <c r="EW37" s="6" t="n">
        <v>2041</v>
      </c>
      <c r="EX37" s="6" t="n">
        <v>2041</v>
      </c>
      <c r="EY37" s="6" t="n">
        <v>2180</v>
      </c>
      <c r="EZ37" s="6" t="n">
        <v>2280</v>
      </c>
      <c r="FA37" s="6" t="n">
        <v>2544</v>
      </c>
      <c r="FB37" s="6" t="n">
        <v>2600</v>
      </c>
      <c r="FC37" s="6" t="n">
        <v>3256</v>
      </c>
      <c r="FD37" s="6" t="n">
        <v>3467</v>
      </c>
      <c r="FE37" s="6" t="n">
        <v>3499</v>
      </c>
      <c r="FF37" s="6" t="n">
        <v>3600</v>
      </c>
      <c r="FG37" s="6" t="n">
        <v>3652</v>
      </c>
      <c r="FH37" s="6" t="n">
        <v>4299</v>
      </c>
      <c r="FI37" s="6" t="n">
        <v>5300</v>
      </c>
      <c r="FJ37" s="6" t="n">
        <v>5300</v>
      </c>
      <c r="FK37" s="6" t="n">
        <v>6001</v>
      </c>
      <c r="FL37" s="6" t="n">
        <v>6500</v>
      </c>
      <c r="FM37" s="6" t="n">
        <v>8340</v>
      </c>
      <c r="FN37" s="6" t="n">
        <v>9999</v>
      </c>
      <c r="FO37" s="6" t="n">
        <v>10000</v>
      </c>
      <c r="FP37" s="6" t="n">
        <v>10000</v>
      </c>
      <c r="FQ37" s="6" t="n">
        <v>10000</v>
      </c>
      <c r="FR37" s="6" t="n">
        <v>10000</v>
      </c>
      <c r="FS37" s="6" t="n">
        <v>10000</v>
      </c>
      <c r="FT37" s="6" t="n">
        <v>10000</v>
      </c>
      <c r="FU37" s="6" t="n">
        <v>10000</v>
      </c>
      <c r="FV37" s="6" t="n">
        <v>10000</v>
      </c>
      <c r="FW37" s="6" t="n">
        <v>10000</v>
      </c>
      <c r="FX37" s="6" t="n">
        <v>10000</v>
      </c>
      <c r="FY37" s="6" t="n">
        <v>10000</v>
      </c>
      <c r="FZ37" s="6" t="n">
        <v>10000</v>
      </c>
      <c r="GA37" s="6" t="n">
        <v>10000</v>
      </c>
      <c r="GB37" s="6" t="n">
        <v>10000</v>
      </c>
      <c r="GC37" s="6" t="n">
        <v>10000</v>
      </c>
      <c r="GD37" s="6" t="n">
        <v>10000</v>
      </c>
      <c r="GE37" s="6" t="n">
        <v>10000</v>
      </c>
      <c r="GF37" s="6" t="n">
        <v>10000</v>
      </c>
      <c r="GG37" s="6" t="n">
        <v>10000</v>
      </c>
      <c r="GH37" s="6" t="n">
        <v>10000</v>
      </c>
      <c r="GI37" s="6" t="n">
        <v>10000</v>
      </c>
      <c r="GJ37" s="6" t="n">
        <v>10000</v>
      </c>
      <c r="GK37" s="6" t="n">
        <v>10000</v>
      </c>
      <c r="GL37" s="6" t="n">
        <v>10000</v>
      </c>
    </row>
    <row r="38">
      <c r="A38" s="6" t="inlineStr">
        <is>
          <t>GDAM</t>
        </is>
      </c>
      <c r="B38" s="6" t="n">
        <v>5</v>
      </c>
      <c r="C38" s="6" t="n">
        <v>10000</v>
      </c>
      <c r="D38" s="6" t="n">
        <v>10000</v>
      </c>
      <c r="E38" s="6" t="n">
        <v>10000</v>
      </c>
      <c r="F38" s="6" t="n">
        <v>10000</v>
      </c>
      <c r="G38" s="6" t="n">
        <v>10000</v>
      </c>
      <c r="H38" s="6" t="n">
        <v>10000</v>
      </c>
      <c r="I38" s="6" t="n">
        <v>10000</v>
      </c>
      <c r="J38" s="6" t="n">
        <v>10000</v>
      </c>
      <c r="K38" s="6" t="n">
        <v>10000</v>
      </c>
      <c r="L38" s="6" t="n">
        <v>10000</v>
      </c>
      <c r="M38" s="6" t="n">
        <v>10000</v>
      </c>
      <c r="N38" s="6" t="n">
        <v>10000</v>
      </c>
      <c r="O38" s="6" t="n">
        <v>10000</v>
      </c>
      <c r="P38" s="6" t="n">
        <v>10000</v>
      </c>
      <c r="Q38" s="6" t="n">
        <v>10000</v>
      </c>
      <c r="R38" s="6" t="n">
        <v>10000</v>
      </c>
      <c r="S38" s="6" t="n">
        <v>10000</v>
      </c>
      <c r="T38" s="6" t="n">
        <v>10000</v>
      </c>
      <c r="U38" s="6" t="n">
        <v>10000</v>
      </c>
      <c r="V38" s="6" t="n">
        <v>10000</v>
      </c>
      <c r="W38" s="6" t="n">
        <v>10000</v>
      </c>
      <c r="X38" s="6" t="n">
        <v>10000</v>
      </c>
      <c r="Y38" s="6" t="n">
        <v>10000</v>
      </c>
      <c r="Z38" s="6" t="n">
        <v>10000</v>
      </c>
      <c r="AA38" s="6" t="n">
        <v>10000</v>
      </c>
      <c r="AB38" s="6" t="n">
        <v>10000</v>
      </c>
      <c r="AC38" s="6" t="n">
        <v>10000</v>
      </c>
      <c r="AD38" s="6" t="n">
        <v>10000</v>
      </c>
      <c r="AE38" s="6" t="n">
        <v>10000</v>
      </c>
      <c r="AF38" s="6" t="n">
        <v>10000</v>
      </c>
      <c r="AG38" s="6" t="n">
        <v>10000</v>
      </c>
      <c r="AH38" s="6" t="n">
        <v>10000</v>
      </c>
      <c r="AI38" s="6" t="n">
        <v>9998</v>
      </c>
      <c r="AJ38" s="6" t="n">
        <v>9339</v>
      </c>
      <c r="AK38" s="6" t="n">
        <v>4301</v>
      </c>
      <c r="AL38" s="6" t="n">
        <v>3811</v>
      </c>
      <c r="AM38" s="6" t="n">
        <v>3500</v>
      </c>
      <c r="AN38" s="6" t="n">
        <v>3201</v>
      </c>
      <c r="AO38" s="6" t="n">
        <v>2711</v>
      </c>
      <c r="AP38" s="6" t="n">
        <v>2711</v>
      </c>
      <c r="AQ38" s="6" t="n">
        <v>2520</v>
      </c>
      <c r="AR38" s="6" t="n">
        <v>2500</v>
      </c>
      <c r="AS38" s="6" t="n">
        <v>2500</v>
      </c>
      <c r="AT38" s="6" t="n">
        <v>2499</v>
      </c>
      <c r="AU38" s="6" t="n">
        <v>2499</v>
      </c>
      <c r="AV38" s="6" t="n">
        <v>2499</v>
      </c>
      <c r="AW38" s="6" t="n">
        <v>2401</v>
      </c>
      <c r="AX38" s="6" t="n">
        <v>2401</v>
      </c>
      <c r="AY38" s="6" t="n">
        <v>2501</v>
      </c>
      <c r="AZ38" s="6" t="n">
        <v>2512</v>
      </c>
      <c r="BA38" s="6" t="n">
        <v>2512</v>
      </c>
      <c r="BB38" s="6" t="n">
        <v>2513</v>
      </c>
      <c r="BC38" s="6" t="n">
        <v>2512</v>
      </c>
      <c r="BD38" s="6" t="n">
        <v>2519</v>
      </c>
      <c r="BE38" s="6" t="n">
        <v>2651</v>
      </c>
      <c r="BF38" s="6" t="n">
        <v>2750</v>
      </c>
      <c r="BG38" s="6" t="n">
        <v>2100</v>
      </c>
      <c r="BH38" s="6" t="n">
        <v>2901</v>
      </c>
      <c r="BI38" s="6" t="n">
        <v>2101</v>
      </c>
      <c r="BJ38" s="6" t="n">
        <v>2421</v>
      </c>
      <c r="BK38" s="6" t="n">
        <v>2710</v>
      </c>
      <c r="BL38" s="6" t="n">
        <v>2860</v>
      </c>
      <c r="BM38" s="6" t="n">
        <v>3000</v>
      </c>
      <c r="BN38" s="6" t="n">
        <v>3001</v>
      </c>
      <c r="BO38" s="6" t="n">
        <v>3467</v>
      </c>
      <c r="BP38" s="6" t="n">
        <v>3673</v>
      </c>
      <c r="BQ38" s="6" t="n">
        <v>3719</v>
      </c>
      <c r="BR38" s="6" t="n">
        <v>3866</v>
      </c>
      <c r="BS38" s="6" t="n">
        <v>6500</v>
      </c>
      <c r="BT38" s="6" t="n">
        <v>9998</v>
      </c>
      <c r="BU38" s="6" t="n">
        <v>10000</v>
      </c>
      <c r="BV38" s="6" t="n">
        <v>10000</v>
      </c>
      <c r="BW38" s="6" t="n">
        <v>10000</v>
      </c>
      <c r="BX38" s="6" t="n">
        <v>10000</v>
      </c>
      <c r="BY38" s="6" t="n">
        <v>10000</v>
      </c>
      <c r="BZ38" s="6" t="n">
        <v>10000</v>
      </c>
      <c r="CA38" s="6" t="n">
        <v>10000</v>
      </c>
      <c r="CB38" s="6" t="n">
        <v>10000</v>
      </c>
      <c r="CC38" s="6" t="n">
        <v>10000</v>
      </c>
      <c r="CD38" s="6" t="n">
        <v>10000</v>
      </c>
      <c r="CE38" s="6" t="n">
        <v>10000</v>
      </c>
      <c r="CF38" s="6" t="n">
        <v>10000</v>
      </c>
      <c r="CG38" s="6" t="n">
        <v>10000</v>
      </c>
      <c r="CH38" s="6" t="n">
        <v>10000</v>
      </c>
      <c r="CI38" s="6" t="n">
        <v>10000</v>
      </c>
      <c r="CJ38" s="6" t="n">
        <v>10000</v>
      </c>
      <c r="CK38" s="6" t="n">
        <v>10000</v>
      </c>
      <c r="CL38" s="6" t="n">
        <v>10000</v>
      </c>
      <c r="CM38" s="6" t="n">
        <v>10000</v>
      </c>
      <c r="CN38" s="6" t="n">
        <v>10000</v>
      </c>
      <c r="CO38" s="6" t="n">
        <v>10000</v>
      </c>
      <c r="CP38" s="6" t="n">
        <v>10000</v>
      </c>
      <c r="CQ38" s="6" t="n">
        <v>10000</v>
      </c>
      <c r="CR38" s="6" t="n">
        <v>10000</v>
      </c>
      <c r="CS38" s="6" t="n">
        <v>10000</v>
      </c>
      <c r="CT38" s="6" t="n">
        <v>10000</v>
      </c>
      <c r="CU38" s="6" t="n">
        <v>10000</v>
      </c>
      <c r="CV38" s="6" t="n">
        <v>10000</v>
      </c>
      <c r="CW38" s="6" t="n">
        <v>10000</v>
      </c>
      <c r="CX38" s="6" t="n">
        <v>10000</v>
      </c>
      <c r="CY38" s="6" t="n">
        <v>10000</v>
      </c>
      <c r="CZ38" s="6" t="n">
        <v>10000</v>
      </c>
      <c r="DA38" s="6" t="n">
        <v>10000</v>
      </c>
      <c r="DB38" s="6" t="n">
        <v>10000</v>
      </c>
      <c r="DC38" s="6" t="n">
        <v>10000</v>
      </c>
      <c r="DD38" s="6" t="n">
        <v>10000</v>
      </c>
      <c r="DE38" s="6" t="n">
        <v>10000</v>
      </c>
      <c r="DF38" s="6" t="n">
        <v>10000</v>
      </c>
      <c r="DG38" s="6" t="n">
        <v>10000</v>
      </c>
      <c r="DH38" s="6" t="n">
        <v>10000</v>
      </c>
      <c r="DI38" s="6" t="n">
        <v>10000</v>
      </c>
      <c r="DJ38" s="6" t="n">
        <v>10000</v>
      </c>
      <c r="DK38" s="6" t="n">
        <v>10000</v>
      </c>
      <c r="DL38" s="6" t="n">
        <v>10000</v>
      </c>
      <c r="DM38" s="6" t="n">
        <v>10000</v>
      </c>
      <c r="DN38" s="6" t="n">
        <v>10000</v>
      </c>
      <c r="DO38" s="6" t="n">
        <v>10000</v>
      </c>
      <c r="DP38" s="6" t="n">
        <v>10000</v>
      </c>
      <c r="DQ38" s="6" t="n">
        <v>10000</v>
      </c>
      <c r="DR38" s="6" t="n">
        <v>10000</v>
      </c>
      <c r="DS38" s="6" t="n">
        <v>10000</v>
      </c>
      <c r="DT38" s="6" t="n">
        <v>10000</v>
      </c>
      <c r="DU38" s="6" t="n">
        <v>10000</v>
      </c>
      <c r="DV38" s="6" t="n">
        <v>10000</v>
      </c>
      <c r="DW38" s="6" t="n">
        <v>10000</v>
      </c>
      <c r="DX38" s="6" t="n">
        <v>10000</v>
      </c>
      <c r="DY38" s="6" t="n">
        <v>10000</v>
      </c>
      <c r="DZ38" s="6" t="n">
        <v>10000</v>
      </c>
      <c r="EA38" s="6" t="n">
        <v>9998</v>
      </c>
      <c r="EB38" s="6" t="n">
        <v>9339</v>
      </c>
      <c r="EC38" s="6" t="n">
        <v>4301</v>
      </c>
      <c r="ED38" s="6" t="n">
        <v>3811</v>
      </c>
      <c r="EE38" s="6" t="n">
        <v>3500</v>
      </c>
      <c r="EF38" s="6" t="n">
        <v>3201</v>
      </c>
      <c r="EG38" s="6" t="n">
        <v>2711</v>
      </c>
      <c r="EH38" s="6" t="n">
        <v>2711</v>
      </c>
      <c r="EI38" s="6" t="n">
        <v>2520</v>
      </c>
      <c r="EJ38" s="6" t="n">
        <v>2500</v>
      </c>
      <c r="EK38" s="6" t="n">
        <v>2500</v>
      </c>
      <c r="EL38" s="6" t="n">
        <v>2499</v>
      </c>
      <c r="EM38" s="6" t="n">
        <v>2499</v>
      </c>
      <c r="EN38" s="6" t="n">
        <v>2499</v>
      </c>
      <c r="EO38" s="6" t="n">
        <v>2401</v>
      </c>
      <c r="EP38" s="6" t="n">
        <v>2401</v>
      </c>
      <c r="EQ38" s="6" t="n">
        <v>2501</v>
      </c>
      <c r="ER38" s="6" t="n">
        <v>2512</v>
      </c>
      <c r="ES38" s="6" t="n">
        <v>2512</v>
      </c>
      <c r="ET38" s="6" t="n">
        <v>2513</v>
      </c>
      <c r="EU38" s="6" t="n">
        <v>2512</v>
      </c>
      <c r="EV38" s="6" t="n">
        <v>2519</v>
      </c>
      <c r="EW38" s="6" t="n">
        <v>2651</v>
      </c>
      <c r="EX38" s="6" t="n">
        <v>2750</v>
      </c>
      <c r="EY38" s="6" t="n">
        <v>2100</v>
      </c>
      <c r="EZ38" s="6" t="n">
        <v>2901</v>
      </c>
      <c r="FA38" s="6" t="n">
        <v>2101</v>
      </c>
      <c r="FB38" s="6" t="n">
        <v>2421</v>
      </c>
      <c r="FC38" s="6" t="n">
        <v>2710</v>
      </c>
      <c r="FD38" s="6" t="n">
        <v>2860</v>
      </c>
      <c r="FE38" s="6" t="n">
        <v>3000</v>
      </c>
      <c r="FF38" s="6" t="n">
        <v>3001</v>
      </c>
      <c r="FG38" s="6" t="n">
        <v>3467</v>
      </c>
      <c r="FH38" s="6" t="n">
        <v>3673</v>
      </c>
      <c r="FI38" s="6" t="n">
        <v>3719</v>
      </c>
      <c r="FJ38" s="6" t="n">
        <v>3866</v>
      </c>
      <c r="FK38" s="6" t="n">
        <v>6500</v>
      </c>
      <c r="FL38" s="6" t="n">
        <v>9998</v>
      </c>
      <c r="FM38" s="6" t="n">
        <v>10000</v>
      </c>
      <c r="FN38" s="6" t="n">
        <v>10000</v>
      </c>
      <c r="FO38" s="6" t="n">
        <v>10000</v>
      </c>
      <c r="FP38" s="6" t="n">
        <v>10000</v>
      </c>
      <c r="FQ38" s="6" t="n">
        <v>10000</v>
      </c>
      <c r="FR38" s="6" t="n">
        <v>10000</v>
      </c>
      <c r="FS38" s="6" t="n">
        <v>10000</v>
      </c>
      <c r="FT38" s="6" t="n">
        <v>10000</v>
      </c>
      <c r="FU38" s="6" t="n">
        <v>10000</v>
      </c>
      <c r="FV38" s="6" t="n">
        <v>10000</v>
      </c>
      <c r="FW38" s="6" t="n">
        <v>10000</v>
      </c>
      <c r="FX38" s="6" t="n">
        <v>10000</v>
      </c>
      <c r="FY38" s="6" t="n">
        <v>10000</v>
      </c>
      <c r="FZ38" s="6" t="n">
        <v>10000</v>
      </c>
      <c r="GA38" s="6" t="n">
        <v>10000</v>
      </c>
      <c r="GB38" s="6" t="n">
        <v>10000</v>
      </c>
      <c r="GC38" s="6" t="n">
        <v>10000</v>
      </c>
      <c r="GD38" s="6" t="n">
        <v>10000</v>
      </c>
      <c r="GE38" s="6" t="n">
        <v>10000</v>
      </c>
      <c r="GF38" s="6" t="n">
        <v>10000</v>
      </c>
      <c r="GG38" s="6" t="n">
        <v>10000</v>
      </c>
      <c r="GH38" s="6" t="n">
        <v>10000</v>
      </c>
      <c r="GI38" s="6" t="n">
        <v>10000</v>
      </c>
      <c r="GJ38" s="6" t="n">
        <v>10000</v>
      </c>
      <c r="GK38" s="6" t="n">
        <v>10000</v>
      </c>
      <c r="GL38" s="6" t="n">
        <v>10000</v>
      </c>
    </row>
    <row r="39">
      <c r="A39" s="6" t="inlineStr">
        <is>
          <t>GDAM</t>
        </is>
      </c>
      <c r="B39" s="6" t="n">
        <v>6</v>
      </c>
      <c r="C39" s="6" t="n">
        <v>10000</v>
      </c>
      <c r="D39" s="6" t="n">
        <v>10000</v>
      </c>
      <c r="E39" s="6" t="n">
        <v>10000</v>
      </c>
      <c r="F39" s="6" t="n">
        <v>10000</v>
      </c>
      <c r="G39" s="6" t="n">
        <v>10000</v>
      </c>
      <c r="H39" s="6" t="n">
        <v>10000</v>
      </c>
      <c r="I39" s="6" t="n">
        <v>10000</v>
      </c>
      <c r="J39" s="6" t="n">
        <v>10000</v>
      </c>
      <c r="K39" s="6" t="n">
        <v>10000</v>
      </c>
      <c r="L39" s="6" t="n">
        <v>10000</v>
      </c>
      <c r="M39" s="6" t="n">
        <v>10000</v>
      </c>
      <c r="N39" s="6" t="n">
        <v>10000</v>
      </c>
      <c r="O39" s="6" t="n">
        <v>10000</v>
      </c>
      <c r="P39" s="6" t="n">
        <v>10000</v>
      </c>
      <c r="Q39" s="6" t="n">
        <v>10000</v>
      </c>
      <c r="R39" s="6" t="n">
        <v>10000</v>
      </c>
      <c r="S39" s="6" t="n">
        <v>10000</v>
      </c>
      <c r="T39" s="6" t="n">
        <v>10000</v>
      </c>
      <c r="U39" s="6" t="n">
        <v>10000</v>
      </c>
      <c r="V39" s="6" t="n">
        <v>10000</v>
      </c>
      <c r="W39" s="6" t="n">
        <v>10000</v>
      </c>
      <c r="X39" s="6" t="n">
        <v>10000</v>
      </c>
      <c r="Y39" s="6" t="n">
        <v>10000</v>
      </c>
      <c r="Z39" s="6" t="n">
        <v>10000</v>
      </c>
      <c r="AA39" s="6" t="n">
        <v>10000</v>
      </c>
      <c r="AB39" s="6" t="n">
        <v>10000</v>
      </c>
      <c r="AC39" s="6" t="n">
        <v>10000</v>
      </c>
      <c r="AD39" s="6" t="n">
        <v>10000</v>
      </c>
      <c r="AE39" s="6" t="n">
        <v>10000</v>
      </c>
      <c r="AF39" s="6" t="n">
        <v>10000</v>
      </c>
      <c r="AG39" s="6" t="n">
        <v>10000</v>
      </c>
      <c r="AH39" s="6" t="n">
        <v>10000</v>
      </c>
      <c r="AI39" s="6" t="n">
        <v>4501</v>
      </c>
      <c r="AJ39" s="6" t="n">
        <v>4501</v>
      </c>
      <c r="AK39" s="6" t="n">
        <v>4501</v>
      </c>
      <c r="AL39" s="6" t="n">
        <v>4000</v>
      </c>
      <c r="AM39" s="6" t="n">
        <v>3870</v>
      </c>
      <c r="AN39" s="6" t="n">
        <v>3513</v>
      </c>
      <c r="AO39" s="6" t="n">
        <v>3201</v>
      </c>
      <c r="AP39" s="6" t="n">
        <v>3201</v>
      </c>
      <c r="AQ39" s="6" t="n">
        <v>2570</v>
      </c>
      <c r="AR39" s="6" t="n">
        <v>2570</v>
      </c>
      <c r="AS39" s="6" t="n">
        <v>2570</v>
      </c>
      <c r="AT39" s="6" t="n">
        <v>2570</v>
      </c>
      <c r="AU39" s="6" t="n">
        <v>2570</v>
      </c>
      <c r="AV39" s="6" t="n">
        <v>2570</v>
      </c>
      <c r="AW39" s="6" t="n">
        <v>2471</v>
      </c>
      <c r="AX39" s="6" t="n">
        <v>2471</v>
      </c>
      <c r="AY39" s="6" t="n">
        <v>2440</v>
      </c>
      <c r="AZ39" s="6" t="n">
        <v>2540</v>
      </c>
      <c r="BA39" s="6" t="n">
        <v>2501</v>
      </c>
      <c r="BB39" s="6" t="n">
        <v>2441</v>
      </c>
      <c r="BC39" s="6" t="n">
        <v>2513</v>
      </c>
      <c r="BD39" s="6" t="n">
        <v>2513</v>
      </c>
      <c r="BE39" s="6" t="n">
        <v>2710</v>
      </c>
      <c r="BF39" s="6" t="n">
        <v>2810</v>
      </c>
      <c r="BG39" s="6" t="n">
        <v>2181</v>
      </c>
      <c r="BH39" s="6" t="n">
        <v>2860</v>
      </c>
      <c r="BI39" s="6" t="n">
        <v>2600</v>
      </c>
      <c r="BJ39" s="6" t="n">
        <v>2501</v>
      </c>
      <c r="BK39" s="6" t="n">
        <v>3200</v>
      </c>
      <c r="BL39" s="6" t="n">
        <v>3200</v>
      </c>
      <c r="BM39" s="6" t="n">
        <v>3207</v>
      </c>
      <c r="BN39" s="6" t="n">
        <v>3500</v>
      </c>
      <c r="BO39" s="6" t="n">
        <v>3631</v>
      </c>
      <c r="BP39" s="6" t="n">
        <v>4400</v>
      </c>
      <c r="BQ39" s="6" t="n">
        <v>4401</v>
      </c>
      <c r="BR39" s="6" t="n">
        <v>4501</v>
      </c>
      <c r="BS39" s="6" t="n">
        <v>4401</v>
      </c>
      <c r="BT39" s="6" t="n">
        <v>4610</v>
      </c>
      <c r="BU39" s="6" t="n">
        <v>5500</v>
      </c>
      <c r="BV39" s="6" t="n">
        <v>6500</v>
      </c>
      <c r="BW39" s="6" t="n">
        <v>10000</v>
      </c>
      <c r="BX39" s="6" t="n">
        <v>10000</v>
      </c>
      <c r="BY39" s="6" t="n">
        <v>10000</v>
      </c>
      <c r="BZ39" s="6" t="n">
        <v>10000</v>
      </c>
      <c r="CA39" s="6" t="n">
        <v>10000</v>
      </c>
      <c r="CB39" s="6" t="n">
        <v>10000</v>
      </c>
      <c r="CC39" s="6" t="n">
        <v>10000</v>
      </c>
      <c r="CD39" s="6" t="n">
        <v>10000</v>
      </c>
      <c r="CE39" s="6" t="n">
        <v>10000</v>
      </c>
      <c r="CF39" s="6" t="n">
        <v>10000</v>
      </c>
      <c r="CG39" s="6" t="n">
        <v>10000</v>
      </c>
      <c r="CH39" s="6" t="n">
        <v>10000</v>
      </c>
      <c r="CI39" s="6" t="n">
        <v>10000</v>
      </c>
      <c r="CJ39" s="6" t="n">
        <v>10000</v>
      </c>
      <c r="CK39" s="6" t="n">
        <v>10000</v>
      </c>
      <c r="CL39" s="6" t="n">
        <v>10000</v>
      </c>
      <c r="CM39" s="6" t="n">
        <v>10000</v>
      </c>
      <c r="CN39" s="6" t="n">
        <v>10000</v>
      </c>
      <c r="CO39" s="6" t="n">
        <v>10000</v>
      </c>
      <c r="CP39" s="6" t="n">
        <v>10000</v>
      </c>
      <c r="CQ39" s="6" t="n">
        <v>10000</v>
      </c>
      <c r="CR39" s="6" t="n">
        <v>10000</v>
      </c>
      <c r="CS39" s="6" t="n">
        <v>10000</v>
      </c>
      <c r="CT39" s="6" t="n">
        <v>10000</v>
      </c>
      <c r="CU39" s="6" t="n">
        <v>10000</v>
      </c>
      <c r="CV39" s="6" t="n">
        <v>10000</v>
      </c>
      <c r="CW39" s="6" t="n">
        <v>10000</v>
      </c>
      <c r="CX39" s="6" t="n">
        <v>10000</v>
      </c>
      <c r="CY39" s="6" t="n">
        <v>10000</v>
      </c>
      <c r="CZ39" s="6" t="n">
        <v>10000</v>
      </c>
      <c r="DA39" s="6" t="n">
        <v>10000</v>
      </c>
      <c r="DB39" s="6" t="n">
        <v>10000</v>
      </c>
      <c r="DC39" s="6" t="n">
        <v>10000</v>
      </c>
      <c r="DD39" s="6" t="n">
        <v>10000</v>
      </c>
      <c r="DE39" s="6" t="n">
        <v>10000</v>
      </c>
      <c r="DF39" s="6" t="n">
        <v>10000</v>
      </c>
      <c r="DG39" s="6" t="n">
        <v>10000</v>
      </c>
      <c r="DH39" s="6" t="n">
        <v>10000</v>
      </c>
      <c r="DI39" s="6" t="n">
        <v>10000</v>
      </c>
      <c r="DJ39" s="6" t="n">
        <v>10000</v>
      </c>
      <c r="DK39" s="6" t="n">
        <v>10000</v>
      </c>
      <c r="DL39" s="6" t="n">
        <v>10000</v>
      </c>
      <c r="DM39" s="6" t="n">
        <v>10000</v>
      </c>
      <c r="DN39" s="6" t="n">
        <v>10000</v>
      </c>
      <c r="DO39" s="6" t="n">
        <v>10000</v>
      </c>
      <c r="DP39" s="6" t="n">
        <v>10000</v>
      </c>
      <c r="DQ39" s="6" t="n">
        <v>10000</v>
      </c>
      <c r="DR39" s="6" t="n">
        <v>10000</v>
      </c>
      <c r="DS39" s="6" t="n">
        <v>10000</v>
      </c>
      <c r="DT39" s="6" t="n">
        <v>10000</v>
      </c>
      <c r="DU39" s="6" t="n">
        <v>10000</v>
      </c>
      <c r="DV39" s="6" t="n">
        <v>10000</v>
      </c>
      <c r="DW39" s="6" t="n">
        <v>10000</v>
      </c>
      <c r="DX39" s="6" t="n">
        <v>10000</v>
      </c>
      <c r="DY39" s="6" t="n">
        <v>10000</v>
      </c>
      <c r="DZ39" s="6" t="n">
        <v>10000</v>
      </c>
      <c r="EA39" s="6" t="n">
        <v>4501</v>
      </c>
      <c r="EB39" s="6" t="n">
        <v>4501</v>
      </c>
      <c r="EC39" s="6" t="n">
        <v>4501</v>
      </c>
      <c r="ED39" s="6" t="n">
        <v>4000</v>
      </c>
      <c r="EE39" s="6" t="n">
        <v>3870</v>
      </c>
      <c r="EF39" s="6" t="n">
        <v>3513</v>
      </c>
      <c r="EG39" s="6" t="n">
        <v>3201</v>
      </c>
      <c r="EH39" s="6" t="n">
        <v>3201</v>
      </c>
      <c r="EI39" s="6" t="n">
        <v>2570</v>
      </c>
      <c r="EJ39" s="6" t="n">
        <v>2570</v>
      </c>
      <c r="EK39" s="6" t="n">
        <v>2570</v>
      </c>
      <c r="EL39" s="6" t="n">
        <v>2570</v>
      </c>
      <c r="EM39" s="6" t="n">
        <v>2570</v>
      </c>
      <c r="EN39" s="6" t="n">
        <v>2570</v>
      </c>
      <c r="EO39" s="6" t="n">
        <v>2471</v>
      </c>
      <c r="EP39" s="6" t="n">
        <v>2471</v>
      </c>
      <c r="EQ39" s="6" t="n">
        <v>2440</v>
      </c>
      <c r="ER39" s="6" t="n">
        <v>2540</v>
      </c>
      <c r="ES39" s="6" t="n">
        <v>2501</v>
      </c>
      <c r="ET39" s="6" t="n">
        <v>2441</v>
      </c>
      <c r="EU39" s="6" t="n">
        <v>2513</v>
      </c>
      <c r="EV39" s="6" t="n">
        <v>2513</v>
      </c>
      <c r="EW39" s="6" t="n">
        <v>2710</v>
      </c>
      <c r="EX39" s="6" t="n">
        <v>2810</v>
      </c>
      <c r="EY39" s="6" t="n">
        <v>2181</v>
      </c>
      <c r="EZ39" s="6" t="n">
        <v>2860</v>
      </c>
      <c r="FA39" s="6" t="n">
        <v>2600</v>
      </c>
      <c r="FB39" s="6" t="n">
        <v>2501</v>
      </c>
      <c r="FC39" s="6" t="n">
        <v>3200</v>
      </c>
      <c r="FD39" s="6" t="n">
        <v>3200</v>
      </c>
      <c r="FE39" s="6" t="n">
        <v>3207</v>
      </c>
      <c r="FF39" s="6" t="n">
        <v>3500</v>
      </c>
      <c r="FG39" s="6" t="n">
        <v>3631</v>
      </c>
      <c r="FH39" s="6" t="n">
        <v>4400</v>
      </c>
      <c r="FI39" s="6" t="n">
        <v>4401</v>
      </c>
      <c r="FJ39" s="6" t="n">
        <v>4501</v>
      </c>
      <c r="FK39" s="6" t="n">
        <v>4401</v>
      </c>
      <c r="FL39" s="6" t="n">
        <v>4610</v>
      </c>
      <c r="FM39" s="6" t="n">
        <v>5500</v>
      </c>
      <c r="FN39" s="6" t="n">
        <v>6500</v>
      </c>
      <c r="FO39" s="6" t="n">
        <v>10000</v>
      </c>
      <c r="FP39" s="6" t="n">
        <v>10000</v>
      </c>
      <c r="FQ39" s="6" t="n">
        <v>10000</v>
      </c>
      <c r="FR39" s="6" t="n">
        <v>10000</v>
      </c>
      <c r="FS39" s="6" t="n">
        <v>10000</v>
      </c>
      <c r="FT39" s="6" t="n">
        <v>10000</v>
      </c>
      <c r="FU39" s="6" t="n">
        <v>10000</v>
      </c>
      <c r="FV39" s="6" t="n">
        <v>10000</v>
      </c>
      <c r="FW39" s="6" t="n">
        <v>10000</v>
      </c>
      <c r="FX39" s="6" t="n">
        <v>10000</v>
      </c>
      <c r="FY39" s="6" t="n">
        <v>10000</v>
      </c>
      <c r="FZ39" s="6" t="n">
        <v>10000</v>
      </c>
      <c r="GA39" s="6" t="n">
        <v>10000</v>
      </c>
      <c r="GB39" s="6" t="n">
        <v>10000</v>
      </c>
      <c r="GC39" s="6" t="n">
        <v>10000</v>
      </c>
      <c r="GD39" s="6" t="n">
        <v>10000</v>
      </c>
      <c r="GE39" s="6" t="n">
        <v>10000</v>
      </c>
      <c r="GF39" s="6" t="n">
        <v>10000</v>
      </c>
      <c r="GG39" s="6" t="n">
        <v>10000</v>
      </c>
      <c r="GH39" s="6" t="n">
        <v>10000</v>
      </c>
      <c r="GI39" s="6" t="n">
        <v>10000</v>
      </c>
      <c r="GJ39" s="6" t="n">
        <v>10000</v>
      </c>
      <c r="GK39" s="6" t="n">
        <v>10000</v>
      </c>
      <c r="GL39" s="6" t="n">
        <v>10000</v>
      </c>
    </row>
    <row r="40">
      <c r="A40" s="6" t="inlineStr">
        <is>
          <t>GDAM</t>
        </is>
      </c>
      <c r="B40" s="6" t="n">
        <v>7</v>
      </c>
      <c r="C40" s="6" t="n">
        <v>10000</v>
      </c>
      <c r="D40" s="6" t="n">
        <v>10000</v>
      </c>
      <c r="E40" s="6" t="n">
        <v>10000</v>
      </c>
      <c r="F40" s="6" t="n">
        <v>10000</v>
      </c>
      <c r="G40" s="6" t="n">
        <v>10000</v>
      </c>
      <c r="H40" s="6" t="n">
        <v>10000</v>
      </c>
      <c r="I40" s="6" t="n">
        <v>10000</v>
      </c>
      <c r="J40" s="6" t="n">
        <v>10000</v>
      </c>
      <c r="K40" s="6" t="n">
        <v>10000</v>
      </c>
      <c r="L40" s="6" t="n">
        <v>10000</v>
      </c>
      <c r="M40" s="6" t="n">
        <v>10000</v>
      </c>
      <c r="N40" s="6" t="n">
        <v>10000</v>
      </c>
      <c r="O40" s="6" t="n">
        <v>10000</v>
      </c>
      <c r="P40" s="6" t="n">
        <v>10000</v>
      </c>
      <c r="Q40" s="6" t="n">
        <v>10000</v>
      </c>
      <c r="R40" s="6" t="n">
        <v>10000</v>
      </c>
      <c r="S40" s="6" t="n">
        <v>10000</v>
      </c>
      <c r="T40" s="6" t="n">
        <v>10000</v>
      </c>
      <c r="U40" s="6" t="n">
        <v>10000</v>
      </c>
      <c r="V40" s="6" t="n">
        <v>10000</v>
      </c>
      <c r="W40" s="6" t="n">
        <v>10000</v>
      </c>
      <c r="X40" s="6" t="n">
        <v>10000</v>
      </c>
      <c r="Y40" s="6" t="n">
        <v>10000</v>
      </c>
      <c r="Z40" s="6" t="n">
        <v>10000</v>
      </c>
      <c r="AA40" s="6" t="n">
        <v>10000</v>
      </c>
      <c r="AB40" s="6" t="n">
        <v>10000</v>
      </c>
      <c r="AC40" s="6" t="n">
        <v>10000</v>
      </c>
      <c r="AD40" s="6" t="n">
        <v>10000</v>
      </c>
      <c r="AE40" s="6" t="n">
        <v>10000</v>
      </c>
      <c r="AF40" s="6" t="n">
        <v>10000</v>
      </c>
      <c r="AG40" s="6" t="n">
        <v>10000</v>
      </c>
      <c r="AH40" s="6" t="n">
        <v>10000</v>
      </c>
      <c r="AI40" s="6" t="n">
        <v>9999</v>
      </c>
      <c r="AJ40" s="6" t="n">
        <v>6072</v>
      </c>
      <c r="AK40" s="6" t="n">
        <v>5820</v>
      </c>
      <c r="AL40" s="6" t="n">
        <v>4501</v>
      </c>
      <c r="AM40" s="6" t="n">
        <v>3870</v>
      </c>
      <c r="AN40" s="6" t="n">
        <v>3545</v>
      </c>
      <c r="AO40" s="6" t="n">
        <v>3201</v>
      </c>
      <c r="AP40" s="6" t="n">
        <v>3201</v>
      </c>
      <c r="AQ40" s="6" t="n">
        <v>2639</v>
      </c>
      <c r="AR40" s="6" t="n">
        <v>2571</v>
      </c>
      <c r="AS40" s="6" t="n">
        <v>2571</v>
      </c>
      <c r="AT40" s="6" t="n">
        <v>2571</v>
      </c>
      <c r="AU40" s="6" t="n">
        <v>2571</v>
      </c>
      <c r="AV40" s="6" t="n">
        <v>2571</v>
      </c>
      <c r="AW40" s="6" t="n">
        <v>2500</v>
      </c>
      <c r="AX40" s="6" t="n">
        <v>2471</v>
      </c>
      <c r="AY40" s="6" t="n">
        <v>2570</v>
      </c>
      <c r="AZ40" s="6" t="n">
        <v>2570</v>
      </c>
      <c r="BA40" s="6" t="n">
        <v>2570</v>
      </c>
      <c r="BB40" s="6" t="n">
        <v>2570</v>
      </c>
      <c r="BC40" s="6" t="n">
        <v>2570</v>
      </c>
      <c r="BD40" s="6" t="n">
        <v>2570</v>
      </c>
      <c r="BE40" s="6" t="n">
        <v>2710</v>
      </c>
      <c r="BF40" s="6" t="n">
        <v>2810</v>
      </c>
      <c r="BG40" s="6" t="n">
        <v>2901</v>
      </c>
      <c r="BH40" s="6" t="n">
        <v>2859</v>
      </c>
      <c r="BI40" s="6" t="n">
        <v>2600</v>
      </c>
      <c r="BJ40" s="6" t="n">
        <v>2660</v>
      </c>
      <c r="BK40" s="6" t="n">
        <v>3200</v>
      </c>
      <c r="BL40" s="6" t="n">
        <v>3200</v>
      </c>
      <c r="BM40" s="6" t="n">
        <v>3384</v>
      </c>
      <c r="BN40" s="6" t="n">
        <v>3499</v>
      </c>
      <c r="BO40" s="6" t="n">
        <v>3747</v>
      </c>
      <c r="BP40" s="6" t="n">
        <v>5511</v>
      </c>
      <c r="BQ40" s="6" t="n">
        <v>6101</v>
      </c>
      <c r="BR40" s="6" t="n">
        <v>6501</v>
      </c>
      <c r="BS40" s="6" t="n">
        <v>9998</v>
      </c>
      <c r="BT40" s="6" t="n">
        <v>9999</v>
      </c>
      <c r="BU40" s="6" t="n">
        <v>10000</v>
      </c>
      <c r="BV40" s="6" t="n">
        <v>10000</v>
      </c>
      <c r="BW40" s="6" t="n">
        <v>10000</v>
      </c>
      <c r="BX40" s="6" t="n">
        <v>10000</v>
      </c>
      <c r="BY40" s="6" t="n">
        <v>10000</v>
      </c>
      <c r="BZ40" s="6" t="n">
        <v>10000</v>
      </c>
      <c r="CA40" s="6" t="n">
        <v>10000</v>
      </c>
      <c r="CB40" s="6" t="n">
        <v>10000</v>
      </c>
      <c r="CC40" s="6" t="n">
        <v>10000</v>
      </c>
      <c r="CD40" s="6" t="n">
        <v>10000</v>
      </c>
      <c r="CE40" s="6" t="n">
        <v>10000</v>
      </c>
      <c r="CF40" s="6" t="n">
        <v>10000</v>
      </c>
      <c r="CG40" s="6" t="n">
        <v>10000</v>
      </c>
      <c r="CH40" s="6" t="n">
        <v>10000</v>
      </c>
      <c r="CI40" s="6" t="n">
        <v>10000</v>
      </c>
      <c r="CJ40" s="6" t="n">
        <v>10000</v>
      </c>
      <c r="CK40" s="6" t="n">
        <v>10000</v>
      </c>
      <c r="CL40" s="6" t="n">
        <v>10000</v>
      </c>
      <c r="CM40" s="6" t="n">
        <v>10000</v>
      </c>
      <c r="CN40" s="6" t="n">
        <v>10000</v>
      </c>
      <c r="CO40" s="6" t="n">
        <v>10000</v>
      </c>
      <c r="CP40" s="6" t="n">
        <v>10000</v>
      </c>
      <c r="CQ40" s="6" t="n">
        <v>10000</v>
      </c>
      <c r="CR40" s="6" t="n">
        <v>10000</v>
      </c>
      <c r="CS40" s="6" t="n">
        <v>10000</v>
      </c>
      <c r="CT40" s="6" t="n">
        <v>10000</v>
      </c>
      <c r="CU40" s="6" t="n">
        <v>10000</v>
      </c>
      <c r="CV40" s="6" t="n">
        <v>10000</v>
      </c>
      <c r="CW40" s="6" t="n">
        <v>10000</v>
      </c>
      <c r="CX40" s="6" t="n">
        <v>10000</v>
      </c>
      <c r="CY40" s="6" t="n">
        <v>10000</v>
      </c>
      <c r="CZ40" s="6" t="n">
        <v>10000</v>
      </c>
      <c r="DA40" s="6" t="n">
        <v>10000</v>
      </c>
      <c r="DB40" s="6" t="n">
        <v>10000</v>
      </c>
      <c r="DC40" s="6" t="n">
        <v>10000</v>
      </c>
      <c r="DD40" s="6" t="n">
        <v>10000</v>
      </c>
      <c r="DE40" s="6" t="n">
        <v>10000</v>
      </c>
      <c r="DF40" s="6" t="n">
        <v>10000</v>
      </c>
      <c r="DG40" s="6" t="n">
        <v>10000</v>
      </c>
      <c r="DH40" s="6" t="n">
        <v>10000</v>
      </c>
      <c r="DI40" s="6" t="n">
        <v>10000</v>
      </c>
      <c r="DJ40" s="6" t="n">
        <v>10000</v>
      </c>
      <c r="DK40" s="6" t="n">
        <v>10000</v>
      </c>
      <c r="DL40" s="6" t="n">
        <v>10000</v>
      </c>
      <c r="DM40" s="6" t="n">
        <v>10000</v>
      </c>
      <c r="DN40" s="6" t="n">
        <v>10000</v>
      </c>
      <c r="DO40" s="6" t="n">
        <v>10000</v>
      </c>
      <c r="DP40" s="6" t="n">
        <v>10000</v>
      </c>
      <c r="DQ40" s="6" t="n">
        <v>10000</v>
      </c>
      <c r="DR40" s="6" t="n">
        <v>10000</v>
      </c>
      <c r="DS40" s="6" t="n">
        <v>10000</v>
      </c>
      <c r="DT40" s="6" t="n">
        <v>10000</v>
      </c>
      <c r="DU40" s="6" t="n">
        <v>10000</v>
      </c>
      <c r="DV40" s="6" t="n">
        <v>10000</v>
      </c>
      <c r="DW40" s="6" t="n">
        <v>10000</v>
      </c>
      <c r="DX40" s="6" t="n">
        <v>10000</v>
      </c>
      <c r="DY40" s="6" t="n">
        <v>10000</v>
      </c>
      <c r="DZ40" s="6" t="n">
        <v>10000</v>
      </c>
      <c r="EA40" s="6" t="n">
        <v>9999</v>
      </c>
      <c r="EB40" s="6" t="n">
        <v>6072</v>
      </c>
      <c r="EC40" s="6" t="n">
        <v>5820</v>
      </c>
      <c r="ED40" s="6" t="n">
        <v>4501</v>
      </c>
      <c r="EE40" s="6" t="n">
        <v>3870</v>
      </c>
      <c r="EF40" s="6" t="n">
        <v>3545</v>
      </c>
      <c r="EG40" s="6" t="n">
        <v>3201</v>
      </c>
      <c r="EH40" s="6" t="n">
        <v>3201</v>
      </c>
      <c r="EI40" s="6" t="n">
        <v>2639</v>
      </c>
      <c r="EJ40" s="6" t="n">
        <v>2571</v>
      </c>
      <c r="EK40" s="6" t="n">
        <v>2571</v>
      </c>
      <c r="EL40" s="6" t="n">
        <v>2571</v>
      </c>
      <c r="EM40" s="6" t="n">
        <v>2571</v>
      </c>
      <c r="EN40" s="6" t="n">
        <v>2571</v>
      </c>
      <c r="EO40" s="6" t="n">
        <v>2500</v>
      </c>
      <c r="EP40" s="6" t="n">
        <v>2471</v>
      </c>
      <c r="EQ40" s="6" t="n">
        <v>2570</v>
      </c>
      <c r="ER40" s="6" t="n">
        <v>2570</v>
      </c>
      <c r="ES40" s="6" t="n">
        <v>2570</v>
      </c>
      <c r="ET40" s="6" t="n">
        <v>2570</v>
      </c>
      <c r="EU40" s="6" t="n">
        <v>2570</v>
      </c>
      <c r="EV40" s="6" t="n">
        <v>2570</v>
      </c>
      <c r="EW40" s="6" t="n">
        <v>2710</v>
      </c>
      <c r="EX40" s="6" t="n">
        <v>2810</v>
      </c>
      <c r="EY40" s="6" t="n">
        <v>2901</v>
      </c>
      <c r="EZ40" s="6" t="n">
        <v>2859</v>
      </c>
      <c r="FA40" s="6" t="n">
        <v>2600</v>
      </c>
      <c r="FB40" s="6" t="n">
        <v>2660</v>
      </c>
      <c r="FC40" s="6" t="n">
        <v>3200</v>
      </c>
      <c r="FD40" s="6" t="n">
        <v>3200</v>
      </c>
      <c r="FE40" s="6" t="n">
        <v>3384</v>
      </c>
      <c r="FF40" s="6" t="n">
        <v>3499</v>
      </c>
      <c r="FG40" s="6" t="n">
        <v>3747</v>
      </c>
      <c r="FH40" s="6" t="n">
        <v>5511</v>
      </c>
      <c r="FI40" s="6" t="n">
        <v>6101</v>
      </c>
      <c r="FJ40" s="6" t="n">
        <v>6501</v>
      </c>
      <c r="FK40" s="6" t="n">
        <v>9998</v>
      </c>
      <c r="FL40" s="6" t="n">
        <v>9999</v>
      </c>
      <c r="FM40" s="6" t="n">
        <v>10000</v>
      </c>
      <c r="FN40" s="6" t="n">
        <v>10000</v>
      </c>
      <c r="FO40" s="6" t="n">
        <v>10000</v>
      </c>
      <c r="FP40" s="6" t="n">
        <v>10000</v>
      </c>
      <c r="FQ40" s="6" t="n">
        <v>10000</v>
      </c>
      <c r="FR40" s="6" t="n">
        <v>10000</v>
      </c>
      <c r="FS40" s="6" t="n">
        <v>10000</v>
      </c>
      <c r="FT40" s="6" t="n">
        <v>10000</v>
      </c>
      <c r="FU40" s="6" t="n">
        <v>10000</v>
      </c>
      <c r="FV40" s="6" t="n">
        <v>10000</v>
      </c>
      <c r="FW40" s="6" t="n">
        <v>10000</v>
      </c>
      <c r="FX40" s="6" t="n">
        <v>10000</v>
      </c>
      <c r="FY40" s="6" t="n">
        <v>10000</v>
      </c>
      <c r="FZ40" s="6" t="n">
        <v>10000</v>
      </c>
      <c r="GA40" s="6" t="n">
        <v>10000</v>
      </c>
      <c r="GB40" s="6" t="n">
        <v>10000</v>
      </c>
      <c r="GC40" s="6" t="n">
        <v>10000</v>
      </c>
      <c r="GD40" s="6" t="n">
        <v>10000</v>
      </c>
      <c r="GE40" s="6" t="n">
        <v>10000</v>
      </c>
      <c r="GF40" s="6" t="n">
        <v>10000</v>
      </c>
      <c r="GG40" s="6" t="n">
        <v>10000</v>
      </c>
      <c r="GH40" s="6" t="n">
        <v>10000</v>
      </c>
      <c r="GI40" s="6" t="n">
        <v>10000</v>
      </c>
      <c r="GJ40" s="6" t="n">
        <v>10000</v>
      </c>
      <c r="GK40" s="6" t="n">
        <v>10000</v>
      </c>
      <c r="GL40" s="6" t="n">
        <v>10000</v>
      </c>
    </row>
    <row r="41">
      <c r="A41" s="6" t="inlineStr">
        <is>
          <t>GDAM</t>
        </is>
      </c>
      <c r="B41" s="6" t="n">
        <v>8</v>
      </c>
      <c r="C41" s="6" t="n">
        <v>10000</v>
      </c>
      <c r="D41" s="6" t="n">
        <v>10000</v>
      </c>
      <c r="E41" s="6" t="n">
        <v>10000</v>
      </c>
      <c r="F41" s="6" t="n">
        <v>10000</v>
      </c>
      <c r="G41" s="6" t="n">
        <v>10000</v>
      </c>
      <c r="H41" s="6" t="n">
        <v>10000</v>
      </c>
      <c r="I41" s="6" t="n">
        <v>10000</v>
      </c>
      <c r="J41" s="6" t="n">
        <v>10000</v>
      </c>
      <c r="K41" s="6" t="n">
        <v>10000</v>
      </c>
      <c r="L41" s="6" t="n">
        <v>10000</v>
      </c>
      <c r="M41" s="6" t="n">
        <v>10000</v>
      </c>
      <c r="N41" s="6" t="n">
        <v>10000</v>
      </c>
      <c r="O41" s="6" t="n">
        <v>10000</v>
      </c>
      <c r="P41" s="6" t="n">
        <v>10000</v>
      </c>
      <c r="Q41" s="6" t="n">
        <v>10000</v>
      </c>
      <c r="R41" s="6" t="n">
        <v>10000</v>
      </c>
      <c r="S41" s="6" t="n">
        <v>10000</v>
      </c>
      <c r="T41" s="6" t="n">
        <v>10000</v>
      </c>
      <c r="U41" s="6" t="n">
        <v>10000</v>
      </c>
      <c r="V41" s="6" t="n">
        <v>10000</v>
      </c>
      <c r="W41" s="6" t="n">
        <v>10000</v>
      </c>
      <c r="X41" s="6" t="n">
        <v>10000</v>
      </c>
      <c r="Y41" s="6" t="n">
        <v>10000</v>
      </c>
      <c r="Z41" s="6" t="n">
        <v>10000</v>
      </c>
      <c r="AA41" s="6" t="n">
        <v>10000</v>
      </c>
      <c r="AB41" s="6" t="n">
        <v>10000</v>
      </c>
      <c r="AC41" s="6" t="n">
        <v>10000</v>
      </c>
      <c r="AD41" s="6" t="n">
        <v>10000</v>
      </c>
      <c r="AE41" s="6" t="n">
        <v>10000</v>
      </c>
      <c r="AF41" s="6" t="n">
        <v>10000</v>
      </c>
      <c r="AG41" s="6" t="n">
        <v>10000</v>
      </c>
      <c r="AH41" s="6" t="n">
        <v>10000</v>
      </c>
      <c r="AI41" s="6" t="n">
        <v>9999</v>
      </c>
      <c r="AJ41" s="6" t="n">
        <v>9998</v>
      </c>
      <c r="AK41" s="6" t="n">
        <v>6407</v>
      </c>
      <c r="AL41" s="6" t="n">
        <v>5000</v>
      </c>
      <c r="AM41" s="6" t="n">
        <v>5201</v>
      </c>
      <c r="AN41" s="6" t="n">
        <v>4870</v>
      </c>
      <c r="AO41" s="6" t="n">
        <v>3978</v>
      </c>
      <c r="AP41" s="6" t="n">
        <v>3569</v>
      </c>
      <c r="AQ41" s="6" t="n">
        <v>3501</v>
      </c>
      <c r="AR41" s="6" t="n">
        <v>3501</v>
      </c>
      <c r="AS41" s="6" t="n">
        <v>3483</v>
      </c>
      <c r="AT41" s="6" t="n">
        <v>3421</v>
      </c>
      <c r="AU41" s="6" t="n">
        <v>3201</v>
      </c>
      <c r="AV41" s="6" t="n">
        <v>3201</v>
      </c>
      <c r="AW41" s="6" t="n">
        <v>3201</v>
      </c>
      <c r="AX41" s="6" t="n">
        <v>3201</v>
      </c>
      <c r="AY41" s="6" t="n">
        <v>3039</v>
      </c>
      <c r="AZ41" s="6" t="n">
        <v>2901</v>
      </c>
      <c r="BA41" s="6" t="n">
        <v>2901</v>
      </c>
      <c r="BB41" s="6" t="n">
        <v>2901</v>
      </c>
      <c r="BC41" s="6" t="n">
        <v>2701</v>
      </c>
      <c r="BD41" s="6" t="n">
        <v>2840</v>
      </c>
      <c r="BE41" s="6" t="n">
        <v>2901</v>
      </c>
      <c r="BF41" s="6" t="n">
        <v>2901</v>
      </c>
      <c r="BG41" s="6" t="n">
        <v>3201</v>
      </c>
      <c r="BH41" s="6" t="n">
        <v>3201</v>
      </c>
      <c r="BI41" s="6" t="n">
        <v>3445</v>
      </c>
      <c r="BJ41" s="6" t="n">
        <v>3544</v>
      </c>
      <c r="BK41" s="6" t="n">
        <v>3856</v>
      </c>
      <c r="BL41" s="6" t="n">
        <v>4090</v>
      </c>
      <c r="BM41" s="6" t="n">
        <v>5499</v>
      </c>
      <c r="BN41" s="6" t="n">
        <v>5999</v>
      </c>
      <c r="BO41" s="6" t="n">
        <v>9998</v>
      </c>
      <c r="BP41" s="6" t="n">
        <v>9998</v>
      </c>
      <c r="BQ41" s="6" t="n">
        <v>9998</v>
      </c>
      <c r="BR41" s="6" t="n">
        <v>9998</v>
      </c>
      <c r="BS41" s="6" t="n">
        <v>9999</v>
      </c>
      <c r="BT41" s="6" t="n">
        <v>10000</v>
      </c>
      <c r="BU41" s="6" t="n">
        <v>10000</v>
      </c>
      <c r="BV41" s="6" t="n">
        <v>10000</v>
      </c>
      <c r="BW41" s="6" t="n">
        <v>10000</v>
      </c>
      <c r="BX41" s="6" t="n">
        <v>10000</v>
      </c>
      <c r="BY41" s="6" t="n">
        <v>10000</v>
      </c>
      <c r="BZ41" s="6" t="n">
        <v>10000</v>
      </c>
      <c r="CA41" s="6" t="n">
        <v>10000</v>
      </c>
      <c r="CB41" s="6" t="n">
        <v>10000</v>
      </c>
      <c r="CC41" s="6" t="n">
        <v>10000</v>
      </c>
      <c r="CD41" s="6" t="n">
        <v>10000</v>
      </c>
      <c r="CE41" s="6" t="n">
        <v>10000</v>
      </c>
      <c r="CF41" s="6" t="n">
        <v>10000</v>
      </c>
      <c r="CG41" s="6" t="n">
        <v>10000</v>
      </c>
      <c r="CH41" s="6" t="n">
        <v>10000</v>
      </c>
      <c r="CI41" s="6" t="n">
        <v>10000</v>
      </c>
      <c r="CJ41" s="6" t="n">
        <v>10000</v>
      </c>
      <c r="CK41" s="6" t="n">
        <v>10000</v>
      </c>
      <c r="CL41" s="6" t="n">
        <v>10000</v>
      </c>
      <c r="CM41" s="6" t="n">
        <v>10000</v>
      </c>
      <c r="CN41" s="6" t="n">
        <v>10000</v>
      </c>
      <c r="CO41" s="6" t="n">
        <v>10000</v>
      </c>
      <c r="CP41" s="6" t="n">
        <v>10000</v>
      </c>
      <c r="CQ41" s="6" t="n">
        <v>10000</v>
      </c>
      <c r="CR41" s="6" t="n">
        <v>10000</v>
      </c>
      <c r="CS41" s="6" t="n">
        <v>10000</v>
      </c>
      <c r="CT41" s="6" t="n">
        <v>10000</v>
      </c>
      <c r="CU41" s="6" t="n">
        <v>10000</v>
      </c>
      <c r="CV41" s="6" t="n">
        <v>10000</v>
      </c>
      <c r="CW41" s="6" t="n">
        <v>10000</v>
      </c>
      <c r="CX41" s="6" t="n">
        <v>10000</v>
      </c>
      <c r="CY41" s="6" t="n">
        <v>10000</v>
      </c>
      <c r="CZ41" s="6" t="n">
        <v>10000</v>
      </c>
      <c r="DA41" s="6" t="n">
        <v>10000</v>
      </c>
      <c r="DB41" s="6" t="n">
        <v>10000</v>
      </c>
      <c r="DC41" s="6" t="n">
        <v>10000</v>
      </c>
      <c r="DD41" s="6" t="n">
        <v>10000</v>
      </c>
      <c r="DE41" s="6" t="n">
        <v>10000</v>
      </c>
      <c r="DF41" s="6" t="n">
        <v>10000</v>
      </c>
      <c r="DG41" s="6" t="n">
        <v>10000</v>
      </c>
      <c r="DH41" s="6" t="n">
        <v>10000</v>
      </c>
      <c r="DI41" s="6" t="n">
        <v>10000</v>
      </c>
      <c r="DJ41" s="6" t="n">
        <v>10000</v>
      </c>
      <c r="DK41" s="6" t="n">
        <v>10000</v>
      </c>
      <c r="DL41" s="6" t="n">
        <v>10000</v>
      </c>
      <c r="DM41" s="6" t="n">
        <v>10000</v>
      </c>
      <c r="DN41" s="6" t="n">
        <v>10000</v>
      </c>
      <c r="DO41" s="6" t="n">
        <v>10000</v>
      </c>
      <c r="DP41" s="6" t="n">
        <v>10000</v>
      </c>
      <c r="DQ41" s="6" t="n">
        <v>10000</v>
      </c>
      <c r="DR41" s="6" t="n">
        <v>10000</v>
      </c>
      <c r="DS41" s="6" t="n">
        <v>10000</v>
      </c>
      <c r="DT41" s="6" t="n">
        <v>10000</v>
      </c>
      <c r="DU41" s="6" t="n">
        <v>10000</v>
      </c>
      <c r="DV41" s="6" t="n">
        <v>10000</v>
      </c>
      <c r="DW41" s="6" t="n">
        <v>10000</v>
      </c>
      <c r="DX41" s="6" t="n">
        <v>10000</v>
      </c>
      <c r="DY41" s="6" t="n">
        <v>10000</v>
      </c>
      <c r="DZ41" s="6" t="n">
        <v>10000</v>
      </c>
      <c r="EA41" s="6" t="n">
        <v>9999</v>
      </c>
      <c r="EB41" s="6" t="n">
        <v>9998</v>
      </c>
      <c r="EC41" s="6" t="n">
        <v>6407</v>
      </c>
      <c r="ED41" s="6" t="n">
        <v>5000</v>
      </c>
      <c r="EE41" s="6" t="n">
        <v>5201</v>
      </c>
      <c r="EF41" s="6" t="n">
        <v>4870</v>
      </c>
      <c r="EG41" s="6" t="n">
        <v>3978</v>
      </c>
      <c r="EH41" s="6" t="n">
        <v>3569</v>
      </c>
      <c r="EI41" s="6" t="n">
        <v>3501</v>
      </c>
      <c r="EJ41" s="6" t="n">
        <v>3501</v>
      </c>
      <c r="EK41" s="6" t="n">
        <v>3483</v>
      </c>
      <c r="EL41" s="6" t="n">
        <v>3421</v>
      </c>
      <c r="EM41" s="6" t="n">
        <v>3201</v>
      </c>
      <c r="EN41" s="6" t="n">
        <v>3201</v>
      </c>
      <c r="EO41" s="6" t="n">
        <v>3201</v>
      </c>
      <c r="EP41" s="6" t="n">
        <v>3201</v>
      </c>
      <c r="EQ41" s="6" t="n">
        <v>3039</v>
      </c>
      <c r="ER41" s="6" t="n">
        <v>2901</v>
      </c>
      <c r="ES41" s="6" t="n">
        <v>2901</v>
      </c>
      <c r="ET41" s="6" t="n">
        <v>2901</v>
      </c>
      <c r="EU41" s="6" t="n">
        <v>2701</v>
      </c>
      <c r="EV41" s="6" t="n">
        <v>2840</v>
      </c>
      <c r="EW41" s="6" t="n">
        <v>2901</v>
      </c>
      <c r="EX41" s="6" t="n">
        <v>2901</v>
      </c>
      <c r="EY41" s="6" t="n">
        <v>3201</v>
      </c>
      <c r="EZ41" s="6" t="n">
        <v>3201</v>
      </c>
      <c r="FA41" s="6" t="n">
        <v>3445</v>
      </c>
      <c r="FB41" s="6" t="n">
        <v>3544</v>
      </c>
      <c r="FC41" s="6" t="n">
        <v>3856</v>
      </c>
      <c r="FD41" s="6" t="n">
        <v>4090</v>
      </c>
      <c r="FE41" s="6" t="n">
        <v>5499</v>
      </c>
      <c r="FF41" s="6" t="n">
        <v>5999</v>
      </c>
      <c r="FG41" s="6" t="n">
        <v>9998</v>
      </c>
      <c r="FH41" s="6" t="n">
        <v>9998</v>
      </c>
      <c r="FI41" s="6" t="n">
        <v>9998</v>
      </c>
      <c r="FJ41" s="6" t="n">
        <v>9998</v>
      </c>
      <c r="FK41" s="6" t="n">
        <v>9999</v>
      </c>
      <c r="FL41" s="6" t="n">
        <v>10000</v>
      </c>
      <c r="FM41" s="6" t="n">
        <v>10000</v>
      </c>
      <c r="FN41" s="6" t="n">
        <v>10000</v>
      </c>
      <c r="FO41" s="6" t="n">
        <v>10000</v>
      </c>
      <c r="FP41" s="6" t="n">
        <v>10000</v>
      </c>
      <c r="FQ41" s="6" t="n">
        <v>10000</v>
      </c>
      <c r="FR41" s="6" t="n">
        <v>10000</v>
      </c>
      <c r="FS41" s="6" t="n">
        <v>10000</v>
      </c>
      <c r="FT41" s="6" t="n">
        <v>10000</v>
      </c>
      <c r="FU41" s="6" t="n">
        <v>10000</v>
      </c>
      <c r="FV41" s="6" t="n">
        <v>10000</v>
      </c>
      <c r="FW41" s="6" t="n">
        <v>10000</v>
      </c>
      <c r="FX41" s="6" t="n">
        <v>10000</v>
      </c>
      <c r="FY41" s="6" t="n">
        <v>10000</v>
      </c>
      <c r="FZ41" s="6" t="n">
        <v>10000</v>
      </c>
      <c r="GA41" s="6" t="n">
        <v>10000</v>
      </c>
      <c r="GB41" s="6" t="n">
        <v>10000</v>
      </c>
      <c r="GC41" s="6" t="n">
        <v>10000</v>
      </c>
      <c r="GD41" s="6" t="n">
        <v>10000</v>
      </c>
      <c r="GE41" s="6" t="n">
        <v>10000</v>
      </c>
      <c r="GF41" s="6" t="n">
        <v>10000</v>
      </c>
      <c r="GG41" s="6" t="n">
        <v>10000</v>
      </c>
      <c r="GH41" s="6" t="n">
        <v>10000</v>
      </c>
      <c r="GI41" s="6" t="n">
        <v>10000</v>
      </c>
      <c r="GJ41" s="6" t="n">
        <v>10000</v>
      </c>
      <c r="GK41" s="6" t="n">
        <v>10000</v>
      </c>
      <c r="GL41" s="6" t="n">
        <v>10000</v>
      </c>
    </row>
    <row r="42">
      <c r="A42" s="6" t="inlineStr">
        <is>
          <t>GDAM</t>
        </is>
      </c>
      <c r="B42" s="6" t="n">
        <v>9</v>
      </c>
      <c r="C42" s="6" t="n">
        <v>10000</v>
      </c>
      <c r="D42" s="6" t="n">
        <v>10000</v>
      </c>
      <c r="E42" s="6" t="n">
        <v>10000</v>
      </c>
      <c r="F42" s="6" t="n">
        <v>10000</v>
      </c>
      <c r="G42" s="6" t="n">
        <v>10000</v>
      </c>
      <c r="H42" s="6" t="n">
        <v>10000</v>
      </c>
      <c r="I42" s="6" t="n">
        <v>10000</v>
      </c>
      <c r="J42" s="6" t="n">
        <v>10000</v>
      </c>
      <c r="K42" s="6" t="n">
        <v>10000</v>
      </c>
      <c r="L42" s="6" t="n">
        <v>10000</v>
      </c>
      <c r="M42" s="6" t="n">
        <v>10000</v>
      </c>
      <c r="N42" s="6" t="n">
        <v>10000</v>
      </c>
      <c r="O42" s="6" t="n">
        <v>10000</v>
      </c>
      <c r="P42" s="6" t="n">
        <v>10000</v>
      </c>
      <c r="Q42" s="6" t="n">
        <v>10000</v>
      </c>
      <c r="R42" s="6" t="n">
        <v>10000</v>
      </c>
      <c r="S42" s="6" t="n">
        <v>10000</v>
      </c>
      <c r="T42" s="6" t="n">
        <v>10000</v>
      </c>
      <c r="U42" s="6" t="n">
        <v>10000</v>
      </c>
      <c r="V42" s="6" t="n">
        <v>10000</v>
      </c>
      <c r="W42" s="6" t="n">
        <v>10000</v>
      </c>
      <c r="X42" s="6" t="n">
        <v>10000</v>
      </c>
      <c r="Y42" s="6" t="n">
        <v>10000</v>
      </c>
      <c r="Z42" s="6" t="n">
        <v>10000</v>
      </c>
      <c r="AA42" s="6" t="n">
        <v>10000</v>
      </c>
      <c r="AB42" s="6" t="n">
        <v>10000</v>
      </c>
      <c r="AC42" s="6" t="n">
        <v>10000</v>
      </c>
      <c r="AD42" s="6" t="n">
        <v>10000</v>
      </c>
      <c r="AE42" s="6" t="n">
        <v>10000</v>
      </c>
      <c r="AF42" s="6" t="n">
        <v>10000</v>
      </c>
      <c r="AG42" s="6" t="n">
        <v>10000</v>
      </c>
      <c r="AH42" s="6" t="n">
        <v>10000</v>
      </c>
      <c r="AI42" s="6" t="n">
        <v>9998</v>
      </c>
      <c r="AJ42" s="6" t="n">
        <v>9339</v>
      </c>
      <c r="AK42" s="6" t="n">
        <v>6407</v>
      </c>
      <c r="AL42" s="6" t="n">
        <v>3979</v>
      </c>
      <c r="AM42" s="6" t="n">
        <v>3979</v>
      </c>
      <c r="AN42" s="6" t="n">
        <v>3513</v>
      </c>
      <c r="AO42" s="6" t="n">
        <v>3500</v>
      </c>
      <c r="AP42" s="6" t="n">
        <v>3100</v>
      </c>
      <c r="AQ42" s="6" t="n">
        <v>2900</v>
      </c>
      <c r="AR42" s="6" t="n">
        <v>2760</v>
      </c>
      <c r="AS42" s="6" t="n">
        <v>2760</v>
      </c>
      <c r="AT42" s="6" t="n">
        <v>2814</v>
      </c>
      <c r="AU42" s="6" t="n">
        <v>2851</v>
      </c>
      <c r="AV42" s="6" t="n">
        <v>2811</v>
      </c>
      <c r="AW42" s="6" t="n">
        <v>2711</v>
      </c>
      <c r="AX42" s="6" t="n">
        <v>2711</v>
      </c>
      <c r="AY42" s="6" t="n">
        <v>2471</v>
      </c>
      <c r="AZ42" s="6" t="n">
        <v>2420</v>
      </c>
      <c r="BA42" s="6" t="n">
        <v>2245</v>
      </c>
      <c r="BB42" s="6" t="n">
        <v>2110</v>
      </c>
      <c r="BC42" s="6" t="n">
        <v>2101</v>
      </c>
      <c r="BD42" s="6" t="n">
        <v>2101</v>
      </c>
      <c r="BE42" s="6" t="n">
        <v>2130</v>
      </c>
      <c r="BF42" s="6" t="n">
        <v>2231</v>
      </c>
      <c r="BG42" s="6" t="n">
        <v>2601</v>
      </c>
      <c r="BH42" s="6" t="n">
        <v>2738</v>
      </c>
      <c r="BI42" s="6" t="n">
        <v>2739</v>
      </c>
      <c r="BJ42" s="6" t="n">
        <v>3200</v>
      </c>
      <c r="BK42" s="6" t="n">
        <v>3509</v>
      </c>
      <c r="BL42" s="6" t="n">
        <v>3501</v>
      </c>
      <c r="BM42" s="6" t="n">
        <v>3700</v>
      </c>
      <c r="BN42" s="6" t="n">
        <v>3900</v>
      </c>
      <c r="BO42" s="6" t="n">
        <v>5500</v>
      </c>
      <c r="BP42" s="6" t="n">
        <v>9339</v>
      </c>
      <c r="BQ42" s="6" t="n">
        <v>9998</v>
      </c>
      <c r="BR42" s="6" t="n">
        <v>9998</v>
      </c>
      <c r="BS42" s="6" t="n">
        <v>10000</v>
      </c>
      <c r="BT42" s="6" t="n">
        <v>10000</v>
      </c>
      <c r="BU42" s="6" t="n">
        <v>10000</v>
      </c>
      <c r="BV42" s="6" t="n">
        <v>10000</v>
      </c>
      <c r="BW42" s="6" t="n">
        <v>10000</v>
      </c>
      <c r="BX42" s="6" t="n">
        <v>10000</v>
      </c>
      <c r="BY42" s="6" t="n">
        <v>10000</v>
      </c>
      <c r="BZ42" s="6" t="n">
        <v>10000</v>
      </c>
      <c r="CA42" s="6" t="n">
        <v>10000</v>
      </c>
      <c r="CB42" s="6" t="n">
        <v>10000</v>
      </c>
      <c r="CC42" s="6" t="n">
        <v>10000</v>
      </c>
      <c r="CD42" s="6" t="n">
        <v>10000</v>
      </c>
      <c r="CE42" s="6" t="n">
        <v>10000</v>
      </c>
      <c r="CF42" s="6" t="n">
        <v>10000</v>
      </c>
      <c r="CG42" s="6" t="n">
        <v>10000</v>
      </c>
      <c r="CH42" s="6" t="n">
        <v>10000</v>
      </c>
      <c r="CI42" s="6" t="n">
        <v>10000</v>
      </c>
      <c r="CJ42" s="6" t="n">
        <v>10000</v>
      </c>
      <c r="CK42" s="6" t="n">
        <v>10000</v>
      </c>
      <c r="CL42" s="6" t="n">
        <v>10000</v>
      </c>
      <c r="CM42" s="6" t="n">
        <v>10000</v>
      </c>
      <c r="CN42" s="6" t="n">
        <v>10000</v>
      </c>
      <c r="CO42" s="6" t="n">
        <v>10000</v>
      </c>
      <c r="CP42" s="6" t="n">
        <v>10000</v>
      </c>
      <c r="CQ42" s="6" t="n">
        <v>10000</v>
      </c>
      <c r="CR42" s="6" t="n">
        <v>10000</v>
      </c>
      <c r="CS42" s="6" t="n">
        <v>10000</v>
      </c>
      <c r="CT42" s="6" t="n">
        <v>10000</v>
      </c>
      <c r="CU42" s="6" t="n">
        <v>10000</v>
      </c>
      <c r="CV42" s="6" t="n">
        <v>10000</v>
      </c>
      <c r="CW42" s="6" t="n">
        <v>10000</v>
      </c>
      <c r="CX42" s="6" t="n">
        <v>10000</v>
      </c>
      <c r="CY42" s="6" t="n">
        <v>10000</v>
      </c>
      <c r="CZ42" s="6" t="n">
        <v>10000</v>
      </c>
      <c r="DA42" s="6" t="n">
        <v>10000</v>
      </c>
      <c r="DB42" s="6" t="n">
        <v>10000</v>
      </c>
      <c r="DC42" s="6" t="n">
        <v>10000</v>
      </c>
      <c r="DD42" s="6" t="n">
        <v>10000</v>
      </c>
      <c r="DE42" s="6" t="n">
        <v>10000</v>
      </c>
      <c r="DF42" s="6" t="n">
        <v>10000</v>
      </c>
      <c r="DG42" s="6" t="n">
        <v>10000</v>
      </c>
      <c r="DH42" s="6" t="n">
        <v>10000</v>
      </c>
      <c r="DI42" s="6" t="n">
        <v>10000</v>
      </c>
      <c r="DJ42" s="6" t="n">
        <v>10000</v>
      </c>
      <c r="DK42" s="6" t="n">
        <v>10000</v>
      </c>
      <c r="DL42" s="6" t="n">
        <v>10000</v>
      </c>
      <c r="DM42" s="6" t="n">
        <v>10000</v>
      </c>
      <c r="DN42" s="6" t="n">
        <v>10000</v>
      </c>
      <c r="DO42" s="6" t="n">
        <v>10000</v>
      </c>
      <c r="DP42" s="6" t="n">
        <v>10000</v>
      </c>
      <c r="DQ42" s="6" t="n">
        <v>10000</v>
      </c>
      <c r="DR42" s="6" t="n">
        <v>10000</v>
      </c>
      <c r="DS42" s="6" t="n">
        <v>10000</v>
      </c>
      <c r="DT42" s="6" t="n">
        <v>10000</v>
      </c>
      <c r="DU42" s="6" t="n">
        <v>10000</v>
      </c>
      <c r="DV42" s="6" t="n">
        <v>10000</v>
      </c>
      <c r="DW42" s="6" t="n">
        <v>10000</v>
      </c>
      <c r="DX42" s="6" t="n">
        <v>10000</v>
      </c>
      <c r="DY42" s="6" t="n">
        <v>10000</v>
      </c>
      <c r="DZ42" s="6" t="n">
        <v>10000</v>
      </c>
      <c r="EA42" s="6" t="n">
        <v>9998</v>
      </c>
      <c r="EB42" s="6" t="n">
        <v>9339</v>
      </c>
      <c r="EC42" s="6" t="n">
        <v>6407</v>
      </c>
      <c r="ED42" s="6" t="n">
        <v>3979</v>
      </c>
      <c r="EE42" s="6" t="n">
        <v>3979</v>
      </c>
      <c r="EF42" s="6" t="n">
        <v>3513</v>
      </c>
      <c r="EG42" s="6" t="n">
        <v>3500</v>
      </c>
      <c r="EH42" s="6" t="n">
        <v>3100</v>
      </c>
      <c r="EI42" s="6" t="n">
        <v>2900</v>
      </c>
      <c r="EJ42" s="6" t="n">
        <v>2760</v>
      </c>
      <c r="EK42" s="6" t="n">
        <v>2760</v>
      </c>
      <c r="EL42" s="6" t="n">
        <v>2814</v>
      </c>
      <c r="EM42" s="6" t="n">
        <v>2851</v>
      </c>
      <c r="EN42" s="6" t="n">
        <v>2811</v>
      </c>
      <c r="EO42" s="6" t="n">
        <v>2711</v>
      </c>
      <c r="EP42" s="6" t="n">
        <v>2711</v>
      </c>
      <c r="EQ42" s="6" t="n">
        <v>2471</v>
      </c>
      <c r="ER42" s="6" t="n">
        <v>2420</v>
      </c>
      <c r="ES42" s="6" t="n">
        <v>2245</v>
      </c>
      <c r="ET42" s="6" t="n">
        <v>2110</v>
      </c>
      <c r="EU42" s="6" t="n">
        <v>2101</v>
      </c>
      <c r="EV42" s="6" t="n">
        <v>2101</v>
      </c>
      <c r="EW42" s="6" t="n">
        <v>2130</v>
      </c>
      <c r="EX42" s="6" t="n">
        <v>2231</v>
      </c>
      <c r="EY42" s="6" t="n">
        <v>2601</v>
      </c>
      <c r="EZ42" s="6" t="n">
        <v>2738</v>
      </c>
      <c r="FA42" s="6" t="n">
        <v>2739</v>
      </c>
      <c r="FB42" s="6" t="n">
        <v>3200</v>
      </c>
      <c r="FC42" s="6" t="n">
        <v>3509</v>
      </c>
      <c r="FD42" s="6" t="n">
        <v>3501</v>
      </c>
      <c r="FE42" s="6" t="n">
        <v>3700</v>
      </c>
      <c r="FF42" s="6" t="n">
        <v>3900</v>
      </c>
      <c r="FG42" s="6" t="n">
        <v>5500</v>
      </c>
      <c r="FH42" s="6" t="n">
        <v>9339</v>
      </c>
      <c r="FI42" s="6" t="n">
        <v>9998</v>
      </c>
      <c r="FJ42" s="6" t="n">
        <v>9998</v>
      </c>
      <c r="FK42" s="6" t="n">
        <v>10000</v>
      </c>
      <c r="FL42" s="6" t="n">
        <v>10000</v>
      </c>
      <c r="FM42" s="6" t="n">
        <v>10000</v>
      </c>
      <c r="FN42" s="6" t="n">
        <v>10000</v>
      </c>
      <c r="FO42" s="6" t="n">
        <v>10000</v>
      </c>
      <c r="FP42" s="6" t="n">
        <v>10000</v>
      </c>
      <c r="FQ42" s="6" t="n">
        <v>10000</v>
      </c>
      <c r="FR42" s="6" t="n">
        <v>10000</v>
      </c>
      <c r="FS42" s="6" t="n">
        <v>10000</v>
      </c>
      <c r="FT42" s="6" t="n">
        <v>10000</v>
      </c>
      <c r="FU42" s="6" t="n">
        <v>10000</v>
      </c>
      <c r="FV42" s="6" t="n">
        <v>10000</v>
      </c>
      <c r="FW42" s="6" t="n">
        <v>10000</v>
      </c>
      <c r="FX42" s="6" t="n">
        <v>10000</v>
      </c>
      <c r="FY42" s="6" t="n">
        <v>10000</v>
      </c>
      <c r="FZ42" s="6" t="n">
        <v>10000</v>
      </c>
      <c r="GA42" s="6" t="n">
        <v>10000</v>
      </c>
      <c r="GB42" s="6" t="n">
        <v>10000</v>
      </c>
      <c r="GC42" s="6" t="n">
        <v>10000</v>
      </c>
      <c r="GD42" s="6" t="n">
        <v>10000</v>
      </c>
      <c r="GE42" s="6" t="n">
        <v>10000</v>
      </c>
      <c r="GF42" s="6" t="n">
        <v>10000</v>
      </c>
      <c r="GG42" s="6" t="n">
        <v>10000</v>
      </c>
      <c r="GH42" s="6" t="n">
        <v>10000</v>
      </c>
      <c r="GI42" s="6" t="n">
        <v>10000</v>
      </c>
      <c r="GJ42" s="6" t="n">
        <v>10000</v>
      </c>
      <c r="GK42" s="6" t="n">
        <v>10000</v>
      </c>
      <c r="GL42" s="6" t="n">
        <v>10000</v>
      </c>
    </row>
    <row r="43">
      <c r="A43" s="6" t="inlineStr">
        <is>
          <t>GDAM</t>
        </is>
      </c>
      <c r="B43" s="6" t="n">
        <v>10</v>
      </c>
      <c r="C43" s="6" t="n">
        <v>10000</v>
      </c>
      <c r="D43" s="6" t="n">
        <v>10000</v>
      </c>
      <c r="E43" s="6" t="n">
        <v>10000</v>
      </c>
      <c r="F43" s="6" t="n">
        <v>10000</v>
      </c>
      <c r="G43" s="6" t="n">
        <v>10000</v>
      </c>
      <c r="H43" s="6" t="n">
        <v>10000</v>
      </c>
      <c r="I43" s="6" t="n">
        <v>10000</v>
      </c>
      <c r="J43" s="6" t="n">
        <v>10000</v>
      </c>
      <c r="K43" s="6" t="n">
        <v>10000</v>
      </c>
      <c r="L43" s="6" t="n">
        <v>10000</v>
      </c>
      <c r="M43" s="6" t="n">
        <v>10000</v>
      </c>
      <c r="N43" s="6" t="n">
        <v>10000</v>
      </c>
      <c r="O43" s="6" t="n">
        <v>10000</v>
      </c>
      <c r="P43" s="6" t="n">
        <v>10000</v>
      </c>
      <c r="Q43" s="6" t="n">
        <v>10000</v>
      </c>
      <c r="R43" s="6" t="n">
        <v>10000</v>
      </c>
      <c r="S43" s="6" t="n">
        <v>10000</v>
      </c>
      <c r="T43" s="6" t="n">
        <v>10000</v>
      </c>
      <c r="U43" s="6" t="n">
        <v>10000</v>
      </c>
      <c r="V43" s="6" t="n">
        <v>10000</v>
      </c>
      <c r="W43" s="6" t="n">
        <v>10000</v>
      </c>
      <c r="X43" s="6" t="n">
        <v>10000</v>
      </c>
      <c r="Y43" s="6" t="n">
        <v>10000</v>
      </c>
      <c r="Z43" s="6" t="n">
        <v>10000</v>
      </c>
      <c r="AA43" s="6" t="n">
        <v>10000</v>
      </c>
      <c r="AB43" s="6" t="n">
        <v>10000</v>
      </c>
      <c r="AC43" s="6" t="n">
        <v>10000</v>
      </c>
      <c r="AD43" s="6" t="n">
        <v>10000</v>
      </c>
      <c r="AE43" s="6" t="n">
        <v>10000</v>
      </c>
      <c r="AF43" s="6" t="n">
        <v>10000</v>
      </c>
      <c r="AG43" s="6" t="n">
        <v>10000</v>
      </c>
      <c r="AH43" s="6" t="n">
        <v>10000</v>
      </c>
      <c r="AI43" s="6" t="n">
        <v>9998</v>
      </c>
      <c r="AJ43" s="6" t="n">
        <v>8200</v>
      </c>
      <c r="AK43" s="6" t="n">
        <v>6001</v>
      </c>
      <c r="AL43" s="6" t="n">
        <v>4501</v>
      </c>
      <c r="AM43" s="6" t="n">
        <v>4501</v>
      </c>
      <c r="AN43" s="6" t="n">
        <v>3787</v>
      </c>
      <c r="AO43" s="6" t="n">
        <v>3499</v>
      </c>
      <c r="AP43" s="6" t="n">
        <v>3299</v>
      </c>
      <c r="AQ43" s="6" t="n">
        <v>2900</v>
      </c>
      <c r="AR43" s="6" t="n">
        <v>2759</v>
      </c>
      <c r="AS43" s="6" t="n">
        <v>2759</v>
      </c>
      <c r="AT43" s="6" t="n">
        <v>3000</v>
      </c>
      <c r="AU43" s="6" t="n">
        <v>2850</v>
      </c>
      <c r="AV43" s="6" t="n">
        <v>2810</v>
      </c>
      <c r="AW43" s="6" t="n">
        <v>2570</v>
      </c>
      <c r="AX43" s="6" t="n">
        <v>2570</v>
      </c>
      <c r="AY43" s="6" t="n">
        <v>2539</v>
      </c>
      <c r="AZ43" s="6" t="n">
        <v>2500</v>
      </c>
      <c r="BA43" s="6" t="n">
        <v>2500</v>
      </c>
      <c r="BB43" s="6" t="n">
        <v>2440</v>
      </c>
      <c r="BC43" s="6" t="n">
        <v>2401</v>
      </c>
      <c r="BD43" s="6" t="n">
        <v>2401</v>
      </c>
      <c r="BE43" s="6" t="n">
        <v>2440</v>
      </c>
      <c r="BF43" s="6" t="n">
        <v>2500</v>
      </c>
      <c r="BG43" s="6" t="n">
        <v>2660</v>
      </c>
      <c r="BH43" s="6" t="n">
        <v>2850</v>
      </c>
      <c r="BI43" s="6" t="n">
        <v>2988</v>
      </c>
      <c r="BJ43" s="6" t="n">
        <v>3200</v>
      </c>
      <c r="BK43" s="6" t="n">
        <v>3711</v>
      </c>
      <c r="BL43" s="6" t="n">
        <v>4001</v>
      </c>
      <c r="BM43" s="6" t="n">
        <v>4170</v>
      </c>
      <c r="BN43" s="6" t="n">
        <v>4001</v>
      </c>
      <c r="BO43" s="6" t="n">
        <v>9998</v>
      </c>
      <c r="BP43" s="6" t="n">
        <v>9999</v>
      </c>
      <c r="BQ43" s="6" t="n">
        <v>10000</v>
      </c>
      <c r="BR43" s="6" t="n">
        <v>10000</v>
      </c>
      <c r="BS43" s="6" t="n">
        <v>10000</v>
      </c>
      <c r="BT43" s="6" t="n">
        <v>10000</v>
      </c>
      <c r="BU43" s="6" t="n">
        <v>10000</v>
      </c>
      <c r="BV43" s="6" t="n">
        <v>10000</v>
      </c>
      <c r="BW43" s="6" t="n">
        <v>10000</v>
      </c>
      <c r="BX43" s="6" t="n">
        <v>10000</v>
      </c>
      <c r="BY43" s="6" t="n">
        <v>10000</v>
      </c>
      <c r="BZ43" s="6" t="n">
        <v>10000</v>
      </c>
      <c r="CA43" s="6" t="n">
        <v>10000</v>
      </c>
      <c r="CB43" s="6" t="n">
        <v>10000</v>
      </c>
      <c r="CC43" s="6" t="n">
        <v>10000</v>
      </c>
      <c r="CD43" s="6" t="n">
        <v>10000</v>
      </c>
      <c r="CE43" s="6" t="n">
        <v>10000</v>
      </c>
      <c r="CF43" s="6" t="n">
        <v>10000</v>
      </c>
      <c r="CG43" s="6" t="n">
        <v>10000</v>
      </c>
      <c r="CH43" s="6" t="n">
        <v>10000</v>
      </c>
      <c r="CI43" s="6" t="n">
        <v>10000</v>
      </c>
      <c r="CJ43" s="6" t="n">
        <v>10000</v>
      </c>
      <c r="CK43" s="6" t="n">
        <v>10000</v>
      </c>
      <c r="CL43" s="6" t="n">
        <v>10000</v>
      </c>
      <c r="CM43" s="6" t="n">
        <v>10000</v>
      </c>
      <c r="CN43" s="6" t="n">
        <v>10000</v>
      </c>
      <c r="CO43" s="6" t="n">
        <v>10000</v>
      </c>
      <c r="CP43" s="6" t="n">
        <v>10000</v>
      </c>
      <c r="CQ43" s="6" t="n">
        <v>10000</v>
      </c>
      <c r="CR43" s="6" t="n">
        <v>10000</v>
      </c>
      <c r="CS43" s="6" t="n">
        <v>10000</v>
      </c>
      <c r="CT43" s="6" t="n">
        <v>10000</v>
      </c>
      <c r="CU43" s="6" t="n">
        <v>10000</v>
      </c>
      <c r="CV43" s="6" t="n">
        <v>10000</v>
      </c>
      <c r="CW43" s="6" t="n">
        <v>10000</v>
      </c>
      <c r="CX43" s="6" t="n">
        <v>10000</v>
      </c>
      <c r="CY43" s="6" t="n">
        <v>10000</v>
      </c>
      <c r="CZ43" s="6" t="n">
        <v>10000</v>
      </c>
      <c r="DA43" s="6" t="n">
        <v>10000</v>
      </c>
      <c r="DB43" s="6" t="n">
        <v>10000</v>
      </c>
      <c r="DC43" s="6" t="n">
        <v>10000</v>
      </c>
      <c r="DD43" s="6" t="n">
        <v>10000</v>
      </c>
      <c r="DE43" s="6" t="n">
        <v>10000</v>
      </c>
      <c r="DF43" s="6" t="n">
        <v>10000</v>
      </c>
      <c r="DG43" s="6" t="n">
        <v>10000</v>
      </c>
      <c r="DH43" s="6" t="n">
        <v>10000</v>
      </c>
      <c r="DI43" s="6" t="n">
        <v>10000</v>
      </c>
      <c r="DJ43" s="6" t="n">
        <v>10000</v>
      </c>
      <c r="DK43" s="6" t="n">
        <v>10000</v>
      </c>
      <c r="DL43" s="6" t="n">
        <v>10000</v>
      </c>
      <c r="DM43" s="6" t="n">
        <v>10000</v>
      </c>
      <c r="DN43" s="6" t="n">
        <v>10000</v>
      </c>
      <c r="DO43" s="6" t="n">
        <v>10000</v>
      </c>
      <c r="DP43" s="6" t="n">
        <v>10000</v>
      </c>
      <c r="DQ43" s="6" t="n">
        <v>10000</v>
      </c>
      <c r="DR43" s="6" t="n">
        <v>10000</v>
      </c>
      <c r="DS43" s="6" t="n">
        <v>10000</v>
      </c>
      <c r="DT43" s="6" t="n">
        <v>10000</v>
      </c>
      <c r="DU43" s="6" t="n">
        <v>10000</v>
      </c>
      <c r="DV43" s="6" t="n">
        <v>10000</v>
      </c>
      <c r="DW43" s="6" t="n">
        <v>10000</v>
      </c>
      <c r="DX43" s="6" t="n">
        <v>10000</v>
      </c>
      <c r="DY43" s="6" t="n">
        <v>10000</v>
      </c>
      <c r="DZ43" s="6" t="n">
        <v>10000</v>
      </c>
      <c r="EA43" s="6" t="n">
        <v>9998</v>
      </c>
      <c r="EB43" s="6" t="n">
        <v>8200</v>
      </c>
      <c r="EC43" s="6" t="n">
        <v>6001</v>
      </c>
      <c r="ED43" s="6" t="n">
        <v>4501</v>
      </c>
      <c r="EE43" s="6" t="n">
        <v>4501</v>
      </c>
      <c r="EF43" s="6" t="n">
        <v>3787</v>
      </c>
      <c r="EG43" s="6" t="n">
        <v>3499</v>
      </c>
      <c r="EH43" s="6" t="n">
        <v>3299</v>
      </c>
      <c r="EI43" s="6" t="n">
        <v>2900</v>
      </c>
      <c r="EJ43" s="6" t="n">
        <v>2759</v>
      </c>
      <c r="EK43" s="6" t="n">
        <v>2759</v>
      </c>
      <c r="EL43" s="6" t="n">
        <v>3000</v>
      </c>
      <c r="EM43" s="6" t="n">
        <v>2850</v>
      </c>
      <c r="EN43" s="6" t="n">
        <v>2810</v>
      </c>
      <c r="EO43" s="6" t="n">
        <v>2570</v>
      </c>
      <c r="EP43" s="6" t="n">
        <v>2570</v>
      </c>
      <c r="EQ43" s="6" t="n">
        <v>2539</v>
      </c>
      <c r="ER43" s="6" t="n">
        <v>2500</v>
      </c>
      <c r="ES43" s="6" t="n">
        <v>2500</v>
      </c>
      <c r="ET43" s="6" t="n">
        <v>2440</v>
      </c>
      <c r="EU43" s="6" t="n">
        <v>2401</v>
      </c>
      <c r="EV43" s="6" t="n">
        <v>2401</v>
      </c>
      <c r="EW43" s="6" t="n">
        <v>2440</v>
      </c>
      <c r="EX43" s="6" t="n">
        <v>2500</v>
      </c>
      <c r="EY43" s="6" t="n">
        <v>2660</v>
      </c>
      <c r="EZ43" s="6" t="n">
        <v>2850</v>
      </c>
      <c r="FA43" s="6" t="n">
        <v>2988</v>
      </c>
      <c r="FB43" s="6" t="n">
        <v>3200</v>
      </c>
      <c r="FC43" s="6" t="n">
        <v>3711</v>
      </c>
      <c r="FD43" s="6" t="n">
        <v>4001</v>
      </c>
      <c r="FE43" s="6" t="n">
        <v>4170</v>
      </c>
      <c r="FF43" s="6" t="n">
        <v>4001</v>
      </c>
      <c r="FG43" s="6" t="n">
        <v>9998</v>
      </c>
      <c r="FH43" s="6" t="n">
        <v>9999</v>
      </c>
      <c r="FI43" s="6" t="n">
        <v>10000</v>
      </c>
      <c r="FJ43" s="6" t="n">
        <v>10000</v>
      </c>
      <c r="FK43" s="6" t="n">
        <v>10000</v>
      </c>
      <c r="FL43" s="6" t="n">
        <v>10000</v>
      </c>
      <c r="FM43" s="6" t="n">
        <v>10000</v>
      </c>
      <c r="FN43" s="6" t="n">
        <v>10000</v>
      </c>
      <c r="FO43" s="6" t="n">
        <v>10000</v>
      </c>
      <c r="FP43" s="6" t="n">
        <v>10000</v>
      </c>
      <c r="FQ43" s="6" t="n">
        <v>10000</v>
      </c>
      <c r="FR43" s="6" t="n">
        <v>10000</v>
      </c>
      <c r="FS43" s="6" t="n">
        <v>10000</v>
      </c>
      <c r="FT43" s="6" t="n">
        <v>10000</v>
      </c>
      <c r="FU43" s="6" t="n">
        <v>10000</v>
      </c>
      <c r="FV43" s="6" t="n">
        <v>10000</v>
      </c>
      <c r="FW43" s="6" t="n">
        <v>10000</v>
      </c>
      <c r="FX43" s="6" t="n">
        <v>10000</v>
      </c>
      <c r="FY43" s="6" t="n">
        <v>10000</v>
      </c>
      <c r="FZ43" s="6" t="n">
        <v>10000</v>
      </c>
      <c r="GA43" s="6" t="n">
        <v>10000</v>
      </c>
      <c r="GB43" s="6" t="n">
        <v>10000</v>
      </c>
      <c r="GC43" s="6" t="n">
        <v>10000</v>
      </c>
      <c r="GD43" s="6" t="n">
        <v>10000</v>
      </c>
      <c r="GE43" s="6" t="n">
        <v>10000</v>
      </c>
      <c r="GF43" s="6" t="n">
        <v>10000</v>
      </c>
      <c r="GG43" s="6" t="n">
        <v>10000</v>
      </c>
      <c r="GH43" s="6" t="n">
        <v>10000</v>
      </c>
      <c r="GI43" s="6" t="n">
        <v>10000</v>
      </c>
      <c r="GJ43" s="6" t="n">
        <v>10000</v>
      </c>
      <c r="GK43" s="6" t="n">
        <v>10000</v>
      </c>
      <c r="GL43" s="6" t="n">
        <v>10000</v>
      </c>
    </row>
    <row r="44">
      <c r="A44" s="6" t="inlineStr">
        <is>
          <t>GDAM</t>
        </is>
      </c>
      <c r="B44" s="6" t="n">
        <v>11</v>
      </c>
      <c r="C44" s="6" t="n">
        <v>10000</v>
      </c>
      <c r="D44" s="6" t="n">
        <v>10000</v>
      </c>
      <c r="E44" s="6" t="n">
        <v>10000</v>
      </c>
      <c r="F44" s="6" t="n">
        <v>10000</v>
      </c>
      <c r="G44" s="6" t="n">
        <v>10000</v>
      </c>
      <c r="H44" s="6" t="n">
        <v>10000</v>
      </c>
      <c r="I44" s="6" t="n">
        <v>10000</v>
      </c>
      <c r="J44" s="6" t="n">
        <v>10000</v>
      </c>
      <c r="K44" s="6" t="n">
        <v>10000</v>
      </c>
      <c r="L44" s="6" t="n">
        <v>10000</v>
      </c>
      <c r="M44" s="6" t="n">
        <v>10000</v>
      </c>
      <c r="N44" s="6" t="n">
        <v>10000</v>
      </c>
      <c r="O44" s="6" t="n">
        <v>10000</v>
      </c>
      <c r="P44" s="6" t="n">
        <v>10000</v>
      </c>
      <c r="Q44" s="6" t="n">
        <v>10000</v>
      </c>
      <c r="R44" s="6" t="n">
        <v>10000</v>
      </c>
      <c r="S44" s="6" t="n">
        <v>10000</v>
      </c>
      <c r="T44" s="6" t="n">
        <v>10000</v>
      </c>
      <c r="U44" s="6" t="n">
        <v>10000</v>
      </c>
      <c r="V44" s="6" t="n">
        <v>10000</v>
      </c>
      <c r="W44" s="6" t="n">
        <v>10000</v>
      </c>
      <c r="X44" s="6" t="n">
        <v>10000</v>
      </c>
      <c r="Y44" s="6" t="n">
        <v>10000</v>
      </c>
      <c r="Z44" s="6" t="n">
        <v>10000</v>
      </c>
      <c r="AA44" s="6" t="n">
        <v>10000</v>
      </c>
      <c r="AB44" s="6" t="n">
        <v>10000</v>
      </c>
      <c r="AC44" s="6" t="n">
        <v>10000</v>
      </c>
      <c r="AD44" s="6" t="n">
        <v>10000</v>
      </c>
      <c r="AE44" s="6" t="n">
        <v>10000</v>
      </c>
      <c r="AF44" s="6" t="n">
        <v>10000</v>
      </c>
      <c r="AG44" s="6" t="n">
        <v>10000</v>
      </c>
      <c r="AH44" s="6" t="n">
        <v>10000</v>
      </c>
      <c r="AI44" s="6" t="n">
        <v>10000</v>
      </c>
      <c r="AJ44" s="6" t="n">
        <v>10000</v>
      </c>
      <c r="AK44" s="6" t="n">
        <v>4501</v>
      </c>
      <c r="AL44" s="6" t="n">
        <v>4870</v>
      </c>
      <c r="AM44" s="6" t="n">
        <v>5800</v>
      </c>
      <c r="AN44" s="6" t="n">
        <v>4092</v>
      </c>
      <c r="AO44" s="6" t="n">
        <v>3742</v>
      </c>
      <c r="AP44" s="6" t="n">
        <v>3501</v>
      </c>
      <c r="AQ44" s="6" t="n">
        <v>3501</v>
      </c>
      <c r="AR44" s="6" t="n">
        <v>3501</v>
      </c>
      <c r="AS44" s="6" t="n">
        <v>3501</v>
      </c>
      <c r="AT44" s="6" t="n">
        <v>3501</v>
      </c>
      <c r="AU44" s="6" t="n">
        <v>3500</v>
      </c>
      <c r="AV44" s="6" t="n">
        <v>3500</v>
      </c>
      <c r="AW44" s="6" t="n">
        <v>3500</v>
      </c>
      <c r="AX44" s="6" t="n">
        <v>3501</v>
      </c>
      <c r="AY44" s="6" t="n">
        <v>3501</v>
      </c>
      <c r="AZ44" s="6" t="n">
        <v>3201</v>
      </c>
      <c r="BA44" s="6" t="n">
        <v>3201</v>
      </c>
      <c r="BB44" s="6" t="n">
        <v>3201</v>
      </c>
      <c r="BC44" s="6" t="n">
        <v>3201</v>
      </c>
      <c r="BD44" s="6" t="n">
        <v>3201</v>
      </c>
      <c r="BE44" s="6" t="n">
        <v>3201</v>
      </c>
      <c r="BF44" s="6" t="n">
        <v>3235</v>
      </c>
      <c r="BG44" s="6" t="n">
        <v>3583</v>
      </c>
      <c r="BH44" s="6" t="n">
        <v>3634</v>
      </c>
      <c r="BI44" s="6" t="n">
        <v>3651</v>
      </c>
      <c r="BJ44" s="6" t="n">
        <v>3711</v>
      </c>
      <c r="BK44" s="6" t="n">
        <v>4200</v>
      </c>
      <c r="BL44" s="6" t="n">
        <v>5498</v>
      </c>
      <c r="BM44" s="6" t="n">
        <v>7001</v>
      </c>
      <c r="BN44" s="6" t="n">
        <v>9998</v>
      </c>
      <c r="BO44" s="6" t="n">
        <v>10000</v>
      </c>
      <c r="BP44" s="6" t="n">
        <v>10000</v>
      </c>
      <c r="BQ44" s="6" t="n">
        <v>10000</v>
      </c>
      <c r="BR44" s="6" t="n">
        <v>10000</v>
      </c>
      <c r="BS44" s="6" t="n">
        <v>10000</v>
      </c>
      <c r="BT44" s="6" t="n">
        <v>10000</v>
      </c>
      <c r="BU44" s="6" t="n">
        <v>10000</v>
      </c>
      <c r="BV44" s="6" t="n">
        <v>10000</v>
      </c>
      <c r="BW44" s="6" t="n">
        <v>10000</v>
      </c>
      <c r="BX44" s="6" t="n">
        <v>10000</v>
      </c>
      <c r="BY44" s="6" t="n">
        <v>10000</v>
      </c>
      <c r="BZ44" s="6" t="n">
        <v>10000</v>
      </c>
      <c r="CA44" s="6" t="n">
        <v>10000</v>
      </c>
      <c r="CB44" s="6" t="n">
        <v>10000</v>
      </c>
      <c r="CC44" s="6" t="n">
        <v>10000</v>
      </c>
      <c r="CD44" s="6" t="n">
        <v>10000</v>
      </c>
      <c r="CE44" s="6" t="n">
        <v>10000</v>
      </c>
      <c r="CF44" s="6" t="n">
        <v>10000</v>
      </c>
      <c r="CG44" s="6" t="n">
        <v>10000</v>
      </c>
      <c r="CH44" s="6" t="n">
        <v>10000</v>
      </c>
      <c r="CI44" s="6" t="n">
        <v>10000</v>
      </c>
      <c r="CJ44" s="6" t="n">
        <v>10000</v>
      </c>
      <c r="CK44" s="6" t="n">
        <v>10000</v>
      </c>
      <c r="CL44" s="6" t="n">
        <v>10000</v>
      </c>
      <c r="CM44" s="6" t="n">
        <v>10000</v>
      </c>
      <c r="CN44" s="6" t="n">
        <v>10000</v>
      </c>
      <c r="CO44" s="6" t="n">
        <v>10000</v>
      </c>
      <c r="CP44" s="6" t="n">
        <v>10000</v>
      </c>
      <c r="CQ44" s="6" t="n">
        <v>10000</v>
      </c>
      <c r="CR44" s="6" t="n">
        <v>10000</v>
      </c>
      <c r="CS44" s="6" t="n">
        <v>10000</v>
      </c>
      <c r="CT44" s="6" t="n">
        <v>10000</v>
      </c>
      <c r="CU44" s="6" t="n">
        <v>10000</v>
      </c>
      <c r="CV44" s="6" t="n">
        <v>10000</v>
      </c>
      <c r="CW44" s="6" t="n">
        <v>10000</v>
      </c>
      <c r="CX44" s="6" t="n">
        <v>10000</v>
      </c>
      <c r="CY44" s="6" t="n">
        <v>10000</v>
      </c>
      <c r="CZ44" s="6" t="n">
        <v>10000</v>
      </c>
      <c r="DA44" s="6" t="n">
        <v>10000</v>
      </c>
      <c r="DB44" s="6" t="n">
        <v>10000</v>
      </c>
      <c r="DC44" s="6" t="n">
        <v>10000</v>
      </c>
      <c r="DD44" s="6" t="n">
        <v>10000</v>
      </c>
      <c r="DE44" s="6" t="n">
        <v>10000</v>
      </c>
      <c r="DF44" s="6" t="n">
        <v>10000</v>
      </c>
      <c r="DG44" s="6" t="n">
        <v>10000</v>
      </c>
      <c r="DH44" s="6" t="n">
        <v>10000</v>
      </c>
      <c r="DI44" s="6" t="n">
        <v>10000</v>
      </c>
      <c r="DJ44" s="6" t="n">
        <v>10000</v>
      </c>
      <c r="DK44" s="6" t="n">
        <v>10000</v>
      </c>
      <c r="DL44" s="6" t="n">
        <v>10000</v>
      </c>
      <c r="DM44" s="6" t="n">
        <v>10000</v>
      </c>
      <c r="DN44" s="6" t="n">
        <v>10000</v>
      </c>
      <c r="DO44" s="6" t="n">
        <v>10000</v>
      </c>
      <c r="DP44" s="6" t="n">
        <v>10000</v>
      </c>
      <c r="DQ44" s="6" t="n">
        <v>10000</v>
      </c>
      <c r="DR44" s="6" t="n">
        <v>10000</v>
      </c>
      <c r="DS44" s="6" t="n">
        <v>10000</v>
      </c>
      <c r="DT44" s="6" t="n">
        <v>10000</v>
      </c>
      <c r="DU44" s="6" t="n">
        <v>10000</v>
      </c>
      <c r="DV44" s="6" t="n">
        <v>10000</v>
      </c>
      <c r="DW44" s="6" t="n">
        <v>10000</v>
      </c>
      <c r="DX44" s="6" t="n">
        <v>10000</v>
      </c>
      <c r="DY44" s="6" t="n">
        <v>10000</v>
      </c>
      <c r="DZ44" s="6" t="n">
        <v>10000</v>
      </c>
      <c r="EA44" s="6" t="n">
        <v>10000</v>
      </c>
      <c r="EB44" s="6" t="n">
        <v>10000</v>
      </c>
      <c r="EC44" s="6" t="n">
        <v>4501</v>
      </c>
      <c r="ED44" s="6" t="n">
        <v>4870</v>
      </c>
      <c r="EE44" s="6" t="n">
        <v>5800</v>
      </c>
      <c r="EF44" s="6" t="n">
        <v>4092</v>
      </c>
      <c r="EG44" s="6" t="n">
        <v>3742</v>
      </c>
      <c r="EH44" s="6" t="n">
        <v>3501</v>
      </c>
      <c r="EI44" s="6" t="n">
        <v>3501</v>
      </c>
      <c r="EJ44" s="6" t="n">
        <v>3501</v>
      </c>
      <c r="EK44" s="6" t="n">
        <v>3501</v>
      </c>
      <c r="EL44" s="6" t="n">
        <v>3501</v>
      </c>
      <c r="EM44" s="6" t="n">
        <v>3500</v>
      </c>
      <c r="EN44" s="6" t="n">
        <v>3500</v>
      </c>
      <c r="EO44" s="6" t="n">
        <v>3500</v>
      </c>
      <c r="EP44" s="6" t="n">
        <v>3501</v>
      </c>
      <c r="EQ44" s="6" t="n">
        <v>3501</v>
      </c>
      <c r="ER44" s="6" t="n">
        <v>3201</v>
      </c>
      <c r="ES44" s="6" t="n">
        <v>3201</v>
      </c>
      <c r="ET44" s="6" t="n">
        <v>3201</v>
      </c>
      <c r="EU44" s="6" t="n">
        <v>3201</v>
      </c>
      <c r="EV44" s="6" t="n">
        <v>3201</v>
      </c>
      <c r="EW44" s="6" t="n">
        <v>3201</v>
      </c>
      <c r="EX44" s="6" t="n">
        <v>3235</v>
      </c>
      <c r="EY44" s="6" t="n">
        <v>3583</v>
      </c>
      <c r="EZ44" s="6" t="n">
        <v>3634</v>
      </c>
      <c r="FA44" s="6" t="n">
        <v>3651</v>
      </c>
      <c r="FB44" s="6" t="n">
        <v>3711</v>
      </c>
      <c r="FC44" s="6" t="n">
        <v>4200</v>
      </c>
      <c r="FD44" s="6" t="n">
        <v>5498</v>
      </c>
      <c r="FE44" s="6" t="n">
        <v>7001</v>
      </c>
      <c r="FF44" s="6" t="n">
        <v>9998</v>
      </c>
      <c r="FG44" s="6" t="n">
        <v>10000</v>
      </c>
      <c r="FH44" s="6" t="n">
        <v>10000</v>
      </c>
      <c r="FI44" s="6" t="n">
        <v>10000</v>
      </c>
      <c r="FJ44" s="6" t="n">
        <v>10000</v>
      </c>
      <c r="FK44" s="6" t="n">
        <v>10000</v>
      </c>
      <c r="FL44" s="6" t="n">
        <v>10000</v>
      </c>
      <c r="FM44" s="6" t="n">
        <v>10000</v>
      </c>
      <c r="FN44" s="6" t="n">
        <v>10000</v>
      </c>
      <c r="FO44" s="6" t="n">
        <v>10000</v>
      </c>
      <c r="FP44" s="6" t="n">
        <v>10000</v>
      </c>
      <c r="FQ44" s="6" t="n">
        <v>10000</v>
      </c>
      <c r="FR44" s="6" t="n">
        <v>10000</v>
      </c>
      <c r="FS44" s="6" t="n">
        <v>10000</v>
      </c>
      <c r="FT44" s="6" t="n">
        <v>10000</v>
      </c>
      <c r="FU44" s="6" t="n">
        <v>10000</v>
      </c>
      <c r="FV44" s="6" t="n">
        <v>10000</v>
      </c>
      <c r="FW44" s="6" t="n">
        <v>10000</v>
      </c>
      <c r="FX44" s="6" t="n">
        <v>10000</v>
      </c>
      <c r="FY44" s="6" t="n">
        <v>10000</v>
      </c>
      <c r="FZ44" s="6" t="n">
        <v>10000</v>
      </c>
      <c r="GA44" s="6" t="n">
        <v>10000</v>
      </c>
      <c r="GB44" s="6" t="n">
        <v>10000</v>
      </c>
      <c r="GC44" s="6" t="n">
        <v>10000</v>
      </c>
      <c r="GD44" s="6" t="n">
        <v>10000</v>
      </c>
      <c r="GE44" s="6" t="n">
        <v>10000</v>
      </c>
      <c r="GF44" s="6" t="n">
        <v>10000</v>
      </c>
      <c r="GG44" s="6" t="n">
        <v>10000</v>
      </c>
      <c r="GH44" s="6" t="n">
        <v>10000</v>
      </c>
      <c r="GI44" s="6" t="n">
        <v>10000</v>
      </c>
      <c r="GJ44" s="6" t="n">
        <v>10000</v>
      </c>
      <c r="GK44" s="6" t="n">
        <v>10000</v>
      </c>
      <c r="GL44" s="6" t="n">
        <v>10000</v>
      </c>
    </row>
    <row r="45">
      <c r="A45" s="6" t="inlineStr">
        <is>
          <t>GDAM</t>
        </is>
      </c>
      <c r="B45" s="6" t="n">
        <v>12</v>
      </c>
      <c r="C45" s="6" t="n">
        <v>10000</v>
      </c>
      <c r="D45" s="6" t="n">
        <v>10000</v>
      </c>
      <c r="E45" s="6" t="n">
        <v>10000</v>
      </c>
      <c r="F45" s="6" t="n">
        <v>10000</v>
      </c>
      <c r="G45" s="6" t="n">
        <v>10000</v>
      </c>
      <c r="H45" s="6" t="n">
        <v>10000</v>
      </c>
      <c r="I45" s="6" t="n">
        <v>10000</v>
      </c>
      <c r="J45" s="6" t="n">
        <v>10000</v>
      </c>
      <c r="K45" s="6" t="n">
        <v>10000</v>
      </c>
      <c r="L45" s="6" t="n">
        <v>10000</v>
      </c>
      <c r="M45" s="6" t="n">
        <v>10000</v>
      </c>
      <c r="N45" s="6" t="n">
        <v>10000</v>
      </c>
      <c r="O45" s="6" t="n">
        <v>10000</v>
      </c>
      <c r="P45" s="6" t="n">
        <v>10000</v>
      </c>
      <c r="Q45" s="6" t="n">
        <v>10000</v>
      </c>
      <c r="R45" s="6" t="n">
        <v>10000</v>
      </c>
      <c r="S45" s="6" t="n">
        <v>10000</v>
      </c>
      <c r="T45" s="6" t="n">
        <v>10000</v>
      </c>
      <c r="U45" s="6" t="n">
        <v>10000</v>
      </c>
      <c r="V45" s="6" t="n">
        <v>10000</v>
      </c>
      <c r="W45" s="6" t="n">
        <v>10000</v>
      </c>
      <c r="X45" s="6" t="n">
        <v>10000</v>
      </c>
      <c r="Y45" s="6" t="n">
        <v>10000</v>
      </c>
      <c r="Z45" s="6" t="n">
        <v>10000</v>
      </c>
      <c r="AA45" s="6" t="n">
        <v>10000</v>
      </c>
      <c r="AB45" s="6" t="n">
        <v>10000</v>
      </c>
      <c r="AC45" s="6" t="n">
        <v>10000</v>
      </c>
      <c r="AD45" s="6" t="n">
        <v>10000</v>
      </c>
      <c r="AE45" s="6" t="n">
        <v>10000</v>
      </c>
      <c r="AF45" s="6" t="n">
        <v>10000</v>
      </c>
      <c r="AG45" s="6" t="n">
        <v>10000</v>
      </c>
      <c r="AH45" s="6" t="n">
        <v>10000</v>
      </c>
      <c r="AI45" s="6" t="n">
        <v>9998</v>
      </c>
      <c r="AJ45" s="6" t="n">
        <v>8201</v>
      </c>
      <c r="AK45" s="6" t="n">
        <v>9998</v>
      </c>
      <c r="AL45" s="6" t="n">
        <v>5001</v>
      </c>
      <c r="AM45" s="6" t="n">
        <v>4281</v>
      </c>
      <c r="AN45" s="6" t="n">
        <v>4104</v>
      </c>
      <c r="AO45" s="6" t="n">
        <v>3743</v>
      </c>
      <c r="AP45" s="6" t="n">
        <v>3603</v>
      </c>
      <c r="AQ45" s="6" t="n">
        <v>3648</v>
      </c>
      <c r="AR45" s="6" t="n">
        <v>3547</v>
      </c>
      <c r="AS45" s="6" t="n">
        <v>3800</v>
      </c>
      <c r="AT45" s="6" t="n">
        <v>3800</v>
      </c>
      <c r="AU45" s="6" t="n">
        <v>3800</v>
      </c>
      <c r="AV45" s="6" t="n">
        <v>3800</v>
      </c>
      <c r="AW45" s="6" t="n">
        <v>3800</v>
      </c>
      <c r="AX45" s="6" t="n">
        <v>3701</v>
      </c>
      <c r="AY45" s="6" t="n">
        <v>3700</v>
      </c>
      <c r="AZ45" s="6" t="n">
        <v>3500</v>
      </c>
      <c r="BA45" s="6" t="n">
        <v>3500</v>
      </c>
      <c r="BB45" s="6" t="n">
        <v>3500</v>
      </c>
      <c r="BC45" s="6" t="n">
        <v>3500</v>
      </c>
      <c r="BD45" s="6" t="n">
        <v>3466</v>
      </c>
      <c r="BE45" s="6" t="n">
        <v>3500</v>
      </c>
      <c r="BF45" s="6" t="n">
        <v>3500</v>
      </c>
      <c r="BG45" s="6" t="n">
        <v>3611</v>
      </c>
      <c r="BH45" s="6" t="n">
        <v>3634</v>
      </c>
      <c r="BI45" s="6" t="n">
        <v>3824</v>
      </c>
      <c r="BJ45" s="6" t="n">
        <v>4000</v>
      </c>
      <c r="BK45" s="6" t="n">
        <v>4750</v>
      </c>
      <c r="BL45" s="6" t="n">
        <v>5512</v>
      </c>
      <c r="BM45" s="6" t="n">
        <v>7201</v>
      </c>
      <c r="BN45" s="6" t="n">
        <v>9998</v>
      </c>
      <c r="BO45" s="6" t="n">
        <v>10000</v>
      </c>
      <c r="BP45" s="6" t="n">
        <v>10000</v>
      </c>
      <c r="BQ45" s="6" t="n">
        <v>10000</v>
      </c>
      <c r="BR45" s="6" t="n">
        <v>10000</v>
      </c>
      <c r="BS45" s="6" t="n">
        <v>10000</v>
      </c>
      <c r="BT45" s="6" t="n">
        <v>10000</v>
      </c>
      <c r="BU45" s="6" t="n">
        <v>10000</v>
      </c>
      <c r="BV45" s="6" t="n">
        <v>10000</v>
      </c>
      <c r="BW45" s="6" t="n">
        <v>10000</v>
      </c>
      <c r="BX45" s="6" t="n">
        <v>10000</v>
      </c>
      <c r="BY45" s="6" t="n">
        <v>10000</v>
      </c>
      <c r="BZ45" s="6" t="n">
        <v>10000</v>
      </c>
      <c r="CA45" s="6" t="n">
        <v>10000</v>
      </c>
      <c r="CB45" s="6" t="n">
        <v>10000</v>
      </c>
      <c r="CC45" s="6" t="n">
        <v>10000</v>
      </c>
      <c r="CD45" s="6" t="n">
        <v>10000</v>
      </c>
      <c r="CE45" s="6" t="n">
        <v>10000</v>
      </c>
      <c r="CF45" s="6" t="n">
        <v>10000</v>
      </c>
      <c r="CG45" s="6" t="n">
        <v>10000</v>
      </c>
      <c r="CH45" s="6" t="n">
        <v>10000</v>
      </c>
      <c r="CI45" s="6" t="n">
        <v>10000</v>
      </c>
      <c r="CJ45" s="6" t="n">
        <v>10000</v>
      </c>
      <c r="CK45" s="6" t="n">
        <v>10000</v>
      </c>
      <c r="CL45" s="6" t="n">
        <v>10000</v>
      </c>
      <c r="CM45" s="6" t="n">
        <v>10000</v>
      </c>
      <c r="CN45" s="6" t="n">
        <v>10000</v>
      </c>
      <c r="CO45" s="6" t="n">
        <v>10000</v>
      </c>
      <c r="CP45" s="6" t="n">
        <v>10000</v>
      </c>
      <c r="CQ45" s="6" t="n">
        <v>10000</v>
      </c>
      <c r="CR45" s="6" t="n">
        <v>10000</v>
      </c>
      <c r="CS45" s="6" t="n">
        <v>10000</v>
      </c>
      <c r="CT45" s="6" t="n">
        <v>10000</v>
      </c>
      <c r="CU45" s="6" t="n">
        <v>10000</v>
      </c>
      <c r="CV45" s="6" t="n">
        <v>10000</v>
      </c>
      <c r="CW45" s="6" t="n">
        <v>10000</v>
      </c>
      <c r="CX45" s="6" t="n">
        <v>10000</v>
      </c>
      <c r="CY45" s="6" t="n">
        <v>10000</v>
      </c>
      <c r="CZ45" s="6" t="n">
        <v>10000</v>
      </c>
      <c r="DA45" s="6" t="n">
        <v>10000</v>
      </c>
      <c r="DB45" s="6" t="n">
        <v>10000</v>
      </c>
      <c r="DC45" s="6" t="n">
        <v>10000</v>
      </c>
      <c r="DD45" s="6" t="n">
        <v>10000</v>
      </c>
      <c r="DE45" s="6" t="n">
        <v>10000</v>
      </c>
      <c r="DF45" s="6" t="n">
        <v>10000</v>
      </c>
      <c r="DG45" s="6" t="n">
        <v>10000</v>
      </c>
      <c r="DH45" s="6" t="n">
        <v>10000</v>
      </c>
      <c r="DI45" s="6" t="n">
        <v>10000</v>
      </c>
      <c r="DJ45" s="6" t="n">
        <v>10000</v>
      </c>
      <c r="DK45" s="6" t="n">
        <v>10000</v>
      </c>
      <c r="DL45" s="6" t="n">
        <v>10000</v>
      </c>
      <c r="DM45" s="6" t="n">
        <v>10000</v>
      </c>
      <c r="DN45" s="6" t="n">
        <v>10000</v>
      </c>
      <c r="DO45" s="6" t="n">
        <v>10000</v>
      </c>
      <c r="DP45" s="6" t="n">
        <v>10000</v>
      </c>
      <c r="DQ45" s="6" t="n">
        <v>10000</v>
      </c>
      <c r="DR45" s="6" t="n">
        <v>10000</v>
      </c>
      <c r="DS45" s="6" t="n">
        <v>10000</v>
      </c>
      <c r="DT45" s="6" t="n">
        <v>10000</v>
      </c>
      <c r="DU45" s="6" t="n">
        <v>10000</v>
      </c>
      <c r="DV45" s="6" t="n">
        <v>10000</v>
      </c>
      <c r="DW45" s="6" t="n">
        <v>10000</v>
      </c>
      <c r="DX45" s="6" t="n">
        <v>10000</v>
      </c>
      <c r="DY45" s="6" t="n">
        <v>10000</v>
      </c>
      <c r="DZ45" s="6" t="n">
        <v>10000</v>
      </c>
      <c r="EA45" s="6" t="n">
        <v>9998</v>
      </c>
      <c r="EB45" s="6" t="n">
        <v>8201</v>
      </c>
      <c r="EC45" s="6" t="n">
        <v>9998</v>
      </c>
      <c r="ED45" s="6" t="n">
        <v>5001</v>
      </c>
      <c r="EE45" s="6" t="n">
        <v>4281</v>
      </c>
      <c r="EF45" s="6" t="n">
        <v>4104</v>
      </c>
      <c r="EG45" s="6" t="n">
        <v>3743</v>
      </c>
      <c r="EH45" s="6" t="n">
        <v>3603</v>
      </c>
      <c r="EI45" s="6" t="n">
        <v>3648</v>
      </c>
      <c r="EJ45" s="6" t="n">
        <v>3547</v>
      </c>
      <c r="EK45" s="6" t="n">
        <v>3800</v>
      </c>
      <c r="EL45" s="6" t="n">
        <v>3800</v>
      </c>
      <c r="EM45" s="6" t="n">
        <v>3800</v>
      </c>
      <c r="EN45" s="6" t="n">
        <v>3800</v>
      </c>
      <c r="EO45" s="6" t="n">
        <v>3800</v>
      </c>
      <c r="EP45" s="6" t="n">
        <v>3701</v>
      </c>
      <c r="EQ45" s="6" t="n">
        <v>3700</v>
      </c>
      <c r="ER45" s="6" t="n">
        <v>3500</v>
      </c>
      <c r="ES45" s="6" t="n">
        <v>3500</v>
      </c>
      <c r="ET45" s="6" t="n">
        <v>3500</v>
      </c>
      <c r="EU45" s="6" t="n">
        <v>3500</v>
      </c>
      <c r="EV45" s="6" t="n">
        <v>3466</v>
      </c>
      <c r="EW45" s="6" t="n">
        <v>3500</v>
      </c>
      <c r="EX45" s="6" t="n">
        <v>3500</v>
      </c>
      <c r="EY45" s="6" t="n">
        <v>3611</v>
      </c>
      <c r="EZ45" s="6" t="n">
        <v>3634</v>
      </c>
      <c r="FA45" s="6" t="n">
        <v>3824</v>
      </c>
      <c r="FB45" s="6" t="n">
        <v>4000</v>
      </c>
      <c r="FC45" s="6" t="n">
        <v>4750</v>
      </c>
      <c r="FD45" s="6" t="n">
        <v>5512</v>
      </c>
      <c r="FE45" s="6" t="n">
        <v>7201</v>
      </c>
      <c r="FF45" s="6" t="n">
        <v>9998</v>
      </c>
      <c r="FG45" s="6" t="n">
        <v>10000</v>
      </c>
      <c r="FH45" s="6" t="n">
        <v>10000</v>
      </c>
      <c r="FI45" s="6" t="n">
        <v>10000</v>
      </c>
      <c r="FJ45" s="6" t="n">
        <v>10000</v>
      </c>
      <c r="FK45" s="6" t="n">
        <v>10000</v>
      </c>
      <c r="FL45" s="6" t="n">
        <v>10000</v>
      </c>
      <c r="FM45" s="6" t="n">
        <v>10000</v>
      </c>
      <c r="FN45" s="6" t="n">
        <v>10000</v>
      </c>
      <c r="FO45" s="6" t="n">
        <v>10000</v>
      </c>
      <c r="FP45" s="6" t="n">
        <v>10000</v>
      </c>
      <c r="FQ45" s="6" t="n">
        <v>10000</v>
      </c>
      <c r="FR45" s="6" t="n">
        <v>10000</v>
      </c>
      <c r="FS45" s="6" t="n">
        <v>10000</v>
      </c>
      <c r="FT45" s="6" t="n">
        <v>10000</v>
      </c>
      <c r="FU45" s="6" t="n">
        <v>10000</v>
      </c>
      <c r="FV45" s="6" t="n">
        <v>10000</v>
      </c>
      <c r="FW45" s="6" t="n">
        <v>10000</v>
      </c>
      <c r="FX45" s="6" t="n">
        <v>10000</v>
      </c>
      <c r="FY45" s="6" t="n">
        <v>10000</v>
      </c>
      <c r="FZ45" s="6" t="n">
        <v>10000</v>
      </c>
      <c r="GA45" s="6" t="n">
        <v>10000</v>
      </c>
      <c r="GB45" s="6" t="n">
        <v>10000</v>
      </c>
      <c r="GC45" s="6" t="n">
        <v>10000</v>
      </c>
      <c r="GD45" s="6" t="n">
        <v>10000</v>
      </c>
      <c r="GE45" s="6" t="n">
        <v>10000</v>
      </c>
      <c r="GF45" s="6" t="n">
        <v>10000</v>
      </c>
      <c r="GG45" s="6" t="n">
        <v>10000</v>
      </c>
      <c r="GH45" s="6" t="n">
        <v>10000</v>
      </c>
      <c r="GI45" s="6" t="n">
        <v>10000</v>
      </c>
      <c r="GJ45" s="6" t="n">
        <v>10000</v>
      </c>
      <c r="GK45" s="6" t="n">
        <v>10000</v>
      </c>
      <c r="GL45" s="6" t="n">
        <v>10000</v>
      </c>
    </row>
    <row r="46">
      <c r="A46" s="6" t="inlineStr">
        <is>
          <t>GDAM</t>
        </is>
      </c>
      <c r="B46" s="6" t="n">
        <v>13</v>
      </c>
      <c r="C46" s="6" t="n">
        <v>10000</v>
      </c>
      <c r="D46" s="6" t="n">
        <v>10000</v>
      </c>
      <c r="E46" s="6" t="n">
        <v>10000</v>
      </c>
      <c r="F46" s="6" t="n">
        <v>10000</v>
      </c>
      <c r="G46" s="6" t="n">
        <v>10000</v>
      </c>
      <c r="H46" s="6" t="n">
        <v>10000</v>
      </c>
      <c r="I46" s="6" t="n">
        <v>10000</v>
      </c>
      <c r="J46" s="6" t="n">
        <v>10000</v>
      </c>
      <c r="K46" s="6" t="n">
        <v>10000</v>
      </c>
      <c r="L46" s="6" t="n">
        <v>10000</v>
      </c>
      <c r="M46" s="6" t="n">
        <v>10000</v>
      </c>
      <c r="N46" s="6" t="n">
        <v>10000</v>
      </c>
      <c r="O46" s="6" t="n">
        <v>10000</v>
      </c>
      <c r="P46" s="6" t="n">
        <v>10000</v>
      </c>
      <c r="Q46" s="6" t="n">
        <v>10000</v>
      </c>
      <c r="R46" s="6" t="n">
        <v>10000</v>
      </c>
      <c r="S46" s="6" t="n">
        <v>10000</v>
      </c>
      <c r="T46" s="6" t="n">
        <v>10000</v>
      </c>
      <c r="U46" s="6" t="n">
        <v>10000</v>
      </c>
      <c r="V46" s="6" t="n">
        <v>10000</v>
      </c>
      <c r="W46" s="6" t="n">
        <v>10000</v>
      </c>
      <c r="X46" s="6" t="n">
        <v>10000</v>
      </c>
      <c r="Y46" s="6" t="n">
        <v>10000</v>
      </c>
      <c r="Z46" s="6" t="n">
        <v>10000</v>
      </c>
      <c r="AA46" s="6" t="n">
        <v>10000</v>
      </c>
      <c r="AB46" s="6" t="n">
        <v>10000</v>
      </c>
      <c r="AC46" s="6" t="n">
        <v>10000</v>
      </c>
      <c r="AD46" s="6" t="n">
        <v>10000</v>
      </c>
      <c r="AE46" s="6" t="n">
        <v>10000</v>
      </c>
      <c r="AF46" s="6" t="n">
        <v>10000</v>
      </c>
      <c r="AG46" s="6" t="n">
        <v>10000</v>
      </c>
      <c r="AH46" s="6" t="n">
        <v>9998</v>
      </c>
      <c r="AI46" s="6" t="n">
        <v>5001</v>
      </c>
      <c r="AJ46" s="6" t="n">
        <v>5000</v>
      </c>
      <c r="AK46" s="6" t="n">
        <v>4501</v>
      </c>
      <c r="AL46" s="6" t="n">
        <v>3900</v>
      </c>
      <c r="AM46" s="6" t="n">
        <v>4161</v>
      </c>
      <c r="AN46" s="6" t="n">
        <v>3800</v>
      </c>
      <c r="AO46" s="6" t="n">
        <v>3500</v>
      </c>
      <c r="AP46" s="6" t="n">
        <v>3500</v>
      </c>
      <c r="AQ46" s="6" t="n">
        <v>3235</v>
      </c>
      <c r="AR46" s="6" t="n">
        <v>3283</v>
      </c>
      <c r="AS46" s="6" t="n">
        <v>3101</v>
      </c>
      <c r="AT46" s="6" t="n">
        <v>3101</v>
      </c>
      <c r="AU46" s="6" t="n">
        <v>3101</v>
      </c>
      <c r="AV46" s="6" t="n">
        <v>3101</v>
      </c>
      <c r="AW46" s="6" t="n">
        <v>3101</v>
      </c>
      <c r="AX46" s="6" t="n">
        <v>3101</v>
      </c>
      <c r="AY46" s="6" t="n">
        <v>3001</v>
      </c>
      <c r="AZ46" s="6" t="n">
        <v>3300</v>
      </c>
      <c r="BA46" s="6" t="n">
        <v>2851</v>
      </c>
      <c r="BB46" s="6" t="n">
        <v>2851</v>
      </c>
      <c r="BC46" s="6" t="n">
        <v>2399</v>
      </c>
      <c r="BD46" s="6" t="n">
        <v>2399</v>
      </c>
      <c r="BE46" s="6" t="n">
        <v>2501</v>
      </c>
      <c r="BF46" s="6" t="n">
        <v>3401</v>
      </c>
      <c r="BG46" s="6" t="n">
        <v>3551</v>
      </c>
      <c r="BH46" s="6" t="n">
        <v>3501</v>
      </c>
      <c r="BI46" s="6" t="n">
        <v>3500</v>
      </c>
      <c r="BJ46" s="6" t="n">
        <v>3551</v>
      </c>
      <c r="BK46" s="6" t="n">
        <v>6101</v>
      </c>
      <c r="BL46" s="6" t="n">
        <v>6101</v>
      </c>
      <c r="BM46" s="6" t="n">
        <v>6100</v>
      </c>
      <c r="BN46" s="6" t="n">
        <v>6101</v>
      </c>
      <c r="BO46" s="6" t="n">
        <v>5501</v>
      </c>
      <c r="BP46" s="6" t="n">
        <v>6100</v>
      </c>
      <c r="BQ46" s="6" t="n">
        <v>8999</v>
      </c>
      <c r="BR46" s="6" t="n">
        <v>9000</v>
      </c>
      <c r="BS46" s="6" t="n">
        <v>10000</v>
      </c>
      <c r="BT46" s="6" t="n">
        <v>10000</v>
      </c>
      <c r="BU46" s="6" t="n">
        <v>10000</v>
      </c>
      <c r="BV46" s="6" t="n">
        <v>10000</v>
      </c>
      <c r="BW46" s="6" t="n">
        <v>10000</v>
      </c>
      <c r="BX46" s="6" t="n">
        <v>10000</v>
      </c>
      <c r="BY46" s="6" t="n">
        <v>10000</v>
      </c>
      <c r="BZ46" s="6" t="n">
        <v>10000</v>
      </c>
      <c r="CA46" s="6" t="n">
        <v>10000</v>
      </c>
      <c r="CB46" s="6" t="n">
        <v>10000</v>
      </c>
      <c r="CC46" s="6" t="n">
        <v>10000</v>
      </c>
      <c r="CD46" s="6" t="n">
        <v>10000</v>
      </c>
      <c r="CE46" s="6" t="n">
        <v>10000</v>
      </c>
      <c r="CF46" s="6" t="n">
        <v>10000</v>
      </c>
      <c r="CG46" s="6" t="n">
        <v>10000</v>
      </c>
      <c r="CH46" s="6" t="n">
        <v>10000</v>
      </c>
      <c r="CI46" s="6" t="n">
        <v>10000</v>
      </c>
      <c r="CJ46" s="6" t="n">
        <v>10000</v>
      </c>
      <c r="CK46" s="6" t="n">
        <v>10000</v>
      </c>
      <c r="CL46" s="6" t="n">
        <v>10000</v>
      </c>
      <c r="CM46" s="6" t="n">
        <v>10000</v>
      </c>
      <c r="CN46" s="6" t="n">
        <v>10000</v>
      </c>
      <c r="CO46" s="6" t="n">
        <v>10000</v>
      </c>
      <c r="CP46" s="6" t="n">
        <v>10000</v>
      </c>
      <c r="CQ46" s="6" t="n">
        <v>10000</v>
      </c>
      <c r="CR46" s="6" t="n">
        <v>10000</v>
      </c>
      <c r="CS46" s="6" t="n">
        <v>10000</v>
      </c>
      <c r="CT46" s="6" t="n">
        <v>10000</v>
      </c>
      <c r="CU46" s="6" t="n">
        <v>10000</v>
      </c>
      <c r="CV46" s="6" t="n">
        <v>10000</v>
      </c>
      <c r="CW46" s="6" t="n">
        <v>10000</v>
      </c>
      <c r="CX46" s="6" t="n">
        <v>10000</v>
      </c>
      <c r="CY46" s="6" t="n">
        <v>10000</v>
      </c>
      <c r="CZ46" s="6" t="n">
        <v>10000</v>
      </c>
      <c r="DA46" s="6" t="n">
        <v>10000</v>
      </c>
      <c r="DB46" s="6" t="n">
        <v>10000</v>
      </c>
      <c r="DC46" s="6" t="n">
        <v>10000</v>
      </c>
      <c r="DD46" s="6" t="n">
        <v>10000</v>
      </c>
      <c r="DE46" s="6" t="n">
        <v>10000</v>
      </c>
      <c r="DF46" s="6" t="n">
        <v>10000</v>
      </c>
      <c r="DG46" s="6" t="n">
        <v>10000</v>
      </c>
      <c r="DH46" s="6" t="n">
        <v>10000</v>
      </c>
      <c r="DI46" s="6" t="n">
        <v>10000</v>
      </c>
      <c r="DJ46" s="6" t="n">
        <v>10000</v>
      </c>
      <c r="DK46" s="6" t="n">
        <v>10000</v>
      </c>
      <c r="DL46" s="6" t="n">
        <v>10000</v>
      </c>
      <c r="DM46" s="6" t="n">
        <v>10000</v>
      </c>
      <c r="DN46" s="6" t="n">
        <v>10000</v>
      </c>
      <c r="DO46" s="6" t="n">
        <v>10000</v>
      </c>
      <c r="DP46" s="6" t="n">
        <v>10000</v>
      </c>
      <c r="DQ46" s="6" t="n">
        <v>10000</v>
      </c>
      <c r="DR46" s="6" t="n">
        <v>10000</v>
      </c>
      <c r="DS46" s="6" t="n">
        <v>10000</v>
      </c>
      <c r="DT46" s="6" t="n">
        <v>10000</v>
      </c>
      <c r="DU46" s="6" t="n">
        <v>10000</v>
      </c>
      <c r="DV46" s="6" t="n">
        <v>10000</v>
      </c>
      <c r="DW46" s="6" t="n">
        <v>10000</v>
      </c>
      <c r="DX46" s="6" t="n">
        <v>10000</v>
      </c>
      <c r="DY46" s="6" t="n">
        <v>10000</v>
      </c>
      <c r="DZ46" s="6" t="n">
        <v>9998</v>
      </c>
      <c r="EA46" s="6" t="n">
        <v>5001</v>
      </c>
      <c r="EB46" s="6" t="n">
        <v>5000</v>
      </c>
      <c r="EC46" s="6" t="n">
        <v>4501</v>
      </c>
      <c r="ED46" s="6" t="n">
        <v>3900</v>
      </c>
      <c r="EE46" s="6" t="n">
        <v>4161</v>
      </c>
      <c r="EF46" s="6" t="n">
        <v>3800</v>
      </c>
      <c r="EG46" s="6" t="n">
        <v>3500</v>
      </c>
      <c r="EH46" s="6" t="n">
        <v>3500</v>
      </c>
      <c r="EI46" s="6" t="n">
        <v>3235</v>
      </c>
      <c r="EJ46" s="6" t="n">
        <v>3283</v>
      </c>
      <c r="EK46" s="6" t="n">
        <v>3101</v>
      </c>
      <c r="EL46" s="6" t="n">
        <v>3101</v>
      </c>
      <c r="EM46" s="6" t="n">
        <v>3101</v>
      </c>
      <c r="EN46" s="6" t="n">
        <v>3101</v>
      </c>
      <c r="EO46" s="6" t="n">
        <v>3101</v>
      </c>
      <c r="EP46" s="6" t="n">
        <v>3101</v>
      </c>
      <c r="EQ46" s="6" t="n">
        <v>3001</v>
      </c>
      <c r="ER46" s="6" t="n">
        <v>3300</v>
      </c>
      <c r="ES46" s="6" t="n">
        <v>2851</v>
      </c>
      <c r="ET46" s="6" t="n">
        <v>2851</v>
      </c>
      <c r="EU46" s="6" t="n">
        <v>2399</v>
      </c>
      <c r="EV46" s="6" t="n">
        <v>2399</v>
      </c>
      <c r="EW46" s="6" t="n">
        <v>2501</v>
      </c>
      <c r="EX46" s="6" t="n">
        <v>3401</v>
      </c>
      <c r="EY46" s="6" t="n">
        <v>3551</v>
      </c>
      <c r="EZ46" s="6" t="n">
        <v>3501</v>
      </c>
      <c r="FA46" s="6" t="n">
        <v>3500</v>
      </c>
      <c r="FB46" s="6" t="n">
        <v>3551</v>
      </c>
      <c r="FC46" s="6" t="n">
        <v>6101</v>
      </c>
      <c r="FD46" s="6" t="n">
        <v>6101</v>
      </c>
      <c r="FE46" s="6" t="n">
        <v>6100</v>
      </c>
      <c r="FF46" s="6" t="n">
        <v>6101</v>
      </c>
      <c r="FG46" s="6" t="n">
        <v>5501</v>
      </c>
      <c r="FH46" s="6" t="n">
        <v>6100</v>
      </c>
      <c r="FI46" s="6" t="n">
        <v>8999</v>
      </c>
      <c r="FJ46" s="6" t="n">
        <v>9000</v>
      </c>
      <c r="FK46" s="6" t="n">
        <v>10000</v>
      </c>
      <c r="FL46" s="6" t="n">
        <v>10000</v>
      </c>
      <c r="FM46" s="6" t="n">
        <v>10000</v>
      </c>
      <c r="FN46" s="6" t="n">
        <v>10000</v>
      </c>
      <c r="FO46" s="6" t="n">
        <v>10000</v>
      </c>
      <c r="FP46" s="6" t="n">
        <v>10000</v>
      </c>
      <c r="FQ46" s="6" t="n">
        <v>10000</v>
      </c>
      <c r="FR46" s="6" t="n">
        <v>10000</v>
      </c>
      <c r="FS46" s="6" t="n">
        <v>10000</v>
      </c>
      <c r="FT46" s="6" t="n">
        <v>10000</v>
      </c>
      <c r="FU46" s="6" t="n">
        <v>10000</v>
      </c>
      <c r="FV46" s="6" t="n">
        <v>10000</v>
      </c>
      <c r="FW46" s="6" t="n">
        <v>10000</v>
      </c>
      <c r="FX46" s="6" t="n">
        <v>10000</v>
      </c>
      <c r="FY46" s="6" t="n">
        <v>10000</v>
      </c>
      <c r="FZ46" s="6" t="n">
        <v>10000</v>
      </c>
      <c r="GA46" s="6" t="n">
        <v>10000</v>
      </c>
      <c r="GB46" s="6" t="n">
        <v>10000</v>
      </c>
      <c r="GC46" s="6" t="n">
        <v>10000</v>
      </c>
      <c r="GD46" s="6" t="n">
        <v>10000</v>
      </c>
      <c r="GE46" s="6" t="n">
        <v>10000</v>
      </c>
      <c r="GF46" s="6" t="n">
        <v>10000</v>
      </c>
      <c r="GG46" s="6" t="n">
        <v>10000</v>
      </c>
      <c r="GH46" s="6" t="n">
        <v>10000</v>
      </c>
      <c r="GI46" s="6" t="n">
        <v>10000</v>
      </c>
      <c r="GJ46" s="6" t="n">
        <v>10000</v>
      </c>
      <c r="GK46" s="6" t="n">
        <v>10000</v>
      </c>
      <c r="GL46" s="6" t="n">
        <v>10000</v>
      </c>
    </row>
    <row r="47">
      <c r="A47" s="6" t="inlineStr">
        <is>
          <t>GDAM</t>
        </is>
      </c>
      <c r="B47" s="6" t="n">
        <v>14</v>
      </c>
      <c r="C47" s="6" t="n">
        <v>10000</v>
      </c>
      <c r="D47" s="6" t="n">
        <v>10000</v>
      </c>
      <c r="E47" s="6" t="n">
        <v>10000</v>
      </c>
      <c r="F47" s="6" t="n">
        <v>10000</v>
      </c>
      <c r="G47" s="6" t="n">
        <v>10000</v>
      </c>
      <c r="H47" s="6" t="n">
        <v>10000</v>
      </c>
      <c r="I47" s="6" t="n">
        <v>10000</v>
      </c>
      <c r="J47" s="6" t="n">
        <v>10000</v>
      </c>
      <c r="K47" s="6" t="n">
        <v>10000</v>
      </c>
      <c r="L47" s="6" t="n">
        <v>10000</v>
      </c>
      <c r="M47" s="6" t="n">
        <v>10000</v>
      </c>
      <c r="N47" s="6" t="n">
        <v>10000</v>
      </c>
      <c r="O47" s="6" t="n">
        <v>10000</v>
      </c>
      <c r="P47" s="6" t="n">
        <v>10000</v>
      </c>
      <c r="Q47" s="6" t="n">
        <v>10000</v>
      </c>
      <c r="R47" s="6" t="n">
        <v>10000</v>
      </c>
      <c r="S47" s="6" t="n">
        <v>10000</v>
      </c>
      <c r="T47" s="6" t="n">
        <v>10000</v>
      </c>
      <c r="U47" s="6" t="n">
        <v>10000</v>
      </c>
      <c r="V47" s="6" t="n">
        <v>10000</v>
      </c>
      <c r="W47" s="6" t="n">
        <v>10000</v>
      </c>
      <c r="X47" s="6" t="n">
        <v>10000</v>
      </c>
      <c r="Y47" s="6" t="n">
        <v>10000</v>
      </c>
      <c r="Z47" s="6" t="n">
        <v>10000</v>
      </c>
      <c r="AA47" s="6" t="n">
        <v>10000</v>
      </c>
      <c r="AB47" s="6" t="n">
        <v>10000</v>
      </c>
      <c r="AC47" s="6" t="n">
        <v>10000</v>
      </c>
      <c r="AD47" s="6" t="n">
        <v>10000</v>
      </c>
      <c r="AE47" s="6" t="n">
        <v>10000</v>
      </c>
      <c r="AF47" s="6" t="n">
        <v>10000</v>
      </c>
      <c r="AG47" s="6" t="n">
        <v>10000</v>
      </c>
      <c r="AH47" s="6" t="n">
        <v>10000</v>
      </c>
      <c r="AI47" s="6" t="n">
        <v>9999</v>
      </c>
      <c r="AJ47" s="6" t="n">
        <v>9999</v>
      </c>
      <c r="AK47" s="6" t="n">
        <v>6200</v>
      </c>
      <c r="AL47" s="6" t="n">
        <v>4649</v>
      </c>
      <c r="AM47" s="6" t="n">
        <v>5410</v>
      </c>
      <c r="AN47" s="6" t="n">
        <v>4500</v>
      </c>
      <c r="AO47" s="6" t="n">
        <v>3670</v>
      </c>
      <c r="AP47" s="6" t="n">
        <v>3528</v>
      </c>
      <c r="AQ47" s="6" t="n">
        <v>3601</v>
      </c>
      <c r="AR47" s="6" t="n">
        <v>3501</v>
      </c>
      <c r="AS47" s="6" t="n">
        <v>3671</v>
      </c>
      <c r="AT47" s="6" t="n">
        <v>3501</v>
      </c>
      <c r="AU47" s="6" t="n">
        <v>3501</v>
      </c>
      <c r="AV47" s="6" t="n">
        <v>3501</v>
      </c>
      <c r="AW47" s="6" t="n">
        <v>3500</v>
      </c>
      <c r="AX47" s="6" t="n">
        <v>3500</v>
      </c>
      <c r="AY47" s="6" t="n">
        <v>3466</v>
      </c>
      <c r="AZ47" s="6" t="n">
        <v>3500</v>
      </c>
      <c r="BA47" s="6" t="n">
        <v>3150</v>
      </c>
      <c r="BB47" s="6" t="n">
        <v>3199</v>
      </c>
      <c r="BC47" s="6" t="n">
        <v>3001</v>
      </c>
      <c r="BD47" s="6" t="n">
        <v>3001</v>
      </c>
      <c r="BE47" s="6" t="n">
        <v>3001</v>
      </c>
      <c r="BF47" s="6" t="n">
        <v>3500</v>
      </c>
      <c r="BG47" s="6" t="n">
        <v>3551</v>
      </c>
      <c r="BH47" s="6" t="n">
        <v>3501</v>
      </c>
      <c r="BI47" s="6" t="n">
        <v>3500</v>
      </c>
      <c r="BJ47" s="6" t="n">
        <v>3551</v>
      </c>
      <c r="BK47" s="6" t="n">
        <v>7901</v>
      </c>
      <c r="BL47" s="6" t="n">
        <v>9890</v>
      </c>
      <c r="BM47" s="6" t="n">
        <v>6100</v>
      </c>
      <c r="BN47" s="6" t="n">
        <v>9999</v>
      </c>
      <c r="BO47" s="6" t="n">
        <v>10000</v>
      </c>
      <c r="BP47" s="6" t="n">
        <v>10000</v>
      </c>
      <c r="BQ47" s="6" t="n">
        <v>10000</v>
      </c>
      <c r="BR47" s="6" t="n">
        <v>10000</v>
      </c>
      <c r="BS47" s="6" t="n">
        <v>10000</v>
      </c>
      <c r="BT47" s="6" t="n">
        <v>10000</v>
      </c>
      <c r="BU47" s="6" t="n">
        <v>10000</v>
      </c>
      <c r="BV47" s="6" t="n">
        <v>10000</v>
      </c>
      <c r="BW47" s="6" t="n">
        <v>10000</v>
      </c>
      <c r="BX47" s="6" t="n">
        <v>10000</v>
      </c>
      <c r="BY47" s="6" t="n">
        <v>10000</v>
      </c>
      <c r="BZ47" s="6" t="n">
        <v>10000</v>
      </c>
      <c r="CA47" s="6" t="n">
        <v>10000</v>
      </c>
      <c r="CB47" s="6" t="n">
        <v>10000</v>
      </c>
      <c r="CC47" s="6" t="n">
        <v>10000</v>
      </c>
      <c r="CD47" s="6" t="n">
        <v>10000</v>
      </c>
      <c r="CE47" s="6" t="n">
        <v>10000</v>
      </c>
      <c r="CF47" s="6" t="n">
        <v>10000</v>
      </c>
      <c r="CG47" s="6" t="n">
        <v>10000</v>
      </c>
      <c r="CH47" s="6" t="n">
        <v>10000</v>
      </c>
      <c r="CI47" s="6" t="n">
        <v>10000</v>
      </c>
      <c r="CJ47" s="6" t="n">
        <v>10000</v>
      </c>
      <c r="CK47" s="6" t="n">
        <v>10000</v>
      </c>
      <c r="CL47" s="6" t="n">
        <v>10000</v>
      </c>
      <c r="CM47" s="6" t="n">
        <v>10000</v>
      </c>
      <c r="CN47" s="6" t="n">
        <v>10000</v>
      </c>
      <c r="CO47" s="6" t="n">
        <v>10000</v>
      </c>
      <c r="CP47" s="6" t="n">
        <v>10000</v>
      </c>
      <c r="CQ47" s="6" t="n">
        <v>10000</v>
      </c>
      <c r="CR47" s="6" t="n">
        <v>10000</v>
      </c>
      <c r="CS47" s="6" t="n">
        <v>10000</v>
      </c>
      <c r="CT47" s="6" t="n">
        <v>10000</v>
      </c>
      <c r="CU47" s="6" t="n">
        <v>10000</v>
      </c>
      <c r="CV47" s="6" t="n">
        <v>10000</v>
      </c>
      <c r="CW47" s="6" t="n">
        <v>10000</v>
      </c>
      <c r="CX47" s="6" t="n">
        <v>10000</v>
      </c>
      <c r="CY47" s="6" t="n">
        <v>10000</v>
      </c>
      <c r="CZ47" s="6" t="n">
        <v>10000</v>
      </c>
      <c r="DA47" s="6" t="n">
        <v>10000</v>
      </c>
      <c r="DB47" s="6" t="n">
        <v>10000</v>
      </c>
      <c r="DC47" s="6" t="n">
        <v>10000</v>
      </c>
      <c r="DD47" s="6" t="n">
        <v>10000</v>
      </c>
      <c r="DE47" s="6" t="n">
        <v>10000</v>
      </c>
      <c r="DF47" s="6" t="n">
        <v>10000</v>
      </c>
      <c r="DG47" s="6" t="n">
        <v>10000</v>
      </c>
      <c r="DH47" s="6" t="n">
        <v>10000</v>
      </c>
      <c r="DI47" s="6" t="n">
        <v>10000</v>
      </c>
      <c r="DJ47" s="6" t="n">
        <v>10000</v>
      </c>
      <c r="DK47" s="6" t="n">
        <v>10000</v>
      </c>
      <c r="DL47" s="6" t="n">
        <v>10000</v>
      </c>
      <c r="DM47" s="6" t="n">
        <v>10000</v>
      </c>
      <c r="DN47" s="6" t="n">
        <v>10000</v>
      </c>
      <c r="DO47" s="6" t="n">
        <v>10000</v>
      </c>
      <c r="DP47" s="6" t="n">
        <v>10000</v>
      </c>
      <c r="DQ47" s="6" t="n">
        <v>10000</v>
      </c>
      <c r="DR47" s="6" t="n">
        <v>10000</v>
      </c>
      <c r="DS47" s="6" t="n">
        <v>10000</v>
      </c>
      <c r="DT47" s="6" t="n">
        <v>10000</v>
      </c>
      <c r="DU47" s="6" t="n">
        <v>10000</v>
      </c>
      <c r="DV47" s="6" t="n">
        <v>10000</v>
      </c>
      <c r="DW47" s="6" t="n">
        <v>10000</v>
      </c>
      <c r="DX47" s="6" t="n">
        <v>10000</v>
      </c>
      <c r="DY47" s="6" t="n">
        <v>10000</v>
      </c>
      <c r="DZ47" s="6" t="n">
        <v>10000</v>
      </c>
      <c r="EA47" s="6" t="n">
        <v>9999</v>
      </c>
      <c r="EB47" s="6" t="n">
        <v>9999</v>
      </c>
      <c r="EC47" s="6" t="n">
        <v>6200</v>
      </c>
      <c r="ED47" s="6" t="n">
        <v>4649</v>
      </c>
      <c r="EE47" s="6" t="n">
        <v>5410</v>
      </c>
      <c r="EF47" s="6" t="n">
        <v>4500</v>
      </c>
      <c r="EG47" s="6" t="n">
        <v>3670</v>
      </c>
      <c r="EH47" s="6" t="n">
        <v>3528</v>
      </c>
      <c r="EI47" s="6" t="n">
        <v>3601</v>
      </c>
      <c r="EJ47" s="6" t="n">
        <v>3501</v>
      </c>
      <c r="EK47" s="6" t="n">
        <v>3671</v>
      </c>
      <c r="EL47" s="6" t="n">
        <v>3501</v>
      </c>
      <c r="EM47" s="6" t="n">
        <v>3501</v>
      </c>
      <c r="EN47" s="6" t="n">
        <v>3501</v>
      </c>
      <c r="EO47" s="6" t="n">
        <v>3500</v>
      </c>
      <c r="EP47" s="6" t="n">
        <v>3500</v>
      </c>
      <c r="EQ47" s="6" t="n">
        <v>3466</v>
      </c>
      <c r="ER47" s="6" t="n">
        <v>3500</v>
      </c>
      <c r="ES47" s="6" t="n">
        <v>3150</v>
      </c>
      <c r="ET47" s="6" t="n">
        <v>3199</v>
      </c>
      <c r="EU47" s="6" t="n">
        <v>3001</v>
      </c>
      <c r="EV47" s="6" t="n">
        <v>3001</v>
      </c>
      <c r="EW47" s="6" t="n">
        <v>3001</v>
      </c>
      <c r="EX47" s="6" t="n">
        <v>3500</v>
      </c>
      <c r="EY47" s="6" t="n">
        <v>3551</v>
      </c>
      <c r="EZ47" s="6" t="n">
        <v>3501</v>
      </c>
      <c r="FA47" s="6" t="n">
        <v>3500</v>
      </c>
      <c r="FB47" s="6" t="n">
        <v>3551</v>
      </c>
      <c r="FC47" s="6" t="n">
        <v>7901</v>
      </c>
      <c r="FD47" s="6" t="n">
        <v>9890</v>
      </c>
      <c r="FE47" s="6" t="n">
        <v>6100</v>
      </c>
      <c r="FF47" s="6" t="n">
        <v>9999</v>
      </c>
      <c r="FG47" s="6" t="n">
        <v>10000</v>
      </c>
      <c r="FH47" s="6" t="n">
        <v>10000</v>
      </c>
      <c r="FI47" s="6" t="n">
        <v>10000</v>
      </c>
      <c r="FJ47" s="6" t="n">
        <v>10000</v>
      </c>
      <c r="FK47" s="6" t="n">
        <v>10000</v>
      </c>
      <c r="FL47" s="6" t="n">
        <v>10000</v>
      </c>
      <c r="FM47" s="6" t="n">
        <v>10000</v>
      </c>
      <c r="FN47" s="6" t="n">
        <v>10000</v>
      </c>
      <c r="FO47" s="6" t="n">
        <v>10000</v>
      </c>
      <c r="FP47" s="6" t="n">
        <v>10000</v>
      </c>
      <c r="FQ47" s="6" t="n">
        <v>10000</v>
      </c>
      <c r="FR47" s="6" t="n">
        <v>10000</v>
      </c>
      <c r="FS47" s="6" t="n">
        <v>10000</v>
      </c>
      <c r="FT47" s="6" t="n">
        <v>10000</v>
      </c>
      <c r="FU47" s="6" t="n">
        <v>10000</v>
      </c>
      <c r="FV47" s="6" t="n">
        <v>10000</v>
      </c>
      <c r="FW47" s="6" t="n">
        <v>10000</v>
      </c>
      <c r="FX47" s="6" t="n">
        <v>10000</v>
      </c>
      <c r="FY47" s="6" t="n">
        <v>10000</v>
      </c>
      <c r="FZ47" s="6" t="n">
        <v>10000</v>
      </c>
      <c r="GA47" s="6" t="n">
        <v>10000</v>
      </c>
      <c r="GB47" s="6" t="n">
        <v>10000</v>
      </c>
      <c r="GC47" s="6" t="n">
        <v>10000</v>
      </c>
      <c r="GD47" s="6" t="n">
        <v>10000</v>
      </c>
      <c r="GE47" s="6" t="n">
        <v>10000</v>
      </c>
      <c r="GF47" s="6" t="n">
        <v>10000</v>
      </c>
      <c r="GG47" s="6" t="n">
        <v>10000</v>
      </c>
      <c r="GH47" s="6" t="n">
        <v>10000</v>
      </c>
      <c r="GI47" s="6" t="n">
        <v>10000</v>
      </c>
      <c r="GJ47" s="6" t="n">
        <v>10000</v>
      </c>
      <c r="GK47" s="6" t="n">
        <v>10000</v>
      </c>
      <c r="GL47" s="6" t="n">
        <v>10000</v>
      </c>
    </row>
    <row r="48">
      <c r="A48" s="6" t="inlineStr">
        <is>
          <t>GDAM</t>
        </is>
      </c>
      <c r="B48" s="6" t="n">
        <v>15</v>
      </c>
      <c r="C48" s="6" t="n">
        <v>10000</v>
      </c>
      <c r="D48" s="6" t="n">
        <v>10000</v>
      </c>
      <c r="E48" s="6" t="n">
        <v>10000</v>
      </c>
      <c r="F48" s="6" t="n">
        <v>10000</v>
      </c>
      <c r="G48" s="6" t="n">
        <v>10000</v>
      </c>
      <c r="H48" s="6" t="n">
        <v>10000</v>
      </c>
      <c r="I48" s="6" t="n">
        <v>10000</v>
      </c>
      <c r="J48" s="6" t="n">
        <v>10000</v>
      </c>
      <c r="K48" s="6" t="n">
        <v>10000</v>
      </c>
      <c r="L48" s="6" t="n">
        <v>10000</v>
      </c>
      <c r="M48" s="6" t="n">
        <v>10000</v>
      </c>
      <c r="N48" s="6" t="n">
        <v>10000</v>
      </c>
      <c r="O48" s="6" t="n">
        <v>10000</v>
      </c>
      <c r="P48" s="6" t="n">
        <v>10000</v>
      </c>
      <c r="Q48" s="6" t="n">
        <v>10000</v>
      </c>
      <c r="R48" s="6" t="n">
        <v>10000</v>
      </c>
      <c r="S48" s="6" t="n">
        <v>10000</v>
      </c>
      <c r="T48" s="6" t="n">
        <v>10000</v>
      </c>
      <c r="U48" s="6" t="n">
        <v>10000</v>
      </c>
      <c r="V48" s="6" t="n">
        <v>10000</v>
      </c>
      <c r="W48" s="6" t="n">
        <v>10000</v>
      </c>
      <c r="X48" s="6" t="n">
        <v>10000</v>
      </c>
      <c r="Y48" s="6" t="n">
        <v>10000</v>
      </c>
      <c r="Z48" s="6" t="n">
        <v>10000</v>
      </c>
      <c r="AA48" s="6" t="n">
        <v>10000</v>
      </c>
      <c r="AB48" s="6" t="n">
        <v>10000</v>
      </c>
      <c r="AC48" s="6" t="n">
        <v>10000</v>
      </c>
      <c r="AD48" s="6" t="n">
        <v>10000</v>
      </c>
      <c r="AE48" s="6" t="n">
        <v>10000</v>
      </c>
      <c r="AF48" s="6" t="n">
        <v>10000</v>
      </c>
      <c r="AG48" s="6" t="n">
        <v>10000</v>
      </c>
      <c r="AH48" s="6" t="n">
        <v>9998</v>
      </c>
      <c r="AI48" s="6" t="n">
        <v>7801</v>
      </c>
      <c r="AJ48" s="6" t="n">
        <v>7800</v>
      </c>
      <c r="AK48" s="6" t="n">
        <v>5199</v>
      </c>
      <c r="AL48" s="6" t="n">
        <v>4500</v>
      </c>
      <c r="AM48" s="6" t="n">
        <v>4301</v>
      </c>
      <c r="AN48" s="6" t="n">
        <v>3999</v>
      </c>
      <c r="AO48" s="6" t="n">
        <v>3600</v>
      </c>
      <c r="AP48" s="6" t="n">
        <v>3601</v>
      </c>
      <c r="AQ48" s="6" t="n">
        <v>3500</v>
      </c>
      <c r="AR48" s="6" t="n">
        <v>3500</v>
      </c>
      <c r="AS48" s="6" t="n">
        <v>3500</v>
      </c>
      <c r="AT48" s="6" t="n">
        <v>3501</v>
      </c>
      <c r="AU48" s="6" t="n">
        <v>3501</v>
      </c>
      <c r="AV48" s="6" t="n">
        <v>3501</v>
      </c>
      <c r="AW48" s="6" t="n">
        <v>3501</v>
      </c>
      <c r="AX48" s="6" t="n">
        <v>3501</v>
      </c>
      <c r="AY48" s="6" t="n">
        <v>3500</v>
      </c>
      <c r="AZ48" s="6" t="n">
        <v>3500</v>
      </c>
      <c r="BA48" s="6" t="n">
        <v>3500</v>
      </c>
      <c r="BB48" s="6" t="n">
        <v>3500</v>
      </c>
      <c r="BC48" s="6" t="n">
        <v>3500</v>
      </c>
      <c r="BD48" s="6" t="n">
        <v>3500</v>
      </c>
      <c r="BE48" s="6" t="n">
        <v>3501</v>
      </c>
      <c r="BF48" s="6" t="n">
        <v>3550</v>
      </c>
      <c r="BG48" s="6" t="n">
        <v>4000</v>
      </c>
      <c r="BH48" s="6" t="n">
        <v>3850</v>
      </c>
      <c r="BI48" s="6" t="n">
        <v>3699</v>
      </c>
      <c r="BJ48" s="6" t="n">
        <v>3699</v>
      </c>
      <c r="BK48" s="6" t="n">
        <v>4200</v>
      </c>
      <c r="BL48" s="6" t="n">
        <v>4013</v>
      </c>
      <c r="BM48" s="6" t="n">
        <v>4001</v>
      </c>
      <c r="BN48" s="6" t="n">
        <v>4401</v>
      </c>
      <c r="BO48" s="6" t="n">
        <v>9999</v>
      </c>
      <c r="BP48" s="6" t="n">
        <v>10000</v>
      </c>
      <c r="BQ48" s="6" t="n">
        <v>10000</v>
      </c>
      <c r="BR48" s="6" t="n">
        <v>10000</v>
      </c>
      <c r="BS48" s="6" t="n">
        <v>10000</v>
      </c>
      <c r="BT48" s="6" t="n">
        <v>10000</v>
      </c>
      <c r="BU48" s="6" t="n">
        <v>10000</v>
      </c>
      <c r="BV48" s="6" t="n">
        <v>10000</v>
      </c>
      <c r="BW48" s="6" t="n">
        <v>10000</v>
      </c>
      <c r="BX48" s="6" t="n">
        <v>10000</v>
      </c>
      <c r="BY48" s="6" t="n">
        <v>10000</v>
      </c>
      <c r="BZ48" s="6" t="n">
        <v>10000</v>
      </c>
      <c r="CA48" s="6" t="n">
        <v>10000</v>
      </c>
      <c r="CB48" s="6" t="n">
        <v>10000</v>
      </c>
      <c r="CC48" s="6" t="n">
        <v>10000</v>
      </c>
      <c r="CD48" s="6" t="n">
        <v>10000</v>
      </c>
      <c r="CE48" s="6" t="n">
        <v>10000</v>
      </c>
      <c r="CF48" s="6" t="n">
        <v>10000</v>
      </c>
      <c r="CG48" s="6" t="n">
        <v>10000</v>
      </c>
      <c r="CH48" s="6" t="n">
        <v>10000</v>
      </c>
      <c r="CI48" s="6" t="n">
        <v>10000</v>
      </c>
      <c r="CJ48" s="6" t="n">
        <v>10000</v>
      </c>
      <c r="CK48" s="6" t="n">
        <v>10000</v>
      </c>
      <c r="CL48" s="6" t="n">
        <v>10000</v>
      </c>
      <c r="CM48" s="6" t="n">
        <v>10000</v>
      </c>
      <c r="CN48" s="6" t="n">
        <v>10000</v>
      </c>
      <c r="CO48" s="6" t="n">
        <v>10000</v>
      </c>
      <c r="CP48" s="6" t="n">
        <v>10000</v>
      </c>
      <c r="CQ48" s="6" t="n">
        <v>10000</v>
      </c>
      <c r="CR48" s="6" t="n">
        <v>10000</v>
      </c>
      <c r="CS48" s="6" t="n">
        <v>10000</v>
      </c>
      <c r="CT48" s="6" t="n">
        <v>10000</v>
      </c>
      <c r="CU48" s="6" t="n">
        <v>10000</v>
      </c>
      <c r="CV48" s="6" t="n">
        <v>10000</v>
      </c>
      <c r="CW48" s="6" t="n">
        <v>10000</v>
      </c>
      <c r="CX48" s="6" t="n">
        <v>10000</v>
      </c>
      <c r="CY48" s="6" t="n">
        <v>10000</v>
      </c>
      <c r="CZ48" s="6" t="n">
        <v>10000</v>
      </c>
      <c r="DA48" s="6" t="n">
        <v>10000</v>
      </c>
      <c r="DB48" s="6" t="n">
        <v>10000</v>
      </c>
      <c r="DC48" s="6" t="n">
        <v>10000</v>
      </c>
      <c r="DD48" s="6" t="n">
        <v>10000</v>
      </c>
      <c r="DE48" s="6" t="n">
        <v>10000</v>
      </c>
      <c r="DF48" s="6" t="n">
        <v>10000</v>
      </c>
      <c r="DG48" s="6" t="n">
        <v>10000</v>
      </c>
      <c r="DH48" s="6" t="n">
        <v>10000</v>
      </c>
      <c r="DI48" s="6" t="n">
        <v>10000</v>
      </c>
      <c r="DJ48" s="6" t="n">
        <v>10000</v>
      </c>
      <c r="DK48" s="6" t="n">
        <v>10000</v>
      </c>
      <c r="DL48" s="6" t="n">
        <v>10000</v>
      </c>
      <c r="DM48" s="6" t="n">
        <v>10000</v>
      </c>
      <c r="DN48" s="6" t="n">
        <v>10000</v>
      </c>
      <c r="DO48" s="6" t="n">
        <v>10000</v>
      </c>
      <c r="DP48" s="6" t="n">
        <v>10000</v>
      </c>
      <c r="DQ48" s="6" t="n">
        <v>10000</v>
      </c>
      <c r="DR48" s="6" t="n">
        <v>10000</v>
      </c>
      <c r="DS48" s="6" t="n">
        <v>10000</v>
      </c>
      <c r="DT48" s="6" t="n">
        <v>10000</v>
      </c>
      <c r="DU48" s="6" t="n">
        <v>10000</v>
      </c>
      <c r="DV48" s="6" t="n">
        <v>10000</v>
      </c>
      <c r="DW48" s="6" t="n">
        <v>10000</v>
      </c>
      <c r="DX48" s="6" t="n">
        <v>10000</v>
      </c>
      <c r="DY48" s="6" t="n">
        <v>10000</v>
      </c>
      <c r="DZ48" s="6" t="n">
        <v>9998</v>
      </c>
      <c r="EA48" s="6" t="n">
        <v>7801</v>
      </c>
      <c r="EB48" s="6" t="n">
        <v>7800</v>
      </c>
      <c r="EC48" s="6" t="n">
        <v>5199</v>
      </c>
      <c r="ED48" s="6" t="n">
        <v>4500</v>
      </c>
      <c r="EE48" s="6" t="n">
        <v>4301</v>
      </c>
      <c r="EF48" s="6" t="n">
        <v>3999</v>
      </c>
      <c r="EG48" s="6" t="n">
        <v>3600</v>
      </c>
      <c r="EH48" s="6" t="n">
        <v>3601</v>
      </c>
      <c r="EI48" s="6" t="n">
        <v>3500</v>
      </c>
      <c r="EJ48" s="6" t="n">
        <v>3500</v>
      </c>
      <c r="EK48" s="6" t="n">
        <v>3500</v>
      </c>
      <c r="EL48" s="6" t="n">
        <v>3501</v>
      </c>
      <c r="EM48" s="6" t="n">
        <v>3501</v>
      </c>
      <c r="EN48" s="6" t="n">
        <v>3501</v>
      </c>
      <c r="EO48" s="6" t="n">
        <v>3501</v>
      </c>
      <c r="EP48" s="6" t="n">
        <v>3501</v>
      </c>
      <c r="EQ48" s="6" t="n">
        <v>3500</v>
      </c>
      <c r="ER48" s="6" t="n">
        <v>3500</v>
      </c>
      <c r="ES48" s="6" t="n">
        <v>3500</v>
      </c>
      <c r="ET48" s="6" t="n">
        <v>3500</v>
      </c>
      <c r="EU48" s="6" t="n">
        <v>3500</v>
      </c>
      <c r="EV48" s="6" t="n">
        <v>3500</v>
      </c>
      <c r="EW48" s="6" t="n">
        <v>3501</v>
      </c>
      <c r="EX48" s="6" t="n">
        <v>3550</v>
      </c>
      <c r="EY48" s="6" t="n">
        <v>4000</v>
      </c>
      <c r="EZ48" s="6" t="n">
        <v>3850</v>
      </c>
      <c r="FA48" s="6" t="n">
        <v>3699</v>
      </c>
      <c r="FB48" s="6" t="n">
        <v>3699</v>
      </c>
      <c r="FC48" s="6" t="n">
        <v>4200</v>
      </c>
      <c r="FD48" s="6" t="n">
        <v>4013</v>
      </c>
      <c r="FE48" s="6" t="n">
        <v>4001</v>
      </c>
      <c r="FF48" s="6" t="n">
        <v>4401</v>
      </c>
      <c r="FG48" s="6" t="n">
        <v>9999</v>
      </c>
      <c r="FH48" s="6" t="n">
        <v>10000</v>
      </c>
      <c r="FI48" s="6" t="n">
        <v>10000</v>
      </c>
      <c r="FJ48" s="6" t="n">
        <v>10000</v>
      </c>
      <c r="FK48" s="6" t="n">
        <v>10000</v>
      </c>
      <c r="FL48" s="6" t="n">
        <v>10000</v>
      </c>
      <c r="FM48" s="6" t="n">
        <v>10000</v>
      </c>
      <c r="FN48" s="6" t="n">
        <v>10000</v>
      </c>
      <c r="FO48" s="6" t="n">
        <v>10000</v>
      </c>
      <c r="FP48" s="6" t="n">
        <v>10000</v>
      </c>
      <c r="FQ48" s="6" t="n">
        <v>10000</v>
      </c>
      <c r="FR48" s="6" t="n">
        <v>10000</v>
      </c>
      <c r="FS48" s="6" t="n">
        <v>10000</v>
      </c>
      <c r="FT48" s="6" t="n">
        <v>10000</v>
      </c>
      <c r="FU48" s="6" t="n">
        <v>10000</v>
      </c>
      <c r="FV48" s="6" t="n">
        <v>10000</v>
      </c>
      <c r="FW48" s="6" t="n">
        <v>10000</v>
      </c>
      <c r="FX48" s="6" t="n">
        <v>10000</v>
      </c>
      <c r="FY48" s="6" t="n">
        <v>10000</v>
      </c>
      <c r="FZ48" s="6" t="n">
        <v>10000</v>
      </c>
      <c r="GA48" s="6" t="n">
        <v>10000</v>
      </c>
      <c r="GB48" s="6" t="n">
        <v>10000</v>
      </c>
      <c r="GC48" s="6" t="n">
        <v>10000</v>
      </c>
      <c r="GD48" s="6" t="n">
        <v>10000</v>
      </c>
      <c r="GE48" s="6" t="n">
        <v>10000</v>
      </c>
      <c r="GF48" s="6" t="n">
        <v>10000</v>
      </c>
      <c r="GG48" s="6" t="n">
        <v>10000</v>
      </c>
      <c r="GH48" s="6" t="n">
        <v>10000</v>
      </c>
      <c r="GI48" s="6" t="n">
        <v>10000</v>
      </c>
      <c r="GJ48" s="6" t="n">
        <v>10000</v>
      </c>
      <c r="GK48" s="6" t="n">
        <v>10000</v>
      </c>
      <c r="GL48" s="6" t="n">
        <v>10000</v>
      </c>
    </row>
    <row r="49">
      <c r="A49" s="6" t="inlineStr">
        <is>
          <t>GDAM</t>
        </is>
      </c>
      <c r="B49" s="6" t="n">
        <v>16</v>
      </c>
      <c r="C49" s="6" t="n">
        <v>10000</v>
      </c>
      <c r="D49" s="6" t="n">
        <v>10000</v>
      </c>
      <c r="E49" s="6" t="n">
        <v>10000</v>
      </c>
      <c r="F49" s="6" t="n">
        <v>10000</v>
      </c>
      <c r="G49" s="6" t="n">
        <v>10000</v>
      </c>
      <c r="H49" s="6" t="n">
        <v>10000</v>
      </c>
      <c r="I49" s="6" t="n">
        <v>10000</v>
      </c>
      <c r="J49" s="6" t="n">
        <v>10000</v>
      </c>
      <c r="K49" s="6" t="n">
        <v>10000</v>
      </c>
      <c r="L49" s="6" t="n">
        <v>10000</v>
      </c>
      <c r="M49" s="6" t="n">
        <v>10000</v>
      </c>
      <c r="N49" s="6" t="n">
        <v>10000</v>
      </c>
      <c r="O49" s="6" t="n">
        <v>10000</v>
      </c>
      <c r="P49" s="6" t="n">
        <v>10000</v>
      </c>
      <c r="Q49" s="6" t="n">
        <v>10000</v>
      </c>
      <c r="R49" s="6" t="n">
        <v>10000</v>
      </c>
      <c r="S49" s="6" t="n">
        <v>10000</v>
      </c>
      <c r="T49" s="6" t="n">
        <v>10000</v>
      </c>
      <c r="U49" s="6" t="n">
        <v>10000</v>
      </c>
      <c r="V49" s="6" t="n">
        <v>10000</v>
      </c>
      <c r="W49" s="6" t="n">
        <v>10000</v>
      </c>
      <c r="X49" s="6" t="n">
        <v>10000</v>
      </c>
      <c r="Y49" s="6" t="n">
        <v>10000</v>
      </c>
      <c r="Z49" s="6" t="n">
        <v>10000</v>
      </c>
      <c r="AA49" s="6" t="n">
        <v>10000</v>
      </c>
      <c r="AB49" s="6" t="n">
        <v>10000</v>
      </c>
      <c r="AC49" s="6" t="n">
        <v>10000</v>
      </c>
      <c r="AD49" s="6" t="n">
        <v>10000</v>
      </c>
      <c r="AE49" s="6" t="n">
        <v>10000</v>
      </c>
      <c r="AF49" s="6" t="n">
        <v>10000</v>
      </c>
      <c r="AG49" s="6" t="n">
        <v>10000</v>
      </c>
      <c r="AH49" s="6" t="n">
        <v>9998</v>
      </c>
      <c r="AI49" s="6" t="n">
        <v>9201</v>
      </c>
      <c r="AJ49" s="6" t="n">
        <v>7800</v>
      </c>
      <c r="AK49" s="6" t="n">
        <v>6001</v>
      </c>
      <c r="AL49" s="6" t="n">
        <v>4730</v>
      </c>
      <c r="AM49" s="6" t="n">
        <v>5410</v>
      </c>
      <c r="AN49" s="6" t="n">
        <v>4501</v>
      </c>
      <c r="AO49" s="6" t="n">
        <v>4501</v>
      </c>
      <c r="AP49" s="6" t="n">
        <v>4508</v>
      </c>
      <c r="AQ49" s="6" t="n">
        <v>3701</v>
      </c>
      <c r="AR49" s="6" t="n">
        <v>3701</v>
      </c>
      <c r="AS49" s="6" t="n">
        <v>3834</v>
      </c>
      <c r="AT49" s="6" t="n">
        <v>3734</v>
      </c>
      <c r="AU49" s="6" t="n">
        <v>3700</v>
      </c>
      <c r="AV49" s="6" t="n">
        <v>3700</v>
      </c>
      <c r="AW49" s="6" t="n">
        <v>3501</v>
      </c>
      <c r="AX49" s="6" t="n">
        <v>3501</v>
      </c>
      <c r="AY49" s="6" t="n">
        <v>3500</v>
      </c>
      <c r="AZ49" s="6" t="n">
        <v>3201</v>
      </c>
      <c r="BA49" s="6" t="n">
        <v>3200</v>
      </c>
      <c r="BB49" s="6" t="n">
        <v>3201</v>
      </c>
      <c r="BC49" s="6" t="n">
        <v>3158</v>
      </c>
      <c r="BD49" s="6" t="n">
        <v>3201</v>
      </c>
      <c r="BE49" s="6" t="n">
        <v>3250</v>
      </c>
      <c r="BF49" s="6" t="n">
        <v>3501</v>
      </c>
      <c r="BG49" s="6" t="n">
        <v>3501</v>
      </c>
      <c r="BH49" s="6" t="n">
        <v>3551</v>
      </c>
      <c r="BI49" s="6" t="n">
        <v>3834</v>
      </c>
      <c r="BJ49" s="6" t="n">
        <v>3934</v>
      </c>
      <c r="BK49" s="6" t="n">
        <v>4601</v>
      </c>
      <c r="BL49" s="6" t="n">
        <v>5100</v>
      </c>
      <c r="BM49" s="6" t="n">
        <v>5300</v>
      </c>
      <c r="BN49" s="6" t="n">
        <v>7000</v>
      </c>
      <c r="BO49" s="6" t="n">
        <v>10000</v>
      </c>
      <c r="BP49" s="6" t="n">
        <v>10000</v>
      </c>
      <c r="BQ49" s="6" t="n">
        <v>10000</v>
      </c>
      <c r="BR49" s="6" t="n">
        <v>10000</v>
      </c>
      <c r="BS49" s="6" t="n">
        <v>10000</v>
      </c>
      <c r="BT49" s="6" t="n">
        <v>10000</v>
      </c>
      <c r="BU49" s="6" t="n">
        <v>10000</v>
      </c>
      <c r="BV49" s="6" t="n">
        <v>10000</v>
      </c>
      <c r="BW49" s="6" t="n">
        <v>10000</v>
      </c>
      <c r="BX49" s="6" t="n">
        <v>10000</v>
      </c>
      <c r="BY49" s="6" t="n">
        <v>10000</v>
      </c>
      <c r="BZ49" s="6" t="n">
        <v>10000</v>
      </c>
      <c r="CA49" s="6" t="n">
        <v>10000</v>
      </c>
      <c r="CB49" s="6" t="n">
        <v>10000</v>
      </c>
      <c r="CC49" s="6" t="n">
        <v>10000</v>
      </c>
      <c r="CD49" s="6" t="n">
        <v>10000</v>
      </c>
      <c r="CE49" s="6" t="n">
        <v>10000</v>
      </c>
      <c r="CF49" s="6" t="n">
        <v>10000</v>
      </c>
      <c r="CG49" s="6" t="n">
        <v>10000</v>
      </c>
      <c r="CH49" s="6" t="n">
        <v>10000</v>
      </c>
      <c r="CI49" s="6" t="n">
        <v>10000</v>
      </c>
      <c r="CJ49" s="6" t="n">
        <v>10000</v>
      </c>
      <c r="CK49" s="6" t="n">
        <v>10000</v>
      </c>
      <c r="CL49" s="6" t="n">
        <v>10000</v>
      </c>
      <c r="CM49" s="6" t="n">
        <v>10000</v>
      </c>
      <c r="CN49" s="6" t="n">
        <v>10000</v>
      </c>
      <c r="CO49" s="6" t="n">
        <v>10000</v>
      </c>
      <c r="CP49" s="6" t="n">
        <v>10000</v>
      </c>
      <c r="CQ49" s="6" t="n">
        <v>10000</v>
      </c>
      <c r="CR49" s="6" t="n">
        <v>10000</v>
      </c>
      <c r="CS49" s="6" t="n">
        <v>10000</v>
      </c>
      <c r="CT49" s="6" t="n">
        <v>10000</v>
      </c>
      <c r="CU49" s="6" t="n">
        <v>10000</v>
      </c>
      <c r="CV49" s="6" t="n">
        <v>10000</v>
      </c>
      <c r="CW49" s="6" t="n">
        <v>10000</v>
      </c>
      <c r="CX49" s="6" t="n">
        <v>10000</v>
      </c>
      <c r="CY49" s="6" t="n">
        <v>10000</v>
      </c>
      <c r="CZ49" s="6" t="n">
        <v>10000</v>
      </c>
      <c r="DA49" s="6" t="n">
        <v>10000</v>
      </c>
      <c r="DB49" s="6" t="n">
        <v>10000</v>
      </c>
      <c r="DC49" s="6" t="n">
        <v>10000</v>
      </c>
      <c r="DD49" s="6" t="n">
        <v>10000</v>
      </c>
      <c r="DE49" s="6" t="n">
        <v>10000</v>
      </c>
      <c r="DF49" s="6" t="n">
        <v>10000</v>
      </c>
      <c r="DG49" s="6" t="n">
        <v>10000</v>
      </c>
      <c r="DH49" s="6" t="n">
        <v>10000</v>
      </c>
      <c r="DI49" s="6" t="n">
        <v>10000</v>
      </c>
      <c r="DJ49" s="6" t="n">
        <v>10000</v>
      </c>
      <c r="DK49" s="6" t="n">
        <v>10000</v>
      </c>
      <c r="DL49" s="6" t="n">
        <v>10000</v>
      </c>
      <c r="DM49" s="6" t="n">
        <v>10000</v>
      </c>
      <c r="DN49" s="6" t="n">
        <v>10000</v>
      </c>
      <c r="DO49" s="6" t="n">
        <v>10000</v>
      </c>
      <c r="DP49" s="6" t="n">
        <v>10000</v>
      </c>
      <c r="DQ49" s="6" t="n">
        <v>10000</v>
      </c>
      <c r="DR49" s="6" t="n">
        <v>10000</v>
      </c>
      <c r="DS49" s="6" t="n">
        <v>10000</v>
      </c>
      <c r="DT49" s="6" t="n">
        <v>10000</v>
      </c>
      <c r="DU49" s="6" t="n">
        <v>10000</v>
      </c>
      <c r="DV49" s="6" t="n">
        <v>10000</v>
      </c>
      <c r="DW49" s="6" t="n">
        <v>10000</v>
      </c>
      <c r="DX49" s="6" t="n">
        <v>10000</v>
      </c>
      <c r="DY49" s="6" t="n">
        <v>10000</v>
      </c>
      <c r="DZ49" s="6" t="n">
        <v>9998</v>
      </c>
      <c r="EA49" s="6" t="n">
        <v>9201</v>
      </c>
      <c r="EB49" s="6" t="n">
        <v>7800</v>
      </c>
      <c r="EC49" s="6" t="n">
        <v>6001</v>
      </c>
      <c r="ED49" s="6" t="n">
        <v>4730</v>
      </c>
      <c r="EE49" s="6" t="n">
        <v>5410</v>
      </c>
      <c r="EF49" s="6" t="n">
        <v>4501</v>
      </c>
      <c r="EG49" s="6" t="n">
        <v>4501</v>
      </c>
      <c r="EH49" s="6" t="n">
        <v>4508</v>
      </c>
      <c r="EI49" s="6" t="n">
        <v>3701</v>
      </c>
      <c r="EJ49" s="6" t="n">
        <v>3701</v>
      </c>
      <c r="EK49" s="6" t="n">
        <v>3834</v>
      </c>
      <c r="EL49" s="6" t="n">
        <v>3734</v>
      </c>
      <c r="EM49" s="6" t="n">
        <v>3700</v>
      </c>
      <c r="EN49" s="6" t="n">
        <v>3700</v>
      </c>
      <c r="EO49" s="6" t="n">
        <v>3501</v>
      </c>
      <c r="EP49" s="6" t="n">
        <v>3501</v>
      </c>
      <c r="EQ49" s="6" t="n">
        <v>3500</v>
      </c>
      <c r="ER49" s="6" t="n">
        <v>3201</v>
      </c>
      <c r="ES49" s="6" t="n">
        <v>3200</v>
      </c>
      <c r="ET49" s="6" t="n">
        <v>3201</v>
      </c>
      <c r="EU49" s="6" t="n">
        <v>3158</v>
      </c>
      <c r="EV49" s="6" t="n">
        <v>3201</v>
      </c>
      <c r="EW49" s="6" t="n">
        <v>3250</v>
      </c>
      <c r="EX49" s="6" t="n">
        <v>3501</v>
      </c>
      <c r="EY49" s="6" t="n">
        <v>3501</v>
      </c>
      <c r="EZ49" s="6" t="n">
        <v>3551</v>
      </c>
      <c r="FA49" s="6" t="n">
        <v>3834</v>
      </c>
      <c r="FB49" s="6" t="n">
        <v>3934</v>
      </c>
      <c r="FC49" s="6" t="n">
        <v>4601</v>
      </c>
      <c r="FD49" s="6" t="n">
        <v>5100</v>
      </c>
      <c r="FE49" s="6" t="n">
        <v>5300</v>
      </c>
      <c r="FF49" s="6" t="n">
        <v>7000</v>
      </c>
      <c r="FG49" s="6" t="n">
        <v>10000</v>
      </c>
      <c r="FH49" s="6" t="n">
        <v>10000</v>
      </c>
      <c r="FI49" s="6" t="n">
        <v>10000</v>
      </c>
      <c r="FJ49" s="6" t="n">
        <v>10000</v>
      </c>
      <c r="FK49" s="6" t="n">
        <v>10000</v>
      </c>
      <c r="FL49" s="6" t="n">
        <v>10000</v>
      </c>
      <c r="FM49" s="6" t="n">
        <v>10000</v>
      </c>
      <c r="FN49" s="6" t="n">
        <v>10000</v>
      </c>
      <c r="FO49" s="6" t="n">
        <v>10000</v>
      </c>
      <c r="FP49" s="6" t="n">
        <v>10000</v>
      </c>
      <c r="FQ49" s="6" t="n">
        <v>10000</v>
      </c>
      <c r="FR49" s="6" t="n">
        <v>10000</v>
      </c>
      <c r="FS49" s="6" t="n">
        <v>10000</v>
      </c>
      <c r="FT49" s="6" t="n">
        <v>10000</v>
      </c>
      <c r="FU49" s="6" t="n">
        <v>10000</v>
      </c>
      <c r="FV49" s="6" t="n">
        <v>10000</v>
      </c>
      <c r="FW49" s="6" t="n">
        <v>10000</v>
      </c>
      <c r="FX49" s="6" t="n">
        <v>10000</v>
      </c>
      <c r="FY49" s="6" t="n">
        <v>10000</v>
      </c>
      <c r="FZ49" s="6" t="n">
        <v>10000</v>
      </c>
      <c r="GA49" s="6" t="n">
        <v>10000</v>
      </c>
      <c r="GB49" s="6" t="n">
        <v>10000</v>
      </c>
      <c r="GC49" s="6" t="n">
        <v>10000</v>
      </c>
      <c r="GD49" s="6" t="n">
        <v>10000</v>
      </c>
      <c r="GE49" s="6" t="n">
        <v>10000</v>
      </c>
      <c r="GF49" s="6" t="n">
        <v>10000</v>
      </c>
      <c r="GG49" s="6" t="n">
        <v>10000</v>
      </c>
      <c r="GH49" s="6" t="n">
        <v>10000</v>
      </c>
      <c r="GI49" s="6" t="n">
        <v>10000</v>
      </c>
      <c r="GJ49" s="6" t="n">
        <v>10000</v>
      </c>
      <c r="GK49" s="6" t="n">
        <v>10000</v>
      </c>
      <c r="GL49" s="6" t="n">
        <v>10000</v>
      </c>
    </row>
    <row r="50">
      <c r="A50" s="6" t="inlineStr">
        <is>
          <t>GDAM</t>
        </is>
      </c>
      <c r="B50" s="6" t="n">
        <v>17</v>
      </c>
      <c r="C50" s="6" t="n">
        <v>10000</v>
      </c>
      <c r="D50" s="6" t="n">
        <v>10000</v>
      </c>
      <c r="E50" s="6" t="n">
        <v>10000</v>
      </c>
      <c r="F50" s="6" t="n">
        <v>10000</v>
      </c>
      <c r="G50" s="6" t="n">
        <v>10000</v>
      </c>
      <c r="H50" s="6" t="n">
        <v>10000</v>
      </c>
      <c r="I50" s="6" t="n">
        <v>10000</v>
      </c>
      <c r="J50" s="6" t="n">
        <v>10000</v>
      </c>
      <c r="K50" s="6" t="n">
        <v>10000</v>
      </c>
      <c r="L50" s="6" t="n">
        <v>10000</v>
      </c>
      <c r="M50" s="6" t="n">
        <v>10000</v>
      </c>
      <c r="N50" s="6" t="n">
        <v>10000</v>
      </c>
      <c r="O50" s="6" t="n">
        <v>10000</v>
      </c>
      <c r="P50" s="6" t="n">
        <v>10000</v>
      </c>
      <c r="Q50" s="6" t="n">
        <v>10000</v>
      </c>
      <c r="R50" s="6" t="n">
        <v>10000</v>
      </c>
      <c r="S50" s="6" t="n">
        <v>10000</v>
      </c>
      <c r="T50" s="6" t="n">
        <v>10000</v>
      </c>
      <c r="U50" s="6" t="n">
        <v>10000</v>
      </c>
      <c r="V50" s="6" t="n">
        <v>10000</v>
      </c>
      <c r="W50" s="6" t="n">
        <v>10000</v>
      </c>
      <c r="X50" s="6" t="n">
        <v>10000</v>
      </c>
      <c r="Y50" s="6" t="n">
        <v>10000</v>
      </c>
      <c r="Z50" s="6" t="n">
        <v>10000</v>
      </c>
      <c r="AA50" s="6" t="n">
        <v>10000</v>
      </c>
      <c r="AB50" s="6" t="n">
        <v>10000</v>
      </c>
      <c r="AC50" s="6" t="n">
        <v>10000</v>
      </c>
      <c r="AD50" s="6" t="n">
        <v>10000</v>
      </c>
      <c r="AE50" s="6" t="n">
        <v>10000</v>
      </c>
      <c r="AF50" s="6" t="n">
        <v>10000</v>
      </c>
      <c r="AG50" s="6" t="n">
        <v>10000</v>
      </c>
      <c r="AH50" s="6" t="n">
        <v>10000</v>
      </c>
      <c r="AI50" s="6" t="n">
        <v>10000</v>
      </c>
      <c r="AJ50" s="6" t="n">
        <v>10000</v>
      </c>
      <c r="AK50" s="6" t="n">
        <v>9500</v>
      </c>
      <c r="AL50" s="6" t="n">
        <v>4750</v>
      </c>
      <c r="AM50" s="6" t="n">
        <v>4600</v>
      </c>
      <c r="AN50" s="6" t="n">
        <v>4501</v>
      </c>
      <c r="AO50" s="6" t="n">
        <v>4500</v>
      </c>
      <c r="AP50" s="6" t="n">
        <v>4400</v>
      </c>
      <c r="AQ50" s="6" t="n">
        <v>4001</v>
      </c>
      <c r="AR50" s="6" t="n">
        <v>3835</v>
      </c>
      <c r="AS50" s="6" t="n">
        <v>4000</v>
      </c>
      <c r="AT50" s="6" t="n">
        <v>4000</v>
      </c>
      <c r="AU50" s="6" t="n">
        <v>3797</v>
      </c>
      <c r="AV50" s="6" t="n">
        <v>3701</v>
      </c>
      <c r="AW50" s="6" t="n">
        <v>3593</v>
      </c>
      <c r="AX50" s="6" t="n">
        <v>3701</v>
      </c>
      <c r="AY50" s="6" t="n">
        <v>3601</v>
      </c>
      <c r="AZ50" s="6" t="n">
        <v>3278</v>
      </c>
      <c r="BA50" s="6" t="n">
        <v>3200</v>
      </c>
      <c r="BB50" s="6" t="n">
        <v>3201</v>
      </c>
      <c r="BC50" s="6" t="n">
        <v>3200</v>
      </c>
      <c r="BD50" s="6" t="n">
        <v>3201</v>
      </c>
      <c r="BE50" s="6" t="n">
        <v>3796</v>
      </c>
      <c r="BF50" s="6" t="n">
        <v>3701</v>
      </c>
      <c r="BG50" s="6" t="n">
        <v>3851</v>
      </c>
      <c r="BH50" s="6" t="n">
        <v>3701</v>
      </c>
      <c r="BI50" s="6" t="n">
        <v>4001</v>
      </c>
      <c r="BJ50" s="6" t="n">
        <v>4001</v>
      </c>
      <c r="BK50" s="6" t="n">
        <v>6001</v>
      </c>
      <c r="BL50" s="6" t="n">
        <v>6694</v>
      </c>
      <c r="BM50" s="6" t="n">
        <v>9998</v>
      </c>
      <c r="BN50" s="6" t="n">
        <v>9999</v>
      </c>
      <c r="BO50" s="6" t="n">
        <v>10000</v>
      </c>
      <c r="BP50" s="6" t="n">
        <v>10000</v>
      </c>
      <c r="BQ50" s="6" t="n">
        <v>10000</v>
      </c>
      <c r="BR50" s="6" t="n">
        <v>10000</v>
      </c>
      <c r="BS50" s="6" t="n">
        <v>10000</v>
      </c>
      <c r="BT50" s="6" t="n">
        <v>10000</v>
      </c>
      <c r="BU50" s="6" t="n">
        <v>10000</v>
      </c>
      <c r="BV50" s="6" t="n">
        <v>10000</v>
      </c>
      <c r="BW50" s="6" t="n">
        <v>10000</v>
      </c>
      <c r="BX50" s="6" t="n">
        <v>10000</v>
      </c>
      <c r="BY50" s="6" t="n">
        <v>10000</v>
      </c>
      <c r="BZ50" s="6" t="n">
        <v>10000</v>
      </c>
      <c r="CA50" s="6" t="n">
        <v>10000</v>
      </c>
      <c r="CB50" s="6" t="n">
        <v>10000</v>
      </c>
      <c r="CC50" s="6" t="n">
        <v>10000</v>
      </c>
      <c r="CD50" s="6" t="n">
        <v>10000</v>
      </c>
      <c r="CE50" s="6" t="n">
        <v>10000</v>
      </c>
      <c r="CF50" s="6" t="n">
        <v>10000</v>
      </c>
      <c r="CG50" s="6" t="n">
        <v>10000</v>
      </c>
      <c r="CH50" s="6" t="n">
        <v>10000</v>
      </c>
      <c r="CI50" s="6" t="n">
        <v>10000</v>
      </c>
      <c r="CJ50" s="6" t="n">
        <v>10000</v>
      </c>
      <c r="CK50" s="6" t="n">
        <v>10000</v>
      </c>
      <c r="CL50" s="6" t="n">
        <v>10000</v>
      </c>
      <c r="CM50" s="6" t="n">
        <v>10000</v>
      </c>
      <c r="CN50" s="6" t="n">
        <v>10000</v>
      </c>
      <c r="CO50" s="6" t="n">
        <v>10000</v>
      </c>
      <c r="CP50" s="6" t="n">
        <v>10000</v>
      </c>
      <c r="CQ50" s="6" t="n">
        <v>10000</v>
      </c>
      <c r="CR50" s="6" t="n">
        <v>10000</v>
      </c>
      <c r="CS50" s="6" t="n">
        <v>10000</v>
      </c>
      <c r="CT50" s="6" t="n">
        <v>10000</v>
      </c>
      <c r="CU50" s="6" t="n">
        <v>10000</v>
      </c>
      <c r="CV50" s="6" t="n">
        <v>10000</v>
      </c>
      <c r="CW50" s="6" t="n">
        <v>10000</v>
      </c>
      <c r="CX50" s="6" t="n">
        <v>10000</v>
      </c>
      <c r="CY50" s="6" t="n">
        <v>10000</v>
      </c>
      <c r="CZ50" s="6" t="n">
        <v>10000</v>
      </c>
      <c r="DA50" s="6" t="n">
        <v>10000</v>
      </c>
      <c r="DB50" s="6" t="n">
        <v>10000</v>
      </c>
      <c r="DC50" s="6" t="n">
        <v>10000</v>
      </c>
      <c r="DD50" s="6" t="n">
        <v>10000</v>
      </c>
      <c r="DE50" s="6" t="n">
        <v>10000</v>
      </c>
      <c r="DF50" s="6" t="n">
        <v>10000</v>
      </c>
      <c r="DG50" s="6" t="n">
        <v>10000</v>
      </c>
      <c r="DH50" s="6" t="n">
        <v>10000</v>
      </c>
      <c r="DI50" s="6" t="n">
        <v>10000</v>
      </c>
      <c r="DJ50" s="6" t="n">
        <v>10000</v>
      </c>
      <c r="DK50" s="6" t="n">
        <v>10000</v>
      </c>
      <c r="DL50" s="6" t="n">
        <v>10000</v>
      </c>
      <c r="DM50" s="6" t="n">
        <v>10000</v>
      </c>
      <c r="DN50" s="6" t="n">
        <v>10000</v>
      </c>
      <c r="DO50" s="6" t="n">
        <v>10000</v>
      </c>
      <c r="DP50" s="6" t="n">
        <v>10000</v>
      </c>
      <c r="DQ50" s="6" t="n">
        <v>10000</v>
      </c>
      <c r="DR50" s="6" t="n">
        <v>10000</v>
      </c>
      <c r="DS50" s="6" t="n">
        <v>10000</v>
      </c>
      <c r="DT50" s="6" t="n">
        <v>10000</v>
      </c>
      <c r="DU50" s="6" t="n">
        <v>10000</v>
      </c>
      <c r="DV50" s="6" t="n">
        <v>10000</v>
      </c>
      <c r="DW50" s="6" t="n">
        <v>10000</v>
      </c>
      <c r="DX50" s="6" t="n">
        <v>10000</v>
      </c>
      <c r="DY50" s="6" t="n">
        <v>10000</v>
      </c>
      <c r="DZ50" s="6" t="n">
        <v>10000</v>
      </c>
      <c r="EA50" s="6" t="n">
        <v>10000</v>
      </c>
      <c r="EB50" s="6" t="n">
        <v>10000</v>
      </c>
      <c r="EC50" s="6" t="n">
        <v>9500</v>
      </c>
      <c r="ED50" s="6" t="n">
        <v>4750</v>
      </c>
      <c r="EE50" s="6" t="n">
        <v>4600</v>
      </c>
      <c r="EF50" s="6" t="n">
        <v>4501</v>
      </c>
      <c r="EG50" s="6" t="n">
        <v>4500</v>
      </c>
      <c r="EH50" s="6" t="n">
        <v>4400</v>
      </c>
      <c r="EI50" s="6" t="n">
        <v>4001</v>
      </c>
      <c r="EJ50" s="6" t="n">
        <v>3835</v>
      </c>
      <c r="EK50" s="6" t="n">
        <v>4000</v>
      </c>
      <c r="EL50" s="6" t="n">
        <v>4000</v>
      </c>
      <c r="EM50" s="6" t="n">
        <v>3797</v>
      </c>
      <c r="EN50" s="6" t="n">
        <v>3701</v>
      </c>
      <c r="EO50" s="6" t="n">
        <v>3593</v>
      </c>
      <c r="EP50" s="6" t="n">
        <v>3701</v>
      </c>
      <c r="EQ50" s="6" t="n">
        <v>3601</v>
      </c>
      <c r="ER50" s="6" t="n">
        <v>3278</v>
      </c>
      <c r="ES50" s="6" t="n">
        <v>3200</v>
      </c>
      <c r="ET50" s="6" t="n">
        <v>3201</v>
      </c>
      <c r="EU50" s="6" t="n">
        <v>3200</v>
      </c>
      <c r="EV50" s="6" t="n">
        <v>3201</v>
      </c>
      <c r="EW50" s="6" t="n">
        <v>3796</v>
      </c>
      <c r="EX50" s="6" t="n">
        <v>3701</v>
      </c>
      <c r="EY50" s="6" t="n">
        <v>3851</v>
      </c>
      <c r="EZ50" s="6" t="n">
        <v>3701</v>
      </c>
      <c r="FA50" s="6" t="n">
        <v>4001</v>
      </c>
      <c r="FB50" s="6" t="n">
        <v>4001</v>
      </c>
      <c r="FC50" s="6" t="n">
        <v>6001</v>
      </c>
      <c r="FD50" s="6" t="n">
        <v>6694</v>
      </c>
      <c r="FE50" s="6" t="n">
        <v>9998</v>
      </c>
      <c r="FF50" s="6" t="n">
        <v>9999</v>
      </c>
      <c r="FG50" s="6" t="n">
        <v>10000</v>
      </c>
      <c r="FH50" s="6" t="n">
        <v>10000</v>
      </c>
      <c r="FI50" s="6" t="n">
        <v>10000</v>
      </c>
      <c r="FJ50" s="6" t="n">
        <v>10000</v>
      </c>
      <c r="FK50" s="6" t="n">
        <v>10000</v>
      </c>
      <c r="FL50" s="6" t="n">
        <v>10000</v>
      </c>
      <c r="FM50" s="6" t="n">
        <v>10000</v>
      </c>
      <c r="FN50" s="6" t="n">
        <v>10000</v>
      </c>
      <c r="FO50" s="6" t="n">
        <v>10000</v>
      </c>
      <c r="FP50" s="6" t="n">
        <v>10000</v>
      </c>
      <c r="FQ50" s="6" t="n">
        <v>10000</v>
      </c>
      <c r="FR50" s="6" t="n">
        <v>10000</v>
      </c>
      <c r="FS50" s="6" t="n">
        <v>10000</v>
      </c>
      <c r="FT50" s="6" t="n">
        <v>10000</v>
      </c>
      <c r="FU50" s="6" t="n">
        <v>10000</v>
      </c>
      <c r="FV50" s="6" t="n">
        <v>10000</v>
      </c>
      <c r="FW50" s="6" t="n">
        <v>10000</v>
      </c>
      <c r="FX50" s="6" t="n">
        <v>10000</v>
      </c>
      <c r="FY50" s="6" t="n">
        <v>10000</v>
      </c>
      <c r="FZ50" s="6" t="n">
        <v>10000</v>
      </c>
      <c r="GA50" s="6" t="n">
        <v>10000</v>
      </c>
      <c r="GB50" s="6" t="n">
        <v>10000</v>
      </c>
      <c r="GC50" s="6" t="n">
        <v>10000</v>
      </c>
      <c r="GD50" s="6" t="n">
        <v>10000</v>
      </c>
      <c r="GE50" s="6" t="n">
        <v>10000</v>
      </c>
      <c r="GF50" s="6" t="n">
        <v>10000</v>
      </c>
      <c r="GG50" s="6" t="n">
        <v>10000</v>
      </c>
      <c r="GH50" s="6" t="n">
        <v>10000</v>
      </c>
      <c r="GI50" s="6" t="n">
        <v>10000</v>
      </c>
      <c r="GJ50" s="6" t="n">
        <v>10000</v>
      </c>
      <c r="GK50" s="6" t="n">
        <v>10000</v>
      </c>
      <c r="GL50" s="6" t="n">
        <v>10000</v>
      </c>
    </row>
    <row r="51">
      <c r="A51" s="6" t="inlineStr">
        <is>
          <t>GDAM</t>
        </is>
      </c>
      <c r="B51" s="6" t="n">
        <v>18</v>
      </c>
      <c r="C51" s="6" t="n">
        <v>10000</v>
      </c>
      <c r="D51" s="6" t="n">
        <v>10000</v>
      </c>
      <c r="E51" s="6" t="n">
        <v>10000</v>
      </c>
      <c r="F51" s="6" t="n">
        <v>10000</v>
      </c>
      <c r="G51" s="6" t="n">
        <v>10000</v>
      </c>
      <c r="H51" s="6" t="n">
        <v>10000</v>
      </c>
      <c r="I51" s="6" t="n">
        <v>10000</v>
      </c>
      <c r="J51" s="6" t="n">
        <v>10000</v>
      </c>
      <c r="K51" s="6" t="n">
        <v>10000</v>
      </c>
      <c r="L51" s="6" t="n">
        <v>10000</v>
      </c>
      <c r="M51" s="6" t="n">
        <v>10000</v>
      </c>
      <c r="N51" s="6" t="n">
        <v>10000</v>
      </c>
      <c r="O51" s="6" t="n">
        <v>10000</v>
      </c>
      <c r="P51" s="6" t="n">
        <v>10000</v>
      </c>
      <c r="Q51" s="6" t="n">
        <v>10000</v>
      </c>
      <c r="R51" s="6" t="n">
        <v>10000</v>
      </c>
      <c r="S51" s="6" t="n">
        <v>10000</v>
      </c>
      <c r="T51" s="6" t="n">
        <v>10000</v>
      </c>
      <c r="U51" s="6" t="n">
        <v>10000</v>
      </c>
      <c r="V51" s="6" t="n">
        <v>10000</v>
      </c>
      <c r="W51" s="6" t="n">
        <v>10000</v>
      </c>
      <c r="X51" s="6" t="n">
        <v>10000</v>
      </c>
      <c r="Y51" s="6" t="n">
        <v>10000</v>
      </c>
      <c r="Z51" s="6" t="n">
        <v>10000</v>
      </c>
      <c r="AA51" s="6" t="n">
        <v>10000</v>
      </c>
      <c r="AB51" s="6" t="n">
        <v>10000</v>
      </c>
      <c r="AC51" s="6" t="n">
        <v>10000</v>
      </c>
      <c r="AD51" s="6" t="n">
        <v>10000</v>
      </c>
      <c r="AE51" s="6" t="n">
        <v>10000</v>
      </c>
      <c r="AF51" s="6" t="n">
        <v>10000</v>
      </c>
      <c r="AG51" s="6" t="n">
        <v>10000</v>
      </c>
      <c r="AH51" s="6" t="n">
        <v>10000</v>
      </c>
      <c r="AI51" s="6" t="n">
        <v>10000</v>
      </c>
      <c r="AJ51" s="6" t="n">
        <v>9999</v>
      </c>
      <c r="AK51" s="6" t="n">
        <v>9999</v>
      </c>
      <c r="AL51" s="6" t="n">
        <v>5406</v>
      </c>
      <c r="AM51" s="6" t="n">
        <v>5850</v>
      </c>
      <c r="AN51" s="6" t="n">
        <v>5501</v>
      </c>
      <c r="AO51" s="6" t="n">
        <v>5410</v>
      </c>
      <c r="AP51" s="6" t="n">
        <v>5461</v>
      </c>
      <c r="AQ51" s="6" t="n">
        <v>4501</v>
      </c>
      <c r="AR51" s="6" t="n">
        <v>4299</v>
      </c>
      <c r="AS51" s="6" t="n">
        <v>4000</v>
      </c>
      <c r="AT51" s="6" t="n">
        <v>3999</v>
      </c>
      <c r="AU51" s="6" t="n">
        <v>3797</v>
      </c>
      <c r="AV51" s="6" t="n">
        <v>3701</v>
      </c>
      <c r="AW51" s="6" t="n">
        <v>4000</v>
      </c>
      <c r="AX51" s="6" t="n">
        <v>3801</v>
      </c>
      <c r="AY51" s="6" t="n">
        <v>3700</v>
      </c>
      <c r="AZ51" s="6" t="n">
        <v>3500</v>
      </c>
      <c r="BA51" s="6" t="n">
        <v>3500</v>
      </c>
      <c r="BB51" s="6" t="n">
        <v>3545</v>
      </c>
      <c r="BC51" s="6" t="n">
        <v>3550</v>
      </c>
      <c r="BD51" s="6" t="n">
        <v>3578</v>
      </c>
      <c r="BE51" s="6" t="n">
        <v>3795</v>
      </c>
      <c r="BF51" s="6" t="n">
        <v>3701</v>
      </c>
      <c r="BG51" s="6" t="n">
        <v>4367</v>
      </c>
      <c r="BH51" s="6" t="n">
        <v>4368</v>
      </c>
      <c r="BI51" s="6" t="n">
        <v>4101</v>
      </c>
      <c r="BJ51" s="6" t="n">
        <v>4201</v>
      </c>
      <c r="BK51" s="6" t="n">
        <v>10000</v>
      </c>
      <c r="BL51" s="6" t="n">
        <v>10000</v>
      </c>
      <c r="BM51" s="6" t="n">
        <v>10000</v>
      </c>
      <c r="BN51" s="6" t="n">
        <v>10000</v>
      </c>
      <c r="BO51" s="6" t="n">
        <v>10000</v>
      </c>
      <c r="BP51" s="6" t="n">
        <v>10000</v>
      </c>
      <c r="BQ51" s="6" t="n">
        <v>10000</v>
      </c>
      <c r="BR51" s="6" t="n">
        <v>10000</v>
      </c>
      <c r="BS51" s="6" t="n">
        <v>10000</v>
      </c>
      <c r="BT51" s="6" t="n">
        <v>10000</v>
      </c>
      <c r="BU51" s="6" t="n">
        <v>10000</v>
      </c>
      <c r="BV51" s="6" t="n">
        <v>10000</v>
      </c>
      <c r="BW51" s="6" t="n">
        <v>10000</v>
      </c>
      <c r="BX51" s="6" t="n">
        <v>10000</v>
      </c>
      <c r="BY51" s="6" t="n">
        <v>10000</v>
      </c>
      <c r="BZ51" s="6" t="n">
        <v>10000</v>
      </c>
      <c r="CA51" s="6" t="n">
        <v>10000</v>
      </c>
      <c r="CB51" s="6" t="n">
        <v>10000</v>
      </c>
      <c r="CC51" s="6" t="n">
        <v>10000</v>
      </c>
      <c r="CD51" s="6" t="n">
        <v>10000</v>
      </c>
      <c r="CE51" s="6" t="n">
        <v>10000</v>
      </c>
      <c r="CF51" s="6" t="n">
        <v>10000</v>
      </c>
      <c r="CG51" s="6" t="n">
        <v>10000</v>
      </c>
      <c r="CH51" s="6" t="n">
        <v>10000</v>
      </c>
      <c r="CI51" s="6" t="n">
        <v>10000</v>
      </c>
      <c r="CJ51" s="6" t="n">
        <v>10000</v>
      </c>
      <c r="CK51" s="6" t="n">
        <v>10000</v>
      </c>
      <c r="CL51" s="6" t="n">
        <v>10000</v>
      </c>
      <c r="CM51" s="6" t="n">
        <v>10000</v>
      </c>
      <c r="CN51" s="6" t="n">
        <v>10000</v>
      </c>
      <c r="CO51" s="6" t="n">
        <v>10000</v>
      </c>
      <c r="CP51" s="6" t="n">
        <v>10000</v>
      </c>
      <c r="CQ51" s="6" t="n">
        <v>10000</v>
      </c>
      <c r="CR51" s="6" t="n">
        <v>10000</v>
      </c>
      <c r="CS51" s="6" t="n">
        <v>10000</v>
      </c>
      <c r="CT51" s="6" t="n">
        <v>10000</v>
      </c>
      <c r="CU51" s="6" t="n">
        <v>10000</v>
      </c>
      <c r="CV51" s="6" t="n">
        <v>10000</v>
      </c>
      <c r="CW51" s="6" t="n">
        <v>10000</v>
      </c>
      <c r="CX51" s="6" t="n">
        <v>10000</v>
      </c>
      <c r="CY51" s="6" t="n">
        <v>10000</v>
      </c>
      <c r="CZ51" s="6" t="n">
        <v>10000</v>
      </c>
      <c r="DA51" s="6" t="n">
        <v>10000</v>
      </c>
      <c r="DB51" s="6" t="n">
        <v>10000</v>
      </c>
      <c r="DC51" s="6" t="n">
        <v>10000</v>
      </c>
      <c r="DD51" s="6" t="n">
        <v>10000</v>
      </c>
      <c r="DE51" s="6" t="n">
        <v>10000</v>
      </c>
      <c r="DF51" s="6" t="n">
        <v>10000</v>
      </c>
      <c r="DG51" s="6" t="n">
        <v>10000</v>
      </c>
      <c r="DH51" s="6" t="n">
        <v>10000</v>
      </c>
      <c r="DI51" s="6" t="n">
        <v>10000</v>
      </c>
      <c r="DJ51" s="6" t="n">
        <v>10000</v>
      </c>
      <c r="DK51" s="6" t="n">
        <v>10000</v>
      </c>
      <c r="DL51" s="6" t="n">
        <v>10000</v>
      </c>
      <c r="DM51" s="6" t="n">
        <v>10000</v>
      </c>
      <c r="DN51" s="6" t="n">
        <v>10000</v>
      </c>
      <c r="DO51" s="6" t="n">
        <v>10000</v>
      </c>
      <c r="DP51" s="6" t="n">
        <v>10000</v>
      </c>
      <c r="DQ51" s="6" t="n">
        <v>10000</v>
      </c>
      <c r="DR51" s="6" t="n">
        <v>10000</v>
      </c>
      <c r="DS51" s="6" t="n">
        <v>10000</v>
      </c>
      <c r="DT51" s="6" t="n">
        <v>10000</v>
      </c>
      <c r="DU51" s="6" t="n">
        <v>10000</v>
      </c>
      <c r="DV51" s="6" t="n">
        <v>10000</v>
      </c>
      <c r="DW51" s="6" t="n">
        <v>10000</v>
      </c>
      <c r="DX51" s="6" t="n">
        <v>10000</v>
      </c>
      <c r="DY51" s="6" t="n">
        <v>10000</v>
      </c>
      <c r="DZ51" s="6" t="n">
        <v>10000</v>
      </c>
      <c r="EA51" s="6" t="n">
        <v>10000</v>
      </c>
      <c r="EB51" s="6" t="n">
        <v>9999</v>
      </c>
      <c r="EC51" s="6" t="n">
        <v>9999</v>
      </c>
      <c r="ED51" s="6" t="n">
        <v>5406</v>
      </c>
      <c r="EE51" s="6" t="n">
        <v>5850</v>
      </c>
      <c r="EF51" s="6" t="n">
        <v>5501</v>
      </c>
      <c r="EG51" s="6" t="n">
        <v>5410</v>
      </c>
      <c r="EH51" s="6" t="n">
        <v>5461</v>
      </c>
      <c r="EI51" s="6" t="n">
        <v>4501</v>
      </c>
      <c r="EJ51" s="6" t="n">
        <v>4299</v>
      </c>
      <c r="EK51" s="6" t="n">
        <v>4000</v>
      </c>
      <c r="EL51" s="6" t="n">
        <v>3999</v>
      </c>
      <c r="EM51" s="6" t="n">
        <v>3797</v>
      </c>
      <c r="EN51" s="6" t="n">
        <v>3701</v>
      </c>
      <c r="EO51" s="6" t="n">
        <v>4000</v>
      </c>
      <c r="EP51" s="6" t="n">
        <v>3801</v>
      </c>
      <c r="EQ51" s="6" t="n">
        <v>3700</v>
      </c>
      <c r="ER51" s="6" t="n">
        <v>3500</v>
      </c>
      <c r="ES51" s="6" t="n">
        <v>3500</v>
      </c>
      <c r="ET51" s="6" t="n">
        <v>3545</v>
      </c>
      <c r="EU51" s="6" t="n">
        <v>3550</v>
      </c>
      <c r="EV51" s="6" t="n">
        <v>3578</v>
      </c>
      <c r="EW51" s="6" t="n">
        <v>3795</v>
      </c>
      <c r="EX51" s="6" t="n">
        <v>3701</v>
      </c>
      <c r="EY51" s="6" t="n">
        <v>4367</v>
      </c>
      <c r="EZ51" s="6" t="n">
        <v>4368</v>
      </c>
      <c r="FA51" s="6" t="n">
        <v>4101</v>
      </c>
      <c r="FB51" s="6" t="n">
        <v>4201</v>
      </c>
      <c r="FC51" s="6" t="n">
        <v>10000</v>
      </c>
      <c r="FD51" s="6" t="n">
        <v>10000</v>
      </c>
      <c r="FE51" s="6" t="n">
        <v>10000</v>
      </c>
      <c r="FF51" s="6" t="n">
        <v>10000</v>
      </c>
      <c r="FG51" s="6" t="n">
        <v>10000</v>
      </c>
      <c r="FH51" s="6" t="n">
        <v>10000</v>
      </c>
      <c r="FI51" s="6" t="n">
        <v>10000</v>
      </c>
      <c r="FJ51" s="6" t="n">
        <v>10000</v>
      </c>
      <c r="FK51" s="6" t="n">
        <v>10000</v>
      </c>
      <c r="FL51" s="6" t="n">
        <v>10000</v>
      </c>
      <c r="FM51" s="6" t="n">
        <v>10000</v>
      </c>
      <c r="FN51" s="6" t="n">
        <v>10000</v>
      </c>
      <c r="FO51" s="6" t="n">
        <v>10000</v>
      </c>
      <c r="FP51" s="6" t="n">
        <v>10000</v>
      </c>
      <c r="FQ51" s="6" t="n">
        <v>10000</v>
      </c>
      <c r="FR51" s="6" t="n">
        <v>10000</v>
      </c>
      <c r="FS51" s="6" t="n">
        <v>10000</v>
      </c>
      <c r="FT51" s="6" t="n">
        <v>10000</v>
      </c>
      <c r="FU51" s="6" t="n">
        <v>10000</v>
      </c>
      <c r="FV51" s="6" t="n">
        <v>10000</v>
      </c>
      <c r="FW51" s="6" t="n">
        <v>10000</v>
      </c>
      <c r="FX51" s="6" t="n">
        <v>10000</v>
      </c>
      <c r="FY51" s="6" t="n">
        <v>10000</v>
      </c>
      <c r="FZ51" s="6" t="n">
        <v>10000</v>
      </c>
      <c r="GA51" s="6" t="n">
        <v>10000</v>
      </c>
      <c r="GB51" s="6" t="n">
        <v>10000</v>
      </c>
      <c r="GC51" s="6" t="n">
        <v>10000</v>
      </c>
      <c r="GD51" s="6" t="n">
        <v>10000</v>
      </c>
      <c r="GE51" s="6" t="n">
        <v>10000</v>
      </c>
      <c r="GF51" s="6" t="n">
        <v>10000</v>
      </c>
      <c r="GG51" s="6" t="n">
        <v>10000</v>
      </c>
      <c r="GH51" s="6" t="n">
        <v>10000</v>
      </c>
      <c r="GI51" s="6" t="n">
        <v>10000</v>
      </c>
      <c r="GJ51" s="6" t="n">
        <v>10000</v>
      </c>
      <c r="GK51" s="6" t="n">
        <v>10000</v>
      </c>
      <c r="GL51" s="6" t="n">
        <v>10000</v>
      </c>
    </row>
    <row r="52">
      <c r="A52" s="6" t="inlineStr">
        <is>
          <t>GDAM</t>
        </is>
      </c>
      <c r="B52" s="6" t="n">
        <v>19</v>
      </c>
      <c r="C52" s="6" t="n">
        <v>10000</v>
      </c>
      <c r="D52" s="6" t="n">
        <v>10000</v>
      </c>
      <c r="E52" s="6" t="n">
        <v>10000</v>
      </c>
      <c r="F52" s="6" t="n">
        <v>10000</v>
      </c>
      <c r="G52" s="6" t="n">
        <v>10000</v>
      </c>
      <c r="H52" s="6" t="n">
        <v>10000</v>
      </c>
      <c r="I52" s="6" t="n">
        <v>10000</v>
      </c>
      <c r="J52" s="6" t="n">
        <v>10000</v>
      </c>
      <c r="K52" s="6" t="n">
        <v>10000</v>
      </c>
      <c r="L52" s="6" t="n">
        <v>10000</v>
      </c>
      <c r="M52" s="6" t="n">
        <v>10000</v>
      </c>
      <c r="N52" s="6" t="n">
        <v>10000</v>
      </c>
      <c r="O52" s="6" t="n">
        <v>10000</v>
      </c>
      <c r="P52" s="6" t="n">
        <v>10000</v>
      </c>
      <c r="Q52" s="6" t="n">
        <v>10000</v>
      </c>
      <c r="R52" s="6" t="n">
        <v>10000</v>
      </c>
      <c r="S52" s="6" t="n">
        <v>10000</v>
      </c>
      <c r="T52" s="6" t="n">
        <v>10000</v>
      </c>
      <c r="U52" s="6" t="n">
        <v>10000</v>
      </c>
      <c r="V52" s="6" t="n">
        <v>10000</v>
      </c>
      <c r="W52" s="6" t="n">
        <v>10000</v>
      </c>
      <c r="X52" s="6" t="n">
        <v>10000</v>
      </c>
      <c r="Y52" s="6" t="n">
        <v>10000</v>
      </c>
      <c r="Z52" s="6" t="n">
        <v>10000</v>
      </c>
      <c r="AA52" s="6" t="n">
        <v>10000</v>
      </c>
      <c r="AB52" s="6" t="n">
        <v>10000</v>
      </c>
      <c r="AC52" s="6" t="n">
        <v>10000</v>
      </c>
      <c r="AD52" s="6" t="n">
        <v>10000</v>
      </c>
      <c r="AE52" s="6" t="n">
        <v>10000</v>
      </c>
      <c r="AF52" s="6" t="n">
        <v>10000</v>
      </c>
      <c r="AG52" s="6" t="n">
        <v>10000</v>
      </c>
      <c r="AH52" s="6" t="n">
        <v>10000</v>
      </c>
      <c r="AI52" s="6" t="n">
        <v>9998</v>
      </c>
      <c r="AJ52" s="6" t="n">
        <v>8335</v>
      </c>
      <c r="AK52" s="6" t="n">
        <v>5334</v>
      </c>
      <c r="AL52" s="6" t="n">
        <v>4552</v>
      </c>
      <c r="AM52" s="6" t="n">
        <v>3799</v>
      </c>
      <c r="AN52" s="6" t="n">
        <v>3501</v>
      </c>
      <c r="AO52" s="6" t="n">
        <v>3400</v>
      </c>
      <c r="AP52" s="6" t="n">
        <v>3131</v>
      </c>
      <c r="AQ52" s="6" t="n">
        <v>3100</v>
      </c>
      <c r="AR52" s="6" t="n">
        <v>3000</v>
      </c>
      <c r="AS52" s="6" t="n">
        <v>2981</v>
      </c>
      <c r="AT52" s="6" t="n">
        <v>3000</v>
      </c>
      <c r="AU52" s="6" t="n">
        <v>3001</v>
      </c>
      <c r="AV52" s="6" t="n">
        <v>3001</v>
      </c>
      <c r="AW52" s="6" t="n">
        <v>3000</v>
      </c>
      <c r="AX52" s="6" t="n">
        <v>3000</v>
      </c>
      <c r="AY52" s="6" t="n">
        <v>2931</v>
      </c>
      <c r="AZ52" s="6" t="n">
        <v>2900</v>
      </c>
      <c r="BA52" s="6" t="n">
        <v>2900</v>
      </c>
      <c r="BB52" s="6" t="n">
        <v>2900</v>
      </c>
      <c r="BC52" s="6" t="n">
        <v>2900</v>
      </c>
      <c r="BD52" s="6" t="n">
        <v>2900</v>
      </c>
      <c r="BE52" s="6" t="n">
        <v>2934</v>
      </c>
      <c r="BF52" s="6" t="n">
        <v>2934</v>
      </c>
      <c r="BG52" s="6" t="n">
        <v>3200</v>
      </c>
      <c r="BH52" s="6" t="n">
        <v>3200</v>
      </c>
      <c r="BI52" s="6" t="n">
        <v>3301</v>
      </c>
      <c r="BJ52" s="6" t="n">
        <v>3500</v>
      </c>
      <c r="BK52" s="6" t="n">
        <v>4367</v>
      </c>
      <c r="BL52" s="6" t="n">
        <v>5000</v>
      </c>
      <c r="BM52" s="6" t="n">
        <v>5001</v>
      </c>
      <c r="BN52" s="6" t="n">
        <v>5001</v>
      </c>
      <c r="BO52" s="6" t="n">
        <v>9890</v>
      </c>
      <c r="BP52" s="6" t="n">
        <v>10000</v>
      </c>
      <c r="BQ52" s="6" t="n">
        <v>10000</v>
      </c>
      <c r="BR52" s="6" t="n">
        <v>10000</v>
      </c>
      <c r="BS52" s="6" t="n">
        <v>10000</v>
      </c>
      <c r="BT52" s="6" t="n">
        <v>10000</v>
      </c>
      <c r="BU52" s="6" t="n">
        <v>10000</v>
      </c>
      <c r="BV52" s="6" t="n">
        <v>10000</v>
      </c>
      <c r="BW52" s="6" t="n">
        <v>10000</v>
      </c>
      <c r="BX52" s="6" t="n">
        <v>10000</v>
      </c>
      <c r="BY52" s="6" t="n">
        <v>10000</v>
      </c>
      <c r="BZ52" s="6" t="n">
        <v>10000</v>
      </c>
      <c r="CA52" s="6" t="n">
        <v>10000</v>
      </c>
      <c r="CB52" s="6" t="n">
        <v>10000</v>
      </c>
      <c r="CC52" s="6" t="n">
        <v>10000</v>
      </c>
      <c r="CD52" s="6" t="n">
        <v>10000</v>
      </c>
      <c r="CE52" s="6" t="n">
        <v>10000</v>
      </c>
      <c r="CF52" s="6" t="n">
        <v>10000</v>
      </c>
      <c r="CG52" s="6" t="n">
        <v>10000</v>
      </c>
      <c r="CH52" s="6" t="n">
        <v>10000</v>
      </c>
      <c r="CI52" s="6" t="n">
        <v>10000</v>
      </c>
      <c r="CJ52" s="6" t="n">
        <v>10000</v>
      </c>
      <c r="CK52" s="6" t="n">
        <v>10000</v>
      </c>
      <c r="CL52" s="6" t="n">
        <v>10000</v>
      </c>
      <c r="CM52" s="6" t="n">
        <v>10000</v>
      </c>
      <c r="CN52" s="6" t="n">
        <v>10000</v>
      </c>
      <c r="CO52" s="6" t="n">
        <v>10000</v>
      </c>
      <c r="CP52" s="6" t="n">
        <v>10000</v>
      </c>
      <c r="CQ52" s="6" t="n">
        <v>10000</v>
      </c>
      <c r="CR52" s="6" t="n">
        <v>10000</v>
      </c>
      <c r="CS52" s="6" t="n">
        <v>10000</v>
      </c>
      <c r="CT52" s="6" t="n">
        <v>10000</v>
      </c>
      <c r="CU52" s="6" t="n">
        <v>10000</v>
      </c>
      <c r="CV52" s="6" t="n">
        <v>10000</v>
      </c>
      <c r="CW52" s="6" t="n">
        <v>10000</v>
      </c>
      <c r="CX52" s="6" t="n">
        <v>10000</v>
      </c>
      <c r="CY52" s="6" t="n">
        <v>10000</v>
      </c>
      <c r="CZ52" s="6" t="n">
        <v>10000</v>
      </c>
      <c r="DA52" s="6" t="n">
        <v>10000</v>
      </c>
      <c r="DB52" s="6" t="n">
        <v>10000</v>
      </c>
      <c r="DC52" s="6" t="n">
        <v>10000</v>
      </c>
      <c r="DD52" s="6" t="n">
        <v>10000</v>
      </c>
      <c r="DE52" s="6" t="n">
        <v>10000</v>
      </c>
      <c r="DF52" s="6" t="n">
        <v>10000</v>
      </c>
      <c r="DG52" s="6" t="n">
        <v>10000</v>
      </c>
      <c r="DH52" s="6" t="n">
        <v>10000</v>
      </c>
      <c r="DI52" s="6" t="n">
        <v>10000</v>
      </c>
      <c r="DJ52" s="6" t="n">
        <v>10000</v>
      </c>
      <c r="DK52" s="6" t="n">
        <v>10000</v>
      </c>
      <c r="DL52" s="6" t="n">
        <v>10000</v>
      </c>
      <c r="DM52" s="6" t="n">
        <v>10000</v>
      </c>
      <c r="DN52" s="6" t="n">
        <v>10000</v>
      </c>
      <c r="DO52" s="6" t="n">
        <v>10000</v>
      </c>
      <c r="DP52" s="6" t="n">
        <v>10000</v>
      </c>
      <c r="DQ52" s="6" t="n">
        <v>10000</v>
      </c>
      <c r="DR52" s="6" t="n">
        <v>10000</v>
      </c>
      <c r="DS52" s="6" t="n">
        <v>10000</v>
      </c>
      <c r="DT52" s="6" t="n">
        <v>10000</v>
      </c>
      <c r="DU52" s="6" t="n">
        <v>10000</v>
      </c>
      <c r="DV52" s="6" t="n">
        <v>10000</v>
      </c>
      <c r="DW52" s="6" t="n">
        <v>10000</v>
      </c>
      <c r="DX52" s="6" t="n">
        <v>10000</v>
      </c>
      <c r="DY52" s="6" t="n">
        <v>10000</v>
      </c>
      <c r="DZ52" s="6" t="n">
        <v>10000</v>
      </c>
      <c r="EA52" s="6" t="n">
        <v>9998</v>
      </c>
      <c r="EB52" s="6" t="n">
        <v>8335</v>
      </c>
      <c r="EC52" s="6" t="n">
        <v>5334</v>
      </c>
      <c r="ED52" s="6" t="n">
        <v>4552</v>
      </c>
      <c r="EE52" s="6" t="n">
        <v>3799</v>
      </c>
      <c r="EF52" s="6" t="n">
        <v>3501</v>
      </c>
      <c r="EG52" s="6" t="n">
        <v>3400</v>
      </c>
      <c r="EH52" s="6" t="n">
        <v>3131</v>
      </c>
      <c r="EI52" s="6" t="n">
        <v>3100</v>
      </c>
      <c r="EJ52" s="6" t="n">
        <v>3000</v>
      </c>
      <c r="EK52" s="6" t="n">
        <v>2981</v>
      </c>
      <c r="EL52" s="6" t="n">
        <v>3000</v>
      </c>
      <c r="EM52" s="6" t="n">
        <v>3001</v>
      </c>
      <c r="EN52" s="6" t="n">
        <v>3001</v>
      </c>
      <c r="EO52" s="6" t="n">
        <v>3000</v>
      </c>
      <c r="EP52" s="6" t="n">
        <v>3000</v>
      </c>
      <c r="EQ52" s="6" t="n">
        <v>2931</v>
      </c>
      <c r="ER52" s="6" t="n">
        <v>2900</v>
      </c>
      <c r="ES52" s="6" t="n">
        <v>2900</v>
      </c>
      <c r="ET52" s="6" t="n">
        <v>2900</v>
      </c>
      <c r="EU52" s="6" t="n">
        <v>2900</v>
      </c>
      <c r="EV52" s="6" t="n">
        <v>2900</v>
      </c>
      <c r="EW52" s="6" t="n">
        <v>2934</v>
      </c>
      <c r="EX52" s="6" t="n">
        <v>2934</v>
      </c>
      <c r="EY52" s="6" t="n">
        <v>3200</v>
      </c>
      <c r="EZ52" s="6" t="n">
        <v>3200</v>
      </c>
      <c r="FA52" s="6" t="n">
        <v>3301</v>
      </c>
      <c r="FB52" s="6" t="n">
        <v>3500</v>
      </c>
      <c r="FC52" s="6" t="n">
        <v>4367</v>
      </c>
      <c r="FD52" s="6" t="n">
        <v>5000</v>
      </c>
      <c r="FE52" s="6" t="n">
        <v>5001</v>
      </c>
      <c r="FF52" s="6" t="n">
        <v>5001</v>
      </c>
      <c r="FG52" s="6" t="n">
        <v>9890</v>
      </c>
      <c r="FH52" s="6" t="n">
        <v>10000</v>
      </c>
      <c r="FI52" s="6" t="n">
        <v>10000</v>
      </c>
      <c r="FJ52" s="6" t="n">
        <v>10000</v>
      </c>
      <c r="FK52" s="6" t="n">
        <v>10000</v>
      </c>
      <c r="FL52" s="6" t="n">
        <v>10000</v>
      </c>
      <c r="FM52" s="6" t="n">
        <v>10000</v>
      </c>
      <c r="FN52" s="6" t="n">
        <v>10000</v>
      </c>
      <c r="FO52" s="6" t="n">
        <v>10000</v>
      </c>
      <c r="FP52" s="6" t="n">
        <v>10000</v>
      </c>
      <c r="FQ52" s="6" t="n">
        <v>10000</v>
      </c>
      <c r="FR52" s="6" t="n">
        <v>10000</v>
      </c>
      <c r="FS52" s="6" t="n">
        <v>10000</v>
      </c>
      <c r="FT52" s="6" t="n">
        <v>10000</v>
      </c>
      <c r="FU52" s="6" t="n">
        <v>10000</v>
      </c>
      <c r="FV52" s="6" t="n">
        <v>10000</v>
      </c>
      <c r="FW52" s="6" t="n">
        <v>10000</v>
      </c>
      <c r="FX52" s="6" t="n">
        <v>10000</v>
      </c>
      <c r="FY52" s="6" t="n">
        <v>10000</v>
      </c>
      <c r="FZ52" s="6" t="n">
        <v>10000</v>
      </c>
      <c r="GA52" s="6" t="n">
        <v>10000</v>
      </c>
      <c r="GB52" s="6" t="n">
        <v>10000</v>
      </c>
      <c r="GC52" s="6" t="n">
        <v>10000</v>
      </c>
      <c r="GD52" s="6" t="n">
        <v>10000</v>
      </c>
      <c r="GE52" s="6" t="n">
        <v>10000</v>
      </c>
      <c r="GF52" s="6" t="n">
        <v>10000</v>
      </c>
      <c r="GG52" s="6" t="n">
        <v>10000</v>
      </c>
      <c r="GH52" s="6" t="n">
        <v>10000</v>
      </c>
      <c r="GI52" s="6" t="n">
        <v>10000</v>
      </c>
      <c r="GJ52" s="6" t="n">
        <v>10000</v>
      </c>
      <c r="GK52" s="6" t="n">
        <v>10000</v>
      </c>
      <c r="GL52" s="6" t="n">
        <v>10000</v>
      </c>
    </row>
    <row r="53">
      <c r="A53" s="6" t="inlineStr">
        <is>
          <t>GDAM</t>
        </is>
      </c>
      <c r="B53" s="6" t="n">
        <v>20</v>
      </c>
      <c r="C53" s="6" t="n">
        <v>10000</v>
      </c>
      <c r="D53" s="6" t="n">
        <v>10000</v>
      </c>
      <c r="E53" s="6" t="n">
        <v>10000</v>
      </c>
      <c r="F53" s="6" t="n">
        <v>10000</v>
      </c>
      <c r="G53" s="6" t="n">
        <v>10000</v>
      </c>
      <c r="H53" s="6" t="n">
        <v>10000</v>
      </c>
      <c r="I53" s="6" t="n">
        <v>10000</v>
      </c>
      <c r="J53" s="6" t="n">
        <v>10000</v>
      </c>
      <c r="K53" s="6" t="n">
        <v>10000</v>
      </c>
      <c r="L53" s="6" t="n">
        <v>10000</v>
      </c>
      <c r="M53" s="6" t="n">
        <v>10000</v>
      </c>
      <c r="N53" s="6" t="n">
        <v>10000</v>
      </c>
      <c r="O53" s="6" t="n">
        <v>10000</v>
      </c>
      <c r="P53" s="6" t="n">
        <v>10000</v>
      </c>
      <c r="Q53" s="6" t="n">
        <v>10000</v>
      </c>
      <c r="R53" s="6" t="n">
        <v>10000</v>
      </c>
      <c r="S53" s="6" t="n">
        <v>10000</v>
      </c>
      <c r="T53" s="6" t="n">
        <v>10000</v>
      </c>
      <c r="U53" s="6" t="n">
        <v>10000</v>
      </c>
      <c r="V53" s="6" t="n">
        <v>10000</v>
      </c>
      <c r="W53" s="6" t="n">
        <v>10000</v>
      </c>
      <c r="X53" s="6" t="n">
        <v>10000</v>
      </c>
      <c r="Y53" s="6" t="n">
        <v>10000</v>
      </c>
      <c r="Z53" s="6" t="n">
        <v>10000</v>
      </c>
      <c r="AA53" s="6" t="n">
        <v>10000</v>
      </c>
      <c r="AB53" s="6" t="n">
        <v>10000</v>
      </c>
      <c r="AC53" s="6" t="n">
        <v>10000</v>
      </c>
      <c r="AD53" s="6" t="n">
        <v>10000</v>
      </c>
      <c r="AE53" s="6" t="n">
        <v>10000</v>
      </c>
      <c r="AF53" s="6" t="n">
        <v>10000</v>
      </c>
      <c r="AG53" s="6" t="n">
        <v>9999</v>
      </c>
      <c r="AH53" s="6" t="n">
        <v>8201</v>
      </c>
      <c r="AI53" s="6" t="n">
        <v>6438</v>
      </c>
      <c r="AJ53" s="6" t="n">
        <v>5460</v>
      </c>
      <c r="AK53" s="6" t="n">
        <v>4250</v>
      </c>
      <c r="AL53" s="6" t="n">
        <v>3278</v>
      </c>
      <c r="AM53" s="6" t="n">
        <v>3040</v>
      </c>
      <c r="AN53" s="6" t="n">
        <v>3040</v>
      </c>
      <c r="AO53" s="6" t="n">
        <v>2535</v>
      </c>
      <c r="AP53" s="6" t="n">
        <v>2499</v>
      </c>
      <c r="AQ53" s="6" t="n">
        <v>2081</v>
      </c>
      <c r="AR53" s="6" t="n">
        <v>2081</v>
      </c>
      <c r="AS53" s="6" t="n">
        <v>2000</v>
      </c>
      <c r="AT53" s="6" t="n">
        <v>1946</v>
      </c>
      <c r="AU53" s="6" t="n">
        <v>1991</v>
      </c>
      <c r="AV53" s="6" t="n">
        <v>1991</v>
      </c>
      <c r="AW53" s="6" t="n">
        <v>1991</v>
      </c>
      <c r="AX53" s="6" t="n">
        <v>1991</v>
      </c>
      <c r="AY53" s="6" t="n">
        <v>1990</v>
      </c>
      <c r="AZ53" s="6" t="n">
        <v>1990</v>
      </c>
      <c r="BA53" s="6" t="n">
        <v>1940</v>
      </c>
      <c r="BB53" s="6" t="n">
        <v>1840</v>
      </c>
      <c r="BC53" s="6" t="n">
        <v>1840</v>
      </c>
      <c r="BD53" s="6" t="n">
        <v>1840</v>
      </c>
      <c r="BE53" s="6" t="n">
        <v>1991</v>
      </c>
      <c r="BF53" s="6" t="n">
        <v>2160</v>
      </c>
      <c r="BG53" s="6" t="n">
        <v>2500</v>
      </c>
      <c r="BH53" s="6" t="n">
        <v>2834</v>
      </c>
      <c r="BI53" s="6" t="n">
        <v>2999</v>
      </c>
      <c r="BJ53" s="6" t="n">
        <v>3040</v>
      </c>
      <c r="BK53" s="6" t="n">
        <v>3334</v>
      </c>
      <c r="BL53" s="6" t="n">
        <v>3821</v>
      </c>
      <c r="BM53" s="6" t="n">
        <v>4001</v>
      </c>
      <c r="BN53" s="6" t="n">
        <v>4001</v>
      </c>
      <c r="BO53" s="6" t="n">
        <v>4501</v>
      </c>
      <c r="BP53" s="6" t="n">
        <v>5000</v>
      </c>
      <c r="BQ53" s="6" t="n">
        <v>8001</v>
      </c>
      <c r="BR53" s="6" t="n">
        <v>9998</v>
      </c>
      <c r="BS53" s="6" t="n">
        <v>10000</v>
      </c>
      <c r="BT53" s="6" t="n">
        <v>10000</v>
      </c>
      <c r="BU53" s="6" t="n">
        <v>10000</v>
      </c>
      <c r="BV53" s="6" t="n">
        <v>10000</v>
      </c>
      <c r="BW53" s="6" t="n">
        <v>10000</v>
      </c>
      <c r="BX53" s="6" t="n">
        <v>10000</v>
      </c>
      <c r="BY53" s="6" t="n">
        <v>10000</v>
      </c>
      <c r="BZ53" s="6" t="n">
        <v>10000</v>
      </c>
      <c r="CA53" s="6" t="n">
        <v>10000</v>
      </c>
      <c r="CB53" s="6" t="n">
        <v>10000</v>
      </c>
      <c r="CC53" s="6" t="n">
        <v>10000</v>
      </c>
      <c r="CD53" s="6" t="n">
        <v>10000</v>
      </c>
      <c r="CE53" s="6" t="n">
        <v>10000</v>
      </c>
      <c r="CF53" s="6" t="n">
        <v>10000</v>
      </c>
      <c r="CG53" s="6" t="n">
        <v>10000</v>
      </c>
      <c r="CH53" s="6" t="n">
        <v>10000</v>
      </c>
      <c r="CI53" s="6" t="n">
        <v>10000</v>
      </c>
      <c r="CJ53" s="6" t="n">
        <v>10000</v>
      </c>
      <c r="CK53" s="6" t="n">
        <v>10000</v>
      </c>
      <c r="CL53" s="6" t="n">
        <v>10000</v>
      </c>
      <c r="CM53" s="6" t="n">
        <v>10000</v>
      </c>
      <c r="CN53" s="6" t="n">
        <v>10000</v>
      </c>
      <c r="CO53" s="6" t="n">
        <v>10000</v>
      </c>
      <c r="CP53" s="6" t="n">
        <v>10000</v>
      </c>
      <c r="CQ53" s="6" t="n">
        <v>10000</v>
      </c>
      <c r="CR53" s="6" t="n">
        <v>10000</v>
      </c>
      <c r="CS53" s="6" t="n">
        <v>10000</v>
      </c>
      <c r="CT53" s="6" t="n">
        <v>10000</v>
      </c>
      <c r="CU53" s="6" t="n">
        <v>10000</v>
      </c>
      <c r="CV53" s="6" t="n">
        <v>10000</v>
      </c>
      <c r="CW53" s="6" t="n">
        <v>10000</v>
      </c>
      <c r="CX53" s="6" t="n">
        <v>10000</v>
      </c>
      <c r="CY53" s="6" t="n">
        <v>10000</v>
      </c>
      <c r="CZ53" s="6" t="n">
        <v>10000</v>
      </c>
      <c r="DA53" s="6" t="n">
        <v>10000</v>
      </c>
      <c r="DB53" s="6" t="n">
        <v>10000</v>
      </c>
      <c r="DC53" s="6" t="n">
        <v>10000</v>
      </c>
      <c r="DD53" s="6" t="n">
        <v>10000</v>
      </c>
      <c r="DE53" s="6" t="n">
        <v>10000</v>
      </c>
      <c r="DF53" s="6" t="n">
        <v>10000</v>
      </c>
      <c r="DG53" s="6" t="n">
        <v>10000</v>
      </c>
      <c r="DH53" s="6" t="n">
        <v>10000</v>
      </c>
      <c r="DI53" s="6" t="n">
        <v>10000</v>
      </c>
      <c r="DJ53" s="6" t="n">
        <v>10000</v>
      </c>
      <c r="DK53" s="6" t="n">
        <v>10000</v>
      </c>
      <c r="DL53" s="6" t="n">
        <v>10000</v>
      </c>
      <c r="DM53" s="6" t="n">
        <v>10000</v>
      </c>
      <c r="DN53" s="6" t="n">
        <v>10000</v>
      </c>
      <c r="DO53" s="6" t="n">
        <v>10000</v>
      </c>
      <c r="DP53" s="6" t="n">
        <v>10000</v>
      </c>
      <c r="DQ53" s="6" t="n">
        <v>10000</v>
      </c>
      <c r="DR53" s="6" t="n">
        <v>10000</v>
      </c>
      <c r="DS53" s="6" t="n">
        <v>10000</v>
      </c>
      <c r="DT53" s="6" t="n">
        <v>10000</v>
      </c>
      <c r="DU53" s="6" t="n">
        <v>10000</v>
      </c>
      <c r="DV53" s="6" t="n">
        <v>10000</v>
      </c>
      <c r="DW53" s="6" t="n">
        <v>10000</v>
      </c>
      <c r="DX53" s="6" t="n">
        <v>10000</v>
      </c>
      <c r="DY53" s="6" t="n">
        <v>9999</v>
      </c>
      <c r="DZ53" s="6" t="n">
        <v>8201</v>
      </c>
      <c r="EA53" s="6" t="n">
        <v>6438</v>
      </c>
      <c r="EB53" s="6" t="n">
        <v>5460</v>
      </c>
      <c r="EC53" s="6" t="n">
        <v>4250</v>
      </c>
      <c r="ED53" s="6" t="n">
        <v>3278</v>
      </c>
      <c r="EE53" s="6" t="n">
        <v>3040</v>
      </c>
      <c r="EF53" s="6" t="n">
        <v>3040</v>
      </c>
      <c r="EG53" s="6" t="n">
        <v>2535</v>
      </c>
      <c r="EH53" s="6" t="n">
        <v>2499</v>
      </c>
      <c r="EI53" s="6" t="n">
        <v>2081</v>
      </c>
      <c r="EJ53" s="6" t="n">
        <v>2081</v>
      </c>
      <c r="EK53" s="6" t="n">
        <v>2000</v>
      </c>
      <c r="EL53" s="6" t="n">
        <v>1946</v>
      </c>
      <c r="EM53" s="6" t="n">
        <v>1991</v>
      </c>
      <c r="EN53" s="6" t="n">
        <v>1991</v>
      </c>
      <c r="EO53" s="6" t="n">
        <v>1991</v>
      </c>
      <c r="EP53" s="6" t="n">
        <v>1991</v>
      </c>
      <c r="EQ53" s="6" t="n">
        <v>1990</v>
      </c>
      <c r="ER53" s="6" t="n">
        <v>1990</v>
      </c>
      <c r="ES53" s="6" t="n">
        <v>1940</v>
      </c>
      <c r="ET53" s="6" t="n">
        <v>1840</v>
      </c>
      <c r="EU53" s="6" t="n">
        <v>1840</v>
      </c>
      <c r="EV53" s="6" t="n">
        <v>1840</v>
      </c>
      <c r="EW53" s="6" t="n">
        <v>1991</v>
      </c>
      <c r="EX53" s="6" t="n">
        <v>2160</v>
      </c>
      <c r="EY53" s="6" t="n">
        <v>2500</v>
      </c>
      <c r="EZ53" s="6" t="n">
        <v>2834</v>
      </c>
      <c r="FA53" s="6" t="n">
        <v>2999</v>
      </c>
      <c r="FB53" s="6" t="n">
        <v>3040</v>
      </c>
      <c r="FC53" s="6" t="n">
        <v>3334</v>
      </c>
      <c r="FD53" s="6" t="n">
        <v>3821</v>
      </c>
      <c r="FE53" s="6" t="n">
        <v>4001</v>
      </c>
      <c r="FF53" s="6" t="n">
        <v>4001</v>
      </c>
      <c r="FG53" s="6" t="n">
        <v>4501</v>
      </c>
      <c r="FH53" s="6" t="n">
        <v>5000</v>
      </c>
      <c r="FI53" s="6" t="n">
        <v>8001</v>
      </c>
      <c r="FJ53" s="6" t="n">
        <v>9998</v>
      </c>
      <c r="FK53" s="6" t="n">
        <v>10000</v>
      </c>
      <c r="FL53" s="6" t="n">
        <v>10000</v>
      </c>
      <c r="FM53" s="6" t="n">
        <v>10000</v>
      </c>
      <c r="FN53" s="6" t="n">
        <v>10000</v>
      </c>
      <c r="FO53" s="6" t="n">
        <v>10000</v>
      </c>
      <c r="FP53" s="6" t="n">
        <v>10000</v>
      </c>
      <c r="FQ53" s="6" t="n">
        <v>10000</v>
      </c>
      <c r="FR53" s="6" t="n">
        <v>10000</v>
      </c>
      <c r="FS53" s="6" t="n">
        <v>10000</v>
      </c>
      <c r="FT53" s="6" t="n">
        <v>10000</v>
      </c>
      <c r="FU53" s="6" t="n">
        <v>10000</v>
      </c>
      <c r="FV53" s="6" t="n">
        <v>10000</v>
      </c>
      <c r="FW53" s="6" t="n">
        <v>10000</v>
      </c>
      <c r="FX53" s="6" t="n">
        <v>10000</v>
      </c>
      <c r="FY53" s="6" t="n">
        <v>10000</v>
      </c>
      <c r="FZ53" s="6" t="n">
        <v>10000</v>
      </c>
      <c r="GA53" s="6" t="n">
        <v>10000</v>
      </c>
      <c r="GB53" s="6" t="n">
        <v>10000</v>
      </c>
      <c r="GC53" s="6" t="n">
        <v>10000</v>
      </c>
      <c r="GD53" s="6" t="n">
        <v>10000</v>
      </c>
      <c r="GE53" s="6" t="n">
        <v>10000</v>
      </c>
      <c r="GF53" s="6" t="n">
        <v>10000</v>
      </c>
      <c r="GG53" s="6" t="n">
        <v>10000</v>
      </c>
      <c r="GH53" s="6" t="n">
        <v>10000</v>
      </c>
      <c r="GI53" s="6" t="n">
        <v>10000</v>
      </c>
      <c r="GJ53" s="6" t="n">
        <v>10000</v>
      </c>
      <c r="GK53" s="6" t="n">
        <v>10000</v>
      </c>
      <c r="GL53" s="6" t="n">
        <v>10000</v>
      </c>
    </row>
    <row r="54">
      <c r="A54" s="6" t="inlineStr">
        <is>
          <t>GDAM</t>
        </is>
      </c>
      <c r="B54" s="6" t="n">
        <v>21</v>
      </c>
      <c r="C54" s="6" t="n">
        <v>10000</v>
      </c>
      <c r="D54" s="6" t="n">
        <v>10000</v>
      </c>
      <c r="E54" s="6" t="n">
        <v>10000</v>
      </c>
      <c r="F54" s="6" t="n">
        <v>10000</v>
      </c>
      <c r="G54" s="6" t="n">
        <v>10000</v>
      </c>
      <c r="H54" s="6" t="n">
        <v>10000</v>
      </c>
      <c r="I54" s="6" t="n">
        <v>10000</v>
      </c>
      <c r="J54" s="6" t="n">
        <v>10000</v>
      </c>
      <c r="K54" s="6" t="n">
        <v>10000</v>
      </c>
      <c r="L54" s="6" t="n">
        <v>10000</v>
      </c>
      <c r="M54" s="6" t="n">
        <v>10000</v>
      </c>
      <c r="N54" s="6" t="n">
        <v>10000</v>
      </c>
      <c r="O54" s="6" t="n">
        <v>10000</v>
      </c>
      <c r="P54" s="6" t="n">
        <v>10000</v>
      </c>
      <c r="Q54" s="6" t="n">
        <v>10000</v>
      </c>
      <c r="R54" s="6" t="n">
        <v>10000</v>
      </c>
      <c r="S54" s="6" t="n">
        <v>10000</v>
      </c>
      <c r="T54" s="6" t="n">
        <v>10000</v>
      </c>
      <c r="U54" s="6" t="n">
        <v>10000</v>
      </c>
      <c r="V54" s="6" t="n">
        <v>10000</v>
      </c>
      <c r="W54" s="6" t="n">
        <v>10000</v>
      </c>
      <c r="X54" s="6" t="n">
        <v>10000</v>
      </c>
      <c r="Y54" s="6" t="n">
        <v>10000</v>
      </c>
      <c r="Z54" s="6" t="n">
        <v>10000</v>
      </c>
      <c r="AA54" s="6" t="n">
        <v>10000</v>
      </c>
      <c r="AB54" s="6" t="n">
        <v>10000</v>
      </c>
      <c r="AC54" s="6" t="n">
        <v>10000</v>
      </c>
      <c r="AD54" s="6" t="n">
        <v>10000</v>
      </c>
      <c r="AE54" s="6" t="n">
        <v>10000</v>
      </c>
      <c r="AF54" s="6" t="n">
        <v>10000</v>
      </c>
      <c r="AG54" s="6" t="n">
        <v>10000</v>
      </c>
      <c r="AH54" s="6" t="n">
        <v>10000</v>
      </c>
      <c r="AI54" s="6" t="n">
        <v>6438</v>
      </c>
      <c r="AJ54" s="6" t="n">
        <v>5460</v>
      </c>
      <c r="AK54" s="6" t="n">
        <v>4249</v>
      </c>
      <c r="AL54" s="6" t="n">
        <v>3369</v>
      </c>
      <c r="AM54" s="6" t="n">
        <v>3140</v>
      </c>
      <c r="AN54" s="6" t="n">
        <v>3050</v>
      </c>
      <c r="AO54" s="6" t="n">
        <v>2800</v>
      </c>
      <c r="AP54" s="6" t="n">
        <v>2671</v>
      </c>
      <c r="AQ54" s="6" t="n">
        <v>2500</v>
      </c>
      <c r="AR54" s="6" t="n">
        <v>2500</v>
      </c>
      <c r="AS54" s="6" t="n">
        <v>2700</v>
      </c>
      <c r="AT54" s="6" t="n">
        <v>2734</v>
      </c>
      <c r="AU54" s="6" t="n">
        <v>2734</v>
      </c>
      <c r="AV54" s="6" t="n">
        <v>2734</v>
      </c>
      <c r="AW54" s="6" t="n">
        <v>2635</v>
      </c>
      <c r="AX54" s="6" t="n">
        <v>2635</v>
      </c>
      <c r="AY54" s="6" t="n">
        <v>2634</v>
      </c>
      <c r="AZ54" s="6" t="n">
        <v>2600</v>
      </c>
      <c r="BA54" s="6" t="n">
        <v>2599</v>
      </c>
      <c r="BB54" s="6" t="n">
        <v>2599</v>
      </c>
      <c r="BC54" s="6" t="n">
        <v>2590</v>
      </c>
      <c r="BD54" s="6" t="n">
        <v>2599</v>
      </c>
      <c r="BE54" s="6" t="n">
        <v>2600</v>
      </c>
      <c r="BF54" s="6" t="n">
        <v>2600</v>
      </c>
      <c r="BG54" s="6" t="n">
        <v>2760</v>
      </c>
      <c r="BH54" s="6" t="n">
        <v>3050</v>
      </c>
      <c r="BI54" s="6" t="n">
        <v>3050</v>
      </c>
      <c r="BJ54" s="6" t="n">
        <v>3050</v>
      </c>
      <c r="BK54" s="6" t="n">
        <v>3701</v>
      </c>
      <c r="BL54" s="6" t="n">
        <v>3821</v>
      </c>
      <c r="BM54" s="6" t="n">
        <v>4001</v>
      </c>
      <c r="BN54" s="6" t="n">
        <v>5200</v>
      </c>
      <c r="BO54" s="6" t="n">
        <v>6001</v>
      </c>
      <c r="BP54" s="6" t="n">
        <v>10000</v>
      </c>
      <c r="BQ54" s="6" t="n">
        <v>10000</v>
      </c>
      <c r="BR54" s="6" t="n">
        <v>10000</v>
      </c>
      <c r="BS54" s="6" t="n">
        <v>10000</v>
      </c>
      <c r="BT54" s="6" t="n">
        <v>10000</v>
      </c>
      <c r="BU54" s="6" t="n">
        <v>10000</v>
      </c>
      <c r="BV54" s="6" t="n">
        <v>10000</v>
      </c>
      <c r="BW54" s="6" t="n">
        <v>10000</v>
      </c>
      <c r="BX54" s="6" t="n">
        <v>10000</v>
      </c>
      <c r="BY54" s="6" t="n">
        <v>10000</v>
      </c>
      <c r="BZ54" s="6" t="n">
        <v>10000</v>
      </c>
      <c r="CA54" s="6" t="n">
        <v>10000</v>
      </c>
      <c r="CB54" s="6" t="n">
        <v>10000</v>
      </c>
      <c r="CC54" s="6" t="n">
        <v>10000</v>
      </c>
      <c r="CD54" s="6" t="n">
        <v>10000</v>
      </c>
      <c r="CE54" s="6" t="n">
        <v>10000</v>
      </c>
      <c r="CF54" s="6" t="n">
        <v>10000</v>
      </c>
      <c r="CG54" s="6" t="n">
        <v>10000</v>
      </c>
      <c r="CH54" s="6" t="n">
        <v>10000</v>
      </c>
      <c r="CI54" s="6" t="n">
        <v>10000</v>
      </c>
      <c r="CJ54" s="6" t="n">
        <v>10000</v>
      </c>
      <c r="CK54" s="6" t="n">
        <v>10000</v>
      </c>
      <c r="CL54" s="6" t="n">
        <v>10000</v>
      </c>
      <c r="CM54" s="6" t="n">
        <v>10000</v>
      </c>
      <c r="CN54" s="6" t="n">
        <v>10000</v>
      </c>
      <c r="CO54" s="6" t="n">
        <v>10000</v>
      </c>
      <c r="CP54" s="6" t="n">
        <v>10000</v>
      </c>
      <c r="CQ54" s="6" t="n">
        <v>10000</v>
      </c>
      <c r="CR54" s="6" t="n">
        <v>10000</v>
      </c>
      <c r="CS54" s="6" t="n">
        <v>10000</v>
      </c>
      <c r="CT54" s="6" t="n">
        <v>10000</v>
      </c>
      <c r="CU54" s="6" t="n">
        <v>10000</v>
      </c>
      <c r="CV54" s="6" t="n">
        <v>10000</v>
      </c>
      <c r="CW54" s="6" t="n">
        <v>10000</v>
      </c>
      <c r="CX54" s="6" t="n">
        <v>10000</v>
      </c>
      <c r="CY54" s="6" t="n">
        <v>10000</v>
      </c>
      <c r="CZ54" s="6" t="n">
        <v>10000</v>
      </c>
      <c r="DA54" s="6" t="n">
        <v>10000</v>
      </c>
      <c r="DB54" s="6" t="n">
        <v>10000</v>
      </c>
      <c r="DC54" s="6" t="n">
        <v>10000</v>
      </c>
      <c r="DD54" s="6" t="n">
        <v>10000</v>
      </c>
      <c r="DE54" s="6" t="n">
        <v>10000</v>
      </c>
      <c r="DF54" s="6" t="n">
        <v>10000</v>
      </c>
      <c r="DG54" s="6" t="n">
        <v>10000</v>
      </c>
      <c r="DH54" s="6" t="n">
        <v>10000</v>
      </c>
      <c r="DI54" s="6" t="n">
        <v>10000</v>
      </c>
      <c r="DJ54" s="6" t="n">
        <v>10000</v>
      </c>
      <c r="DK54" s="6" t="n">
        <v>10000</v>
      </c>
      <c r="DL54" s="6" t="n">
        <v>10000</v>
      </c>
      <c r="DM54" s="6" t="n">
        <v>10000</v>
      </c>
      <c r="DN54" s="6" t="n">
        <v>10000</v>
      </c>
      <c r="DO54" s="6" t="n">
        <v>10000</v>
      </c>
      <c r="DP54" s="6" t="n">
        <v>10000</v>
      </c>
      <c r="DQ54" s="6" t="n">
        <v>10000</v>
      </c>
      <c r="DR54" s="6" t="n">
        <v>10000</v>
      </c>
      <c r="DS54" s="6" t="n">
        <v>10000</v>
      </c>
      <c r="DT54" s="6" t="n">
        <v>10000</v>
      </c>
      <c r="DU54" s="6" t="n">
        <v>10000</v>
      </c>
      <c r="DV54" s="6" t="n">
        <v>10000</v>
      </c>
      <c r="DW54" s="6" t="n">
        <v>10000</v>
      </c>
      <c r="DX54" s="6" t="n">
        <v>10000</v>
      </c>
      <c r="DY54" s="6" t="n">
        <v>10000</v>
      </c>
      <c r="DZ54" s="6" t="n">
        <v>10000</v>
      </c>
      <c r="EA54" s="6" t="n">
        <v>6438</v>
      </c>
      <c r="EB54" s="6" t="n">
        <v>5460</v>
      </c>
      <c r="EC54" s="6" t="n">
        <v>4249</v>
      </c>
      <c r="ED54" s="6" t="n">
        <v>3369</v>
      </c>
      <c r="EE54" s="6" t="n">
        <v>3140</v>
      </c>
      <c r="EF54" s="6" t="n">
        <v>3050</v>
      </c>
      <c r="EG54" s="6" t="n">
        <v>2800</v>
      </c>
      <c r="EH54" s="6" t="n">
        <v>2671</v>
      </c>
      <c r="EI54" s="6" t="n">
        <v>2500</v>
      </c>
      <c r="EJ54" s="6" t="n">
        <v>2500</v>
      </c>
      <c r="EK54" s="6" t="n">
        <v>2700</v>
      </c>
      <c r="EL54" s="6" t="n">
        <v>2734</v>
      </c>
      <c r="EM54" s="6" t="n">
        <v>2734</v>
      </c>
      <c r="EN54" s="6" t="n">
        <v>2734</v>
      </c>
      <c r="EO54" s="6" t="n">
        <v>2635</v>
      </c>
      <c r="EP54" s="6" t="n">
        <v>2635</v>
      </c>
      <c r="EQ54" s="6" t="n">
        <v>2634</v>
      </c>
      <c r="ER54" s="6" t="n">
        <v>2600</v>
      </c>
      <c r="ES54" s="6" t="n">
        <v>2599</v>
      </c>
      <c r="ET54" s="6" t="n">
        <v>2599</v>
      </c>
      <c r="EU54" s="6" t="n">
        <v>2590</v>
      </c>
      <c r="EV54" s="6" t="n">
        <v>2599</v>
      </c>
      <c r="EW54" s="6" t="n">
        <v>2600</v>
      </c>
      <c r="EX54" s="6" t="n">
        <v>2600</v>
      </c>
      <c r="EY54" s="6" t="n">
        <v>2760</v>
      </c>
      <c r="EZ54" s="6" t="n">
        <v>3050</v>
      </c>
      <c r="FA54" s="6" t="n">
        <v>3050</v>
      </c>
      <c r="FB54" s="6" t="n">
        <v>3050</v>
      </c>
      <c r="FC54" s="6" t="n">
        <v>3701</v>
      </c>
      <c r="FD54" s="6" t="n">
        <v>3821</v>
      </c>
      <c r="FE54" s="6" t="n">
        <v>4001</v>
      </c>
      <c r="FF54" s="6" t="n">
        <v>5200</v>
      </c>
      <c r="FG54" s="6" t="n">
        <v>6001</v>
      </c>
      <c r="FH54" s="6" t="n">
        <v>10000</v>
      </c>
      <c r="FI54" s="6" t="n">
        <v>10000</v>
      </c>
      <c r="FJ54" s="6" t="n">
        <v>10000</v>
      </c>
      <c r="FK54" s="6" t="n">
        <v>10000</v>
      </c>
      <c r="FL54" s="6" t="n">
        <v>10000</v>
      </c>
      <c r="FM54" s="6" t="n">
        <v>10000</v>
      </c>
      <c r="FN54" s="6" t="n">
        <v>10000</v>
      </c>
      <c r="FO54" s="6" t="n">
        <v>10000</v>
      </c>
      <c r="FP54" s="6" t="n">
        <v>10000</v>
      </c>
      <c r="FQ54" s="6" t="n">
        <v>10000</v>
      </c>
      <c r="FR54" s="6" t="n">
        <v>10000</v>
      </c>
      <c r="FS54" s="6" t="n">
        <v>10000</v>
      </c>
      <c r="FT54" s="6" t="n">
        <v>10000</v>
      </c>
      <c r="FU54" s="6" t="n">
        <v>10000</v>
      </c>
      <c r="FV54" s="6" t="n">
        <v>10000</v>
      </c>
      <c r="FW54" s="6" t="n">
        <v>10000</v>
      </c>
      <c r="FX54" s="6" t="n">
        <v>10000</v>
      </c>
      <c r="FY54" s="6" t="n">
        <v>10000</v>
      </c>
      <c r="FZ54" s="6" t="n">
        <v>10000</v>
      </c>
      <c r="GA54" s="6" t="n">
        <v>10000</v>
      </c>
      <c r="GB54" s="6" t="n">
        <v>10000</v>
      </c>
      <c r="GC54" s="6" t="n">
        <v>10000</v>
      </c>
      <c r="GD54" s="6" t="n">
        <v>10000</v>
      </c>
      <c r="GE54" s="6" t="n">
        <v>10000</v>
      </c>
      <c r="GF54" s="6" t="n">
        <v>10000</v>
      </c>
      <c r="GG54" s="6" t="n">
        <v>10000</v>
      </c>
      <c r="GH54" s="6" t="n">
        <v>10000</v>
      </c>
      <c r="GI54" s="6" t="n">
        <v>10000</v>
      </c>
      <c r="GJ54" s="6" t="n">
        <v>10000</v>
      </c>
      <c r="GK54" s="6" t="n">
        <v>10000</v>
      </c>
      <c r="GL54" s="6" t="n">
        <v>10000</v>
      </c>
    </row>
    <row r="55">
      <c r="A55" s="6" t="inlineStr">
        <is>
          <t>GDAM</t>
        </is>
      </c>
      <c r="B55" s="6" t="n">
        <v>22</v>
      </c>
      <c r="C55" s="6" t="n">
        <v>10000</v>
      </c>
      <c r="D55" s="6" t="n">
        <v>10000</v>
      </c>
      <c r="E55" s="6" t="n">
        <v>10000</v>
      </c>
      <c r="F55" s="6" t="n">
        <v>10000</v>
      </c>
      <c r="G55" s="6" t="n">
        <v>10000</v>
      </c>
      <c r="H55" s="6" t="n">
        <v>10000</v>
      </c>
      <c r="I55" s="6" t="n">
        <v>10000</v>
      </c>
      <c r="J55" s="6" t="n">
        <v>10000</v>
      </c>
      <c r="K55" s="6" t="n">
        <v>10000</v>
      </c>
      <c r="L55" s="6" t="n">
        <v>10000</v>
      </c>
      <c r="M55" s="6" t="n">
        <v>10000</v>
      </c>
      <c r="N55" s="6" t="n">
        <v>10000</v>
      </c>
      <c r="O55" s="6" t="n">
        <v>10000</v>
      </c>
      <c r="P55" s="6" t="n">
        <v>10000</v>
      </c>
      <c r="Q55" s="6" t="n">
        <v>10000</v>
      </c>
      <c r="R55" s="6" t="n">
        <v>10000</v>
      </c>
      <c r="S55" s="6" t="n">
        <v>10000</v>
      </c>
      <c r="T55" s="6" t="n">
        <v>10000</v>
      </c>
      <c r="U55" s="6" t="n">
        <v>10000</v>
      </c>
      <c r="V55" s="6" t="n">
        <v>10000</v>
      </c>
      <c r="W55" s="6" t="n">
        <v>10000</v>
      </c>
      <c r="X55" s="6" t="n">
        <v>10000</v>
      </c>
      <c r="Y55" s="6" t="n">
        <v>10000</v>
      </c>
      <c r="Z55" s="6" t="n">
        <v>10000</v>
      </c>
      <c r="AA55" s="6" t="n">
        <v>10000</v>
      </c>
      <c r="AB55" s="6" t="n">
        <v>10000</v>
      </c>
      <c r="AC55" s="6" t="n">
        <v>10000</v>
      </c>
      <c r="AD55" s="6" t="n">
        <v>10000</v>
      </c>
      <c r="AE55" s="6" t="n">
        <v>10000</v>
      </c>
      <c r="AF55" s="6" t="n">
        <v>10000</v>
      </c>
      <c r="AG55" s="6" t="n">
        <v>9999</v>
      </c>
      <c r="AH55" s="6" t="n">
        <v>8201</v>
      </c>
      <c r="AI55" s="6" t="n">
        <v>5200</v>
      </c>
      <c r="AJ55" s="6" t="n">
        <v>4501</v>
      </c>
      <c r="AK55" s="6" t="n">
        <v>4249</v>
      </c>
      <c r="AL55" s="6" t="n">
        <v>3999</v>
      </c>
      <c r="AM55" s="6" t="n">
        <v>3301</v>
      </c>
      <c r="AN55" s="6" t="n">
        <v>3301</v>
      </c>
      <c r="AO55" s="6" t="n">
        <v>2800</v>
      </c>
      <c r="AP55" s="6" t="n">
        <v>2710</v>
      </c>
      <c r="AQ55" s="6" t="n">
        <v>2509</v>
      </c>
      <c r="AR55" s="6" t="n">
        <v>2500</v>
      </c>
      <c r="AS55" s="6" t="n">
        <v>2500</v>
      </c>
      <c r="AT55" s="6" t="n">
        <v>2501</v>
      </c>
      <c r="AU55" s="6" t="n">
        <v>2601</v>
      </c>
      <c r="AV55" s="6" t="n">
        <v>2600</v>
      </c>
      <c r="AW55" s="6" t="n">
        <v>2600</v>
      </c>
      <c r="AX55" s="6" t="n">
        <v>2600</v>
      </c>
      <c r="AY55" s="6" t="n">
        <v>2600</v>
      </c>
      <c r="AZ55" s="6" t="n">
        <v>2501</v>
      </c>
      <c r="BA55" s="6" t="n">
        <v>2501</v>
      </c>
      <c r="BB55" s="6" t="n">
        <v>2534</v>
      </c>
      <c r="BC55" s="6" t="n">
        <v>2441</v>
      </c>
      <c r="BD55" s="6" t="n">
        <v>2441</v>
      </c>
      <c r="BE55" s="6" t="n">
        <v>2599</v>
      </c>
      <c r="BF55" s="6" t="n">
        <v>2599</v>
      </c>
      <c r="BG55" s="6" t="n">
        <v>2800</v>
      </c>
      <c r="BH55" s="6" t="n">
        <v>3050</v>
      </c>
      <c r="BI55" s="6" t="n">
        <v>3151</v>
      </c>
      <c r="BJ55" s="6" t="n">
        <v>3101</v>
      </c>
      <c r="BK55" s="6" t="n">
        <v>4091</v>
      </c>
      <c r="BL55" s="6" t="n">
        <v>4601</v>
      </c>
      <c r="BM55" s="6" t="n">
        <v>9056</v>
      </c>
      <c r="BN55" s="6" t="n">
        <v>9900</v>
      </c>
      <c r="BO55" s="6" t="n">
        <v>10000</v>
      </c>
      <c r="BP55" s="6" t="n">
        <v>10000</v>
      </c>
      <c r="BQ55" s="6" t="n">
        <v>10000</v>
      </c>
      <c r="BR55" s="6" t="n">
        <v>10000</v>
      </c>
      <c r="BS55" s="6" t="n">
        <v>10000</v>
      </c>
      <c r="BT55" s="6" t="n">
        <v>10000</v>
      </c>
      <c r="BU55" s="6" t="n">
        <v>10000</v>
      </c>
      <c r="BV55" s="6" t="n">
        <v>10000</v>
      </c>
      <c r="BW55" s="6" t="n">
        <v>10000</v>
      </c>
      <c r="BX55" s="6" t="n">
        <v>10000</v>
      </c>
      <c r="BY55" s="6" t="n">
        <v>10000</v>
      </c>
      <c r="BZ55" s="6" t="n">
        <v>10000</v>
      </c>
      <c r="CA55" s="6" t="n">
        <v>10000</v>
      </c>
      <c r="CB55" s="6" t="n">
        <v>10000</v>
      </c>
      <c r="CC55" s="6" t="n">
        <v>10000</v>
      </c>
      <c r="CD55" s="6" t="n">
        <v>10000</v>
      </c>
      <c r="CE55" s="6" t="n">
        <v>10000</v>
      </c>
      <c r="CF55" s="6" t="n">
        <v>10000</v>
      </c>
      <c r="CG55" s="6" t="n">
        <v>10000</v>
      </c>
      <c r="CH55" s="6" t="n">
        <v>10000</v>
      </c>
      <c r="CI55" s="6" t="n">
        <v>10000</v>
      </c>
      <c r="CJ55" s="6" t="n">
        <v>10000</v>
      </c>
      <c r="CK55" s="6" t="n">
        <v>10000</v>
      </c>
      <c r="CL55" s="6" t="n">
        <v>10000</v>
      </c>
      <c r="CM55" s="6" t="n">
        <v>10000</v>
      </c>
      <c r="CN55" s="6" t="n">
        <v>10000</v>
      </c>
      <c r="CO55" s="6" t="n">
        <v>10000</v>
      </c>
      <c r="CP55" s="6" t="n">
        <v>10000</v>
      </c>
      <c r="CQ55" s="6" t="n">
        <v>10000</v>
      </c>
      <c r="CR55" s="6" t="n">
        <v>10000</v>
      </c>
      <c r="CS55" s="6" t="n">
        <v>10000</v>
      </c>
      <c r="CT55" s="6" t="n">
        <v>10000</v>
      </c>
      <c r="CU55" s="6" t="n">
        <v>10000</v>
      </c>
      <c r="CV55" s="6" t="n">
        <v>10000</v>
      </c>
      <c r="CW55" s="6" t="n">
        <v>10000</v>
      </c>
      <c r="CX55" s="6" t="n">
        <v>10000</v>
      </c>
      <c r="CY55" s="6" t="n">
        <v>10000</v>
      </c>
      <c r="CZ55" s="6" t="n">
        <v>10000</v>
      </c>
      <c r="DA55" s="6" t="n">
        <v>10000</v>
      </c>
      <c r="DB55" s="6" t="n">
        <v>10000</v>
      </c>
      <c r="DC55" s="6" t="n">
        <v>10000</v>
      </c>
      <c r="DD55" s="6" t="n">
        <v>10000</v>
      </c>
      <c r="DE55" s="6" t="n">
        <v>10000</v>
      </c>
      <c r="DF55" s="6" t="n">
        <v>10000</v>
      </c>
      <c r="DG55" s="6" t="n">
        <v>10000</v>
      </c>
      <c r="DH55" s="6" t="n">
        <v>10000</v>
      </c>
      <c r="DI55" s="6" t="n">
        <v>10000</v>
      </c>
      <c r="DJ55" s="6" t="n">
        <v>10000</v>
      </c>
      <c r="DK55" s="6" t="n">
        <v>10000</v>
      </c>
      <c r="DL55" s="6" t="n">
        <v>10000</v>
      </c>
      <c r="DM55" s="6" t="n">
        <v>10000</v>
      </c>
      <c r="DN55" s="6" t="n">
        <v>10000</v>
      </c>
      <c r="DO55" s="6" t="n">
        <v>10000</v>
      </c>
      <c r="DP55" s="6" t="n">
        <v>10000</v>
      </c>
      <c r="DQ55" s="6" t="n">
        <v>10000</v>
      </c>
      <c r="DR55" s="6" t="n">
        <v>10000</v>
      </c>
      <c r="DS55" s="6" t="n">
        <v>10000</v>
      </c>
      <c r="DT55" s="6" t="n">
        <v>10000</v>
      </c>
      <c r="DU55" s="6" t="n">
        <v>10000</v>
      </c>
      <c r="DV55" s="6" t="n">
        <v>10000</v>
      </c>
      <c r="DW55" s="6" t="n">
        <v>10000</v>
      </c>
      <c r="DX55" s="6" t="n">
        <v>10000</v>
      </c>
      <c r="DY55" s="6" t="n">
        <v>9999</v>
      </c>
      <c r="DZ55" s="6" t="n">
        <v>8201</v>
      </c>
      <c r="EA55" s="6" t="n">
        <v>5200</v>
      </c>
      <c r="EB55" s="6" t="n">
        <v>4501</v>
      </c>
      <c r="EC55" s="6" t="n">
        <v>4249</v>
      </c>
      <c r="ED55" s="6" t="n">
        <v>3999</v>
      </c>
      <c r="EE55" s="6" t="n">
        <v>3301</v>
      </c>
      <c r="EF55" s="6" t="n">
        <v>3301</v>
      </c>
      <c r="EG55" s="6" t="n">
        <v>2800</v>
      </c>
      <c r="EH55" s="6" t="n">
        <v>2710</v>
      </c>
      <c r="EI55" s="6" t="n">
        <v>2509</v>
      </c>
      <c r="EJ55" s="6" t="n">
        <v>2500</v>
      </c>
      <c r="EK55" s="6" t="n">
        <v>2500</v>
      </c>
      <c r="EL55" s="6" t="n">
        <v>2501</v>
      </c>
      <c r="EM55" s="6" t="n">
        <v>2601</v>
      </c>
      <c r="EN55" s="6" t="n">
        <v>2600</v>
      </c>
      <c r="EO55" s="6" t="n">
        <v>2600</v>
      </c>
      <c r="EP55" s="6" t="n">
        <v>2600</v>
      </c>
      <c r="EQ55" s="6" t="n">
        <v>2600</v>
      </c>
      <c r="ER55" s="6" t="n">
        <v>2501</v>
      </c>
      <c r="ES55" s="6" t="n">
        <v>2501</v>
      </c>
      <c r="ET55" s="6" t="n">
        <v>2534</v>
      </c>
      <c r="EU55" s="6" t="n">
        <v>2441</v>
      </c>
      <c r="EV55" s="6" t="n">
        <v>2441</v>
      </c>
      <c r="EW55" s="6" t="n">
        <v>2599</v>
      </c>
      <c r="EX55" s="6" t="n">
        <v>2599</v>
      </c>
      <c r="EY55" s="6" t="n">
        <v>2800</v>
      </c>
      <c r="EZ55" s="6" t="n">
        <v>3050</v>
      </c>
      <c r="FA55" s="6" t="n">
        <v>3151</v>
      </c>
      <c r="FB55" s="6" t="n">
        <v>3101</v>
      </c>
      <c r="FC55" s="6" t="n">
        <v>4091</v>
      </c>
      <c r="FD55" s="6" t="n">
        <v>4601</v>
      </c>
      <c r="FE55" s="6" t="n">
        <v>9056</v>
      </c>
      <c r="FF55" s="6" t="n">
        <v>9900</v>
      </c>
      <c r="FG55" s="6" t="n">
        <v>10000</v>
      </c>
      <c r="FH55" s="6" t="n">
        <v>10000</v>
      </c>
      <c r="FI55" s="6" t="n">
        <v>10000</v>
      </c>
      <c r="FJ55" s="6" t="n">
        <v>10000</v>
      </c>
      <c r="FK55" s="6" t="n">
        <v>10000</v>
      </c>
      <c r="FL55" s="6" t="n">
        <v>10000</v>
      </c>
      <c r="FM55" s="6" t="n">
        <v>10000</v>
      </c>
      <c r="FN55" s="6" t="n">
        <v>10000</v>
      </c>
      <c r="FO55" s="6" t="n">
        <v>10000</v>
      </c>
      <c r="FP55" s="6" t="n">
        <v>10000</v>
      </c>
      <c r="FQ55" s="6" t="n">
        <v>10000</v>
      </c>
      <c r="FR55" s="6" t="n">
        <v>10000</v>
      </c>
      <c r="FS55" s="6" t="n">
        <v>10000</v>
      </c>
      <c r="FT55" s="6" t="n">
        <v>10000</v>
      </c>
      <c r="FU55" s="6" t="n">
        <v>10000</v>
      </c>
      <c r="FV55" s="6" t="n">
        <v>10000</v>
      </c>
      <c r="FW55" s="6" t="n">
        <v>10000</v>
      </c>
      <c r="FX55" s="6" t="n">
        <v>10000</v>
      </c>
      <c r="FY55" s="6" t="n">
        <v>10000</v>
      </c>
      <c r="FZ55" s="6" t="n">
        <v>10000</v>
      </c>
      <c r="GA55" s="6" t="n">
        <v>10000</v>
      </c>
      <c r="GB55" s="6" t="n">
        <v>10000</v>
      </c>
      <c r="GC55" s="6" t="n">
        <v>10000</v>
      </c>
      <c r="GD55" s="6" t="n">
        <v>10000</v>
      </c>
      <c r="GE55" s="6" t="n">
        <v>10000</v>
      </c>
      <c r="GF55" s="6" t="n">
        <v>10000</v>
      </c>
      <c r="GG55" s="6" t="n">
        <v>10000</v>
      </c>
      <c r="GH55" s="6" t="n">
        <v>10000</v>
      </c>
      <c r="GI55" s="6" t="n">
        <v>10000</v>
      </c>
      <c r="GJ55" s="6" t="n">
        <v>10000</v>
      </c>
      <c r="GK55" s="6" t="n">
        <v>10000</v>
      </c>
      <c r="GL55" s="6" t="n">
        <v>10000</v>
      </c>
    </row>
    <row r="56">
      <c r="A56" s="6" t="inlineStr">
        <is>
          <t>GDAM</t>
        </is>
      </c>
      <c r="B56" s="6" t="n">
        <v>23</v>
      </c>
      <c r="C56" s="6" t="n">
        <v>10000</v>
      </c>
      <c r="D56" s="6" t="n">
        <v>10000</v>
      </c>
      <c r="E56" s="6" t="n">
        <v>10000</v>
      </c>
      <c r="F56" s="6" t="n">
        <v>10000</v>
      </c>
      <c r="G56" s="6" t="n">
        <v>10000</v>
      </c>
      <c r="H56" s="6" t="n">
        <v>10000</v>
      </c>
      <c r="I56" s="6" t="n">
        <v>10000</v>
      </c>
      <c r="J56" s="6" t="n">
        <v>10000</v>
      </c>
      <c r="K56" s="6" t="n">
        <v>10000</v>
      </c>
      <c r="L56" s="6" t="n">
        <v>10000</v>
      </c>
      <c r="M56" s="6" t="n">
        <v>10000</v>
      </c>
      <c r="N56" s="6" t="n">
        <v>10000</v>
      </c>
      <c r="O56" s="6" t="n">
        <v>10000</v>
      </c>
      <c r="P56" s="6" t="n">
        <v>10000</v>
      </c>
      <c r="Q56" s="6" t="n">
        <v>10000</v>
      </c>
      <c r="R56" s="6" t="n">
        <v>10000</v>
      </c>
      <c r="S56" s="6" t="n">
        <v>10000</v>
      </c>
      <c r="T56" s="6" t="n">
        <v>10000</v>
      </c>
      <c r="U56" s="6" t="n">
        <v>10000</v>
      </c>
      <c r="V56" s="6" t="n">
        <v>10000</v>
      </c>
      <c r="W56" s="6" t="n">
        <v>10000</v>
      </c>
      <c r="X56" s="6" t="n">
        <v>10000</v>
      </c>
      <c r="Y56" s="6" t="n">
        <v>10000</v>
      </c>
      <c r="Z56" s="6" t="n">
        <v>10000</v>
      </c>
      <c r="AA56" s="6" t="n">
        <v>10000</v>
      </c>
      <c r="AB56" s="6" t="n">
        <v>10000</v>
      </c>
      <c r="AC56" s="6" t="n">
        <v>10000</v>
      </c>
      <c r="AD56" s="6" t="n">
        <v>10000</v>
      </c>
      <c r="AE56" s="6" t="n">
        <v>10000</v>
      </c>
      <c r="AF56" s="6" t="n">
        <v>10000</v>
      </c>
      <c r="AG56" s="6" t="n">
        <v>9998</v>
      </c>
      <c r="AH56" s="6" t="n">
        <v>9998</v>
      </c>
      <c r="AI56" s="6" t="n">
        <v>6159</v>
      </c>
      <c r="AJ56" s="6" t="n">
        <v>4501</v>
      </c>
      <c r="AK56" s="6" t="n">
        <v>4248</v>
      </c>
      <c r="AL56" s="6" t="n">
        <v>3835</v>
      </c>
      <c r="AM56" s="6" t="n">
        <v>3200</v>
      </c>
      <c r="AN56" s="6" t="n">
        <v>3200</v>
      </c>
      <c r="AO56" s="6" t="n">
        <v>3000</v>
      </c>
      <c r="AP56" s="6" t="n">
        <v>3001</v>
      </c>
      <c r="AQ56" s="6" t="n">
        <v>2510</v>
      </c>
      <c r="AR56" s="6" t="n">
        <v>2501</v>
      </c>
      <c r="AS56" s="6" t="n">
        <v>2501</v>
      </c>
      <c r="AT56" s="6" t="n">
        <v>2501</v>
      </c>
      <c r="AU56" s="6" t="n">
        <v>2500</v>
      </c>
      <c r="AV56" s="6" t="n">
        <v>2500</v>
      </c>
      <c r="AW56" s="6" t="n">
        <v>2500</v>
      </c>
      <c r="AX56" s="6" t="n">
        <v>2500</v>
      </c>
      <c r="AY56" s="6" t="n">
        <v>2500</v>
      </c>
      <c r="AZ56" s="6" t="n">
        <v>2401</v>
      </c>
      <c r="BA56" s="6" t="n">
        <v>2401</v>
      </c>
      <c r="BB56" s="6" t="n">
        <v>2433</v>
      </c>
      <c r="BC56" s="6" t="n">
        <v>2341</v>
      </c>
      <c r="BD56" s="6" t="n">
        <v>2341</v>
      </c>
      <c r="BE56" s="6" t="n">
        <v>2498</v>
      </c>
      <c r="BF56" s="6" t="n">
        <v>2600</v>
      </c>
      <c r="BG56" s="6" t="n">
        <v>3300</v>
      </c>
      <c r="BH56" s="6" t="n">
        <v>3301</v>
      </c>
      <c r="BI56" s="6" t="n">
        <v>3500</v>
      </c>
      <c r="BJ56" s="6" t="n">
        <v>3501</v>
      </c>
      <c r="BK56" s="6" t="n">
        <v>4500</v>
      </c>
      <c r="BL56" s="6" t="n">
        <v>5038</v>
      </c>
      <c r="BM56" s="6" t="n">
        <v>6501</v>
      </c>
      <c r="BN56" s="6" t="n">
        <v>9801</v>
      </c>
      <c r="BO56" s="6" t="n">
        <v>10000</v>
      </c>
      <c r="BP56" s="6" t="n">
        <v>10000</v>
      </c>
      <c r="BQ56" s="6" t="n">
        <v>10000</v>
      </c>
      <c r="BR56" s="6" t="n">
        <v>10000</v>
      </c>
      <c r="BS56" s="6" t="n">
        <v>10000</v>
      </c>
      <c r="BT56" s="6" t="n">
        <v>10000</v>
      </c>
      <c r="BU56" s="6" t="n">
        <v>10000</v>
      </c>
      <c r="BV56" s="6" t="n">
        <v>10000</v>
      </c>
      <c r="BW56" s="6" t="n">
        <v>10000</v>
      </c>
      <c r="BX56" s="6" t="n">
        <v>10000</v>
      </c>
      <c r="BY56" s="6" t="n">
        <v>10000</v>
      </c>
      <c r="BZ56" s="6" t="n">
        <v>10000</v>
      </c>
      <c r="CA56" s="6" t="n">
        <v>10000</v>
      </c>
      <c r="CB56" s="6" t="n">
        <v>10000</v>
      </c>
      <c r="CC56" s="6" t="n">
        <v>10000</v>
      </c>
      <c r="CD56" s="6" t="n">
        <v>10000</v>
      </c>
      <c r="CE56" s="6" t="n">
        <v>10000</v>
      </c>
      <c r="CF56" s="6" t="n">
        <v>10000</v>
      </c>
      <c r="CG56" s="6" t="n">
        <v>10000</v>
      </c>
      <c r="CH56" s="6" t="n">
        <v>10000</v>
      </c>
      <c r="CI56" s="6" t="n">
        <v>10000</v>
      </c>
      <c r="CJ56" s="6" t="n">
        <v>10000</v>
      </c>
      <c r="CK56" s="6" t="n">
        <v>10000</v>
      </c>
      <c r="CL56" s="6" t="n">
        <v>10000</v>
      </c>
      <c r="CM56" s="6" t="n">
        <v>10000</v>
      </c>
      <c r="CN56" s="6" t="n">
        <v>10000</v>
      </c>
      <c r="CO56" s="6" t="n">
        <v>10000</v>
      </c>
      <c r="CP56" s="6" t="n">
        <v>10000</v>
      </c>
      <c r="CQ56" s="6" t="n">
        <v>10000</v>
      </c>
      <c r="CR56" s="6" t="n">
        <v>10000</v>
      </c>
      <c r="CS56" s="6" t="n">
        <v>10000</v>
      </c>
      <c r="CT56" s="6" t="n">
        <v>10000</v>
      </c>
      <c r="CU56" s="6" t="n">
        <v>10000</v>
      </c>
      <c r="CV56" s="6" t="n">
        <v>10000</v>
      </c>
      <c r="CW56" s="6" t="n">
        <v>10000</v>
      </c>
      <c r="CX56" s="6" t="n">
        <v>10000</v>
      </c>
      <c r="CY56" s="6" t="n">
        <v>10000</v>
      </c>
      <c r="CZ56" s="6" t="n">
        <v>10000</v>
      </c>
      <c r="DA56" s="6" t="n">
        <v>10000</v>
      </c>
      <c r="DB56" s="6" t="n">
        <v>10000</v>
      </c>
      <c r="DC56" s="6" t="n">
        <v>10000</v>
      </c>
      <c r="DD56" s="6" t="n">
        <v>10000</v>
      </c>
      <c r="DE56" s="6" t="n">
        <v>10000</v>
      </c>
      <c r="DF56" s="6" t="n">
        <v>10000</v>
      </c>
      <c r="DG56" s="6" t="n">
        <v>10000</v>
      </c>
      <c r="DH56" s="6" t="n">
        <v>10000</v>
      </c>
      <c r="DI56" s="6" t="n">
        <v>10000</v>
      </c>
      <c r="DJ56" s="6" t="n">
        <v>10000</v>
      </c>
      <c r="DK56" s="6" t="n">
        <v>10000</v>
      </c>
      <c r="DL56" s="6" t="n">
        <v>10000</v>
      </c>
      <c r="DM56" s="6" t="n">
        <v>10000</v>
      </c>
      <c r="DN56" s="6" t="n">
        <v>10000</v>
      </c>
      <c r="DO56" s="6" t="n">
        <v>10000</v>
      </c>
      <c r="DP56" s="6" t="n">
        <v>10000</v>
      </c>
      <c r="DQ56" s="6" t="n">
        <v>10000</v>
      </c>
      <c r="DR56" s="6" t="n">
        <v>10000</v>
      </c>
      <c r="DS56" s="6" t="n">
        <v>10000</v>
      </c>
      <c r="DT56" s="6" t="n">
        <v>10000</v>
      </c>
      <c r="DU56" s="6" t="n">
        <v>10000</v>
      </c>
      <c r="DV56" s="6" t="n">
        <v>10000</v>
      </c>
      <c r="DW56" s="6" t="n">
        <v>10000</v>
      </c>
      <c r="DX56" s="6" t="n">
        <v>10000</v>
      </c>
      <c r="DY56" s="6" t="n">
        <v>9998</v>
      </c>
      <c r="DZ56" s="6" t="n">
        <v>9998</v>
      </c>
      <c r="EA56" s="6" t="n">
        <v>6159</v>
      </c>
      <c r="EB56" s="6" t="n">
        <v>4501</v>
      </c>
      <c r="EC56" s="6" t="n">
        <v>4248</v>
      </c>
      <c r="ED56" s="6" t="n">
        <v>3835</v>
      </c>
      <c r="EE56" s="6" t="n">
        <v>3200</v>
      </c>
      <c r="EF56" s="6" t="n">
        <v>3200</v>
      </c>
      <c r="EG56" s="6" t="n">
        <v>3000</v>
      </c>
      <c r="EH56" s="6" t="n">
        <v>3001</v>
      </c>
      <c r="EI56" s="6" t="n">
        <v>2510</v>
      </c>
      <c r="EJ56" s="6" t="n">
        <v>2501</v>
      </c>
      <c r="EK56" s="6" t="n">
        <v>2501</v>
      </c>
      <c r="EL56" s="6" t="n">
        <v>2501</v>
      </c>
      <c r="EM56" s="6" t="n">
        <v>2500</v>
      </c>
      <c r="EN56" s="6" t="n">
        <v>2500</v>
      </c>
      <c r="EO56" s="6" t="n">
        <v>2500</v>
      </c>
      <c r="EP56" s="6" t="n">
        <v>2500</v>
      </c>
      <c r="EQ56" s="6" t="n">
        <v>2500</v>
      </c>
      <c r="ER56" s="6" t="n">
        <v>2401</v>
      </c>
      <c r="ES56" s="6" t="n">
        <v>2401</v>
      </c>
      <c r="ET56" s="6" t="n">
        <v>2433</v>
      </c>
      <c r="EU56" s="6" t="n">
        <v>2341</v>
      </c>
      <c r="EV56" s="6" t="n">
        <v>2341</v>
      </c>
      <c r="EW56" s="6" t="n">
        <v>2498</v>
      </c>
      <c r="EX56" s="6" t="n">
        <v>2600</v>
      </c>
      <c r="EY56" s="6" t="n">
        <v>3300</v>
      </c>
      <c r="EZ56" s="6" t="n">
        <v>3301</v>
      </c>
      <c r="FA56" s="6" t="n">
        <v>3500</v>
      </c>
      <c r="FB56" s="6" t="n">
        <v>3501</v>
      </c>
      <c r="FC56" s="6" t="n">
        <v>4500</v>
      </c>
      <c r="FD56" s="6" t="n">
        <v>5038</v>
      </c>
      <c r="FE56" s="6" t="n">
        <v>6501</v>
      </c>
      <c r="FF56" s="6" t="n">
        <v>9801</v>
      </c>
      <c r="FG56" s="6" t="n">
        <v>10000</v>
      </c>
      <c r="FH56" s="6" t="n">
        <v>10000</v>
      </c>
      <c r="FI56" s="6" t="n">
        <v>10000</v>
      </c>
      <c r="FJ56" s="6" t="n">
        <v>10000</v>
      </c>
      <c r="FK56" s="6" t="n">
        <v>10000</v>
      </c>
      <c r="FL56" s="6" t="n">
        <v>10000</v>
      </c>
      <c r="FM56" s="6" t="n">
        <v>10000</v>
      </c>
      <c r="FN56" s="6" t="n">
        <v>10000</v>
      </c>
      <c r="FO56" s="6" t="n">
        <v>10000</v>
      </c>
      <c r="FP56" s="6" t="n">
        <v>10000</v>
      </c>
      <c r="FQ56" s="6" t="n">
        <v>10000</v>
      </c>
      <c r="FR56" s="6" t="n">
        <v>10000</v>
      </c>
      <c r="FS56" s="6" t="n">
        <v>10000</v>
      </c>
      <c r="FT56" s="6" t="n">
        <v>10000</v>
      </c>
      <c r="FU56" s="6" t="n">
        <v>10000</v>
      </c>
      <c r="FV56" s="6" t="n">
        <v>10000</v>
      </c>
      <c r="FW56" s="6" t="n">
        <v>10000</v>
      </c>
      <c r="FX56" s="6" t="n">
        <v>10000</v>
      </c>
      <c r="FY56" s="6" t="n">
        <v>10000</v>
      </c>
      <c r="FZ56" s="6" t="n">
        <v>10000</v>
      </c>
      <c r="GA56" s="6" t="n">
        <v>10000</v>
      </c>
      <c r="GB56" s="6" t="n">
        <v>10000</v>
      </c>
      <c r="GC56" s="6" t="n">
        <v>10000</v>
      </c>
      <c r="GD56" s="6" t="n">
        <v>10000</v>
      </c>
      <c r="GE56" s="6" t="n">
        <v>10000</v>
      </c>
      <c r="GF56" s="6" t="n">
        <v>10000</v>
      </c>
      <c r="GG56" s="6" t="n">
        <v>10000</v>
      </c>
      <c r="GH56" s="6" t="n">
        <v>10000</v>
      </c>
      <c r="GI56" s="6" t="n">
        <v>10000</v>
      </c>
      <c r="GJ56" s="6" t="n">
        <v>10000</v>
      </c>
      <c r="GK56" s="6" t="n">
        <v>10000</v>
      </c>
      <c r="GL56" s="6" t="n">
        <v>10000</v>
      </c>
    </row>
    <row r="57">
      <c r="A57" s="6" t="inlineStr">
        <is>
          <t>GDAM</t>
        </is>
      </c>
      <c r="B57" s="6" t="n">
        <v>24</v>
      </c>
      <c r="C57" s="6" t="n">
        <v>4000</v>
      </c>
      <c r="D57" s="6" t="n">
        <v>4000</v>
      </c>
      <c r="E57" s="6" t="n">
        <v>3699</v>
      </c>
      <c r="F57" s="6" t="n">
        <v>3601</v>
      </c>
      <c r="G57" s="6" t="n">
        <v>3513</v>
      </c>
      <c r="H57" s="6" t="n">
        <v>3513</v>
      </c>
      <c r="I57" s="6" t="n">
        <v>3501</v>
      </c>
      <c r="J57" s="6" t="n">
        <v>3501</v>
      </c>
      <c r="K57" s="6" t="n">
        <v>3501</v>
      </c>
      <c r="L57" s="6" t="n">
        <v>3501</v>
      </c>
      <c r="M57" s="6" t="n">
        <v>3501</v>
      </c>
      <c r="N57" s="6" t="n">
        <v>3501</v>
      </c>
      <c r="O57" s="6" t="n">
        <v>3500</v>
      </c>
      <c r="P57" s="6" t="n">
        <v>3500</v>
      </c>
      <c r="Q57" s="6" t="n">
        <v>3500</v>
      </c>
      <c r="R57" s="6" t="n">
        <v>3500</v>
      </c>
      <c r="S57" s="6" t="n">
        <v>3500</v>
      </c>
      <c r="T57" s="6" t="n">
        <v>3500</v>
      </c>
      <c r="U57" s="6" t="n">
        <v>3500</v>
      </c>
      <c r="V57" s="6" t="n">
        <v>3500</v>
      </c>
      <c r="W57" s="6" t="n">
        <v>3501</v>
      </c>
      <c r="X57" s="6" t="n">
        <v>3501</v>
      </c>
      <c r="Y57" s="6" t="n">
        <v>3501</v>
      </c>
      <c r="Z57" s="6" t="n">
        <v>3601</v>
      </c>
      <c r="AA57" s="6" t="n">
        <v>4250</v>
      </c>
      <c r="AB57" s="6" t="n">
        <v>4250</v>
      </c>
      <c r="AC57" s="6" t="n">
        <v>4201</v>
      </c>
      <c r="AD57" s="6" t="n">
        <v>4199</v>
      </c>
      <c r="AE57" s="6" t="n">
        <v>4000</v>
      </c>
      <c r="AF57" s="6" t="n">
        <v>3708</v>
      </c>
      <c r="AG57" s="6" t="n">
        <v>3000</v>
      </c>
      <c r="AH57" s="6" t="n">
        <v>2670</v>
      </c>
      <c r="AI57" s="6" t="n">
        <v>2320</v>
      </c>
      <c r="AJ57" s="6" t="n">
        <v>2071</v>
      </c>
      <c r="AK57" s="6" t="n">
        <v>1297</v>
      </c>
      <c r="AL57" s="6" t="n">
        <v>1111</v>
      </c>
      <c r="AM57" s="6" t="n">
        <v>1296</v>
      </c>
      <c r="AN57" s="6" t="n">
        <v>1400</v>
      </c>
      <c r="AO57" s="6" t="n">
        <v>1500</v>
      </c>
      <c r="AP57" s="6" t="n">
        <v>1321</v>
      </c>
      <c r="AQ57" s="6" t="n">
        <v>1300</v>
      </c>
      <c r="AR57" s="6" t="n">
        <v>1420</v>
      </c>
      <c r="AS57" s="6" t="n">
        <v>1540</v>
      </c>
      <c r="AT57" s="6" t="n">
        <v>1540</v>
      </c>
      <c r="AU57" s="6" t="n">
        <v>1592</v>
      </c>
      <c r="AV57" s="6" t="n">
        <v>1600</v>
      </c>
      <c r="AW57" s="6" t="n">
        <v>1394</v>
      </c>
      <c r="AX57" s="6" t="n">
        <v>1587</v>
      </c>
      <c r="AY57" s="6" t="n">
        <v>1590</v>
      </c>
      <c r="AZ57" s="6" t="n">
        <v>1589</v>
      </c>
      <c r="BA57" s="6" t="n">
        <v>1599</v>
      </c>
      <c r="BB57" s="6" t="n">
        <v>1592</v>
      </c>
      <c r="BC57" s="6" t="n">
        <v>1281</v>
      </c>
      <c r="BD57" s="6" t="n">
        <v>1208</v>
      </c>
      <c r="BE57" s="6" t="n">
        <v>1540</v>
      </c>
      <c r="BF57" s="6" t="n">
        <v>1508</v>
      </c>
      <c r="BG57" s="6" t="n">
        <v>1999</v>
      </c>
      <c r="BH57" s="6" t="n">
        <v>2000</v>
      </c>
      <c r="BI57" s="6" t="n">
        <v>1999</v>
      </c>
      <c r="BJ57" s="6" t="n">
        <v>1999</v>
      </c>
      <c r="BK57" s="6" t="n">
        <v>2000</v>
      </c>
      <c r="BL57" s="6" t="n">
        <v>1999</v>
      </c>
      <c r="BM57" s="6" t="n">
        <v>2010</v>
      </c>
      <c r="BN57" s="6" t="n">
        <v>2011</v>
      </c>
      <c r="BO57" s="6" t="n">
        <v>2000</v>
      </c>
      <c r="BP57" s="6" t="n">
        <v>2082</v>
      </c>
      <c r="BQ57" s="6" t="n">
        <v>2500</v>
      </c>
      <c r="BR57" s="6" t="n">
        <v>2532</v>
      </c>
      <c r="BS57" s="6" t="n">
        <v>3079</v>
      </c>
      <c r="BT57" s="6" t="n">
        <v>3150</v>
      </c>
      <c r="BU57" s="6" t="n">
        <v>3460</v>
      </c>
      <c r="BV57" s="6" t="n">
        <v>3999</v>
      </c>
      <c r="BW57" s="6" t="n">
        <v>4866</v>
      </c>
      <c r="BX57" s="6" t="n">
        <v>5501</v>
      </c>
      <c r="BY57" s="6" t="n">
        <v>10000</v>
      </c>
      <c r="BZ57" s="6" t="n">
        <v>10000</v>
      </c>
      <c r="CA57" s="6" t="n">
        <v>10000</v>
      </c>
      <c r="CB57" s="6" t="n">
        <v>10000</v>
      </c>
      <c r="CC57" s="6" t="n">
        <v>10000</v>
      </c>
      <c r="CD57" s="6" t="n">
        <v>10000</v>
      </c>
      <c r="CE57" s="6" t="n">
        <v>10000</v>
      </c>
      <c r="CF57" s="6" t="n">
        <v>10000</v>
      </c>
      <c r="CG57" s="6" t="n">
        <v>10000</v>
      </c>
      <c r="CH57" s="6" t="n">
        <v>10000</v>
      </c>
      <c r="CI57" s="6" t="n">
        <v>10000</v>
      </c>
      <c r="CJ57" s="6" t="n">
        <v>10000</v>
      </c>
      <c r="CK57" s="6" t="n">
        <v>9801</v>
      </c>
      <c r="CL57" s="6" t="n">
        <v>9801</v>
      </c>
      <c r="CM57" s="6" t="n">
        <v>8501</v>
      </c>
      <c r="CN57" s="6" t="n">
        <v>8501</v>
      </c>
      <c r="CO57" s="6" t="n">
        <v>8500</v>
      </c>
      <c r="CP57" s="6" t="n">
        <v>6501</v>
      </c>
      <c r="CQ57" s="6" t="n">
        <v>5999</v>
      </c>
      <c r="CR57" s="6" t="n">
        <v>4201</v>
      </c>
      <c r="CS57" s="6" t="n">
        <v>4201</v>
      </c>
      <c r="CT57" s="6" t="n">
        <v>4201</v>
      </c>
      <c r="CU57" s="6" t="n">
        <v>4000</v>
      </c>
      <c r="CV57" s="6" t="n">
        <v>4000</v>
      </c>
      <c r="CW57" s="6" t="n">
        <v>3699</v>
      </c>
      <c r="CX57" s="6" t="n">
        <v>3601</v>
      </c>
      <c r="CY57" s="6" t="n">
        <v>3513</v>
      </c>
      <c r="CZ57" s="6" t="n">
        <v>3513</v>
      </c>
      <c r="DA57" s="6" t="n">
        <v>3501</v>
      </c>
      <c r="DB57" s="6" t="n">
        <v>3501</v>
      </c>
      <c r="DC57" s="6" t="n">
        <v>3501</v>
      </c>
      <c r="DD57" s="6" t="n">
        <v>3501</v>
      </c>
      <c r="DE57" s="6" t="n">
        <v>3501</v>
      </c>
      <c r="DF57" s="6" t="n">
        <v>3501</v>
      </c>
      <c r="DG57" s="6" t="n">
        <v>3500</v>
      </c>
      <c r="DH57" s="6" t="n">
        <v>3500</v>
      </c>
      <c r="DI57" s="6" t="n">
        <v>3500</v>
      </c>
      <c r="DJ57" s="6" t="n">
        <v>3500</v>
      </c>
      <c r="DK57" s="6" t="n">
        <v>3500</v>
      </c>
      <c r="DL57" s="6" t="n">
        <v>3500</v>
      </c>
      <c r="DM57" s="6" t="n">
        <v>3500</v>
      </c>
      <c r="DN57" s="6" t="n">
        <v>3500</v>
      </c>
      <c r="DO57" s="6" t="n">
        <v>3501</v>
      </c>
      <c r="DP57" s="6" t="n">
        <v>3501</v>
      </c>
      <c r="DQ57" s="6" t="n">
        <v>3501</v>
      </c>
      <c r="DR57" s="6" t="n">
        <v>3601</v>
      </c>
      <c r="DS57" s="6" t="n">
        <v>4250</v>
      </c>
      <c r="DT57" s="6" t="n">
        <v>4250</v>
      </c>
      <c r="DU57" s="6" t="n">
        <v>4201</v>
      </c>
      <c r="DV57" s="6" t="n">
        <v>4199</v>
      </c>
      <c r="DW57" s="6" t="n">
        <v>4000</v>
      </c>
      <c r="DX57" s="6" t="n">
        <v>3708</v>
      </c>
      <c r="DY57" s="6" t="n">
        <v>3000</v>
      </c>
      <c r="DZ57" s="6" t="n">
        <v>2670</v>
      </c>
      <c r="EA57" s="6" t="n">
        <v>2320</v>
      </c>
      <c r="EB57" s="6" t="n">
        <v>2071</v>
      </c>
      <c r="EC57" s="6" t="n">
        <v>1297</v>
      </c>
      <c r="ED57" s="6" t="n">
        <v>1111</v>
      </c>
      <c r="EE57" s="6" t="n">
        <v>1296</v>
      </c>
      <c r="EF57" s="6" t="n">
        <v>1400</v>
      </c>
      <c r="EG57" s="6" t="n">
        <v>1500</v>
      </c>
      <c r="EH57" s="6" t="n">
        <v>1321</v>
      </c>
      <c r="EI57" s="6" t="n">
        <v>1300</v>
      </c>
      <c r="EJ57" s="6" t="n">
        <v>1420</v>
      </c>
      <c r="EK57" s="6" t="n">
        <v>1540</v>
      </c>
      <c r="EL57" s="6" t="n">
        <v>1540</v>
      </c>
      <c r="EM57" s="6" t="n">
        <v>1592</v>
      </c>
      <c r="EN57" s="6" t="n">
        <v>1600</v>
      </c>
      <c r="EO57" s="6" t="n">
        <v>1394</v>
      </c>
      <c r="EP57" s="6" t="n">
        <v>1587</v>
      </c>
      <c r="EQ57" s="6" t="n">
        <v>1590</v>
      </c>
      <c r="ER57" s="6" t="n">
        <v>1589</v>
      </c>
      <c r="ES57" s="6" t="n">
        <v>1599</v>
      </c>
      <c r="ET57" s="6" t="n">
        <v>1592</v>
      </c>
      <c r="EU57" s="6" t="n">
        <v>1281</v>
      </c>
      <c r="EV57" s="6" t="n">
        <v>1208</v>
      </c>
      <c r="EW57" s="6" t="n">
        <v>1540</v>
      </c>
      <c r="EX57" s="6" t="n">
        <v>1508</v>
      </c>
      <c r="EY57" s="6" t="n">
        <v>1999</v>
      </c>
      <c r="EZ57" s="6" t="n">
        <v>2000</v>
      </c>
      <c r="FA57" s="6" t="n">
        <v>1999</v>
      </c>
      <c r="FB57" s="6" t="n">
        <v>1999</v>
      </c>
      <c r="FC57" s="6" t="n">
        <v>2000</v>
      </c>
      <c r="FD57" s="6" t="n">
        <v>1999</v>
      </c>
      <c r="FE57" s="6" t="n">
        <v>2010</v>
      </c>
      <c r="FF57" s="6" t="n">
        <v>2011</v>
      </c>
      <c r="FG57" s="6" t="n">
        <v>2000</v>
      </c>
      <c r="FH57" s="6" t="n">
        <v>2082</v>
      </c>
      <c r="FI57" s="6" t="n">
        <v>2500</v>
      </c>
      <c r="FJ57" s="6" t="n">
        <v>2532</v>
      </c>
      <c r="FK57" s="6" t="n">
        <v>3079</v>
      </c>
      <c r="FL57" s="6" t="n">
        <v>3150</v>
      </c>
      <c r="FM57" s="6" t="n">
        <v>3460</v>
      </c>
      <c r="FN57" s="6" t="n">
        <v>3999</v>
      </c>
      <c r="FO57" s="6" t="n">
        <v>4866</v>
      </c>
      <c r="FP57" s="6" t="n">
        <v>5501</v>
      </c>
      <c r="FQ57" s="6" t="n">
        <v>10000</v>
      </c>
      <c r="FR57" s="6" t="n">
        <v>10000</v>
      </c>
      <c r="FS57" s="6" t="n">
        <v>10000</v>
      </c>
      <c r="FT57" s="6" t="n">
        <v>10000</v>
      </c>
      <c r="FU57" s="6" t="n">
        <v>10000</v>
      </c>
      <c r="FV57" s="6" t="n">
        <v>10000</v>
      </c>
      <c r="FW57" s="6" t="n">
        <v>10000</v>
      </c>
      <c r="FX57" s="6" t="n">
        <v>10000</v>
      </c>
      <c r="FY57" s="6" t="n">
        <v>10000</v>
      </c>
      <c r="FZ57" s="6" t="n">
        <v>10000</v>
      </c>
      <c r="GA57" s="6" t="n">
        <v>10000</v>
      </c>
      <c r="GB57" s="6" t="n">
        <v>10000</v>
      </c>
      <c r="GC57" s="6" t="n">
        <v>9801</v>
      </c>
      <c r="GD57" s="6" t="n">
        <v>9801</v>
      </c>
      <c r="GE57" s="6" t="n">
        <v>8501</v>
      </c>
      <c r="GF57" s="6" t="n">
        <v>8501</v>
      </c>
      <c r="GG57" s="6" t="n">
        <v>8500</v>
      </c>
      <c r="GH57" s="6" t="n">
        <v>6501</v>
      </c>
      <c r="GI57" s="6" t="n">
        <v>5999</v>
      </c>
      <c r="GJ57" s="6" t="n">
        <v>4201</v>
      </c>
      <c r="GK57" s="6" t="n">
        <v>4201</v>
      </c>
      <c r="GL57" s="6" t="n">
        <v>4201</v>
      </c>
    </row>
    <row r="58">
      <c r="A58" s="6" t="inlineStr">
        <is>
          <t>GDAM</t>
        </is>
      </c>
      <c r="B58" s="6" t="n">
        <v>25</v>
      </c>
      <c r="C58" s="6" t="n">
        <v>3774</v>
      </c>
      <c r="D58" s="6" t="n">
        <v>3701</v>
      </c>
      <c r="E58" s="6" t="n">
        <v>3601</v>
      </c>
      <c r="F58" s="6" t="n">
        <v>3651</v>
      </c>
      <c r="G58" s="6" t="n">
        <v>3500</v>
      </c>
      <c r="H58" s="6" t="n">
        <v>3500</v>
      </c>
      <c r="I58" s="6" t="n">
        <v>3401</v>
      </c>
      <c r="J58" s="6" t="n">
        <v>3401</v>
      </c>
      <c r="K58" s="6" t="n">
        <v>3300</v>
      </c>
      <c r="L58" s="6" t="n">
        <v>3300</v>
      </c>
      <c r="M58" s="6" t="n">
        <v>3300</v>
      </c>
      <c r="N58" s="6" t="n">
        <v>3399</v>
      </c>
      <c r="O58" s="6" t="n">
        <v>3300</v>
      </c>
      <c r="P58" s="6" t="n">
        <v>3300</v>
      </c>
      <c r="Q58" s="6" t="n">
        <v>3300</v>
      </c>
      <c r="R58" s="6" t="n">
        <v>3300</v>
      </c>
      <c r="S58" s="6" t="n">
        <v>3300</v>
      </c>
      <c r="T58" s="6" t="n">
        <v>3300</v>
      </c>
      <c r="U58" s="6" t="n">
        <v>3301</v>
      </c>
      <c r="V58" s="6" t="n">
        <v>3491</v>
      </c>
      <c r="W58" s="6" t="n">
        <v>3501</v>
      </c>
      <c r="X58" s="6" t="n">
        <v>3846</v>
      </c>
      <c r="Y58" s="6" t="n">
        <v>3999</v>
      </c>
      <c r="Z58" s="6" t="n">
        <v>4000</v>
      </c>
      <c r="AA58" s="6" t="n">
        <v>4500</v>
      </c>
      <c r="AB58" s="6" t="n">
        <v>4501</v>
      </c>
      <c r="AC58" s="6" t="n">
        <v>4500</v>
      </c>
      <c r="AD58" s="6" t="n">
        <v>4201</v>
      </c>
      <c r="AE58" s="6" t="n">
        <v>4000</v>
      </c>
      <c r="AF58" s="6" t="n">
        <v>4000</v>
      </c>
      <c r="AG58" s="6" t="n">
        <v>2631</v>
      </c>
      <c r="AH58" s="6" t="n">
        <v>2381</v>
      </c>
      <c r="AI58" s="6" t="n">
        <v>2020</v>
      </c>
      <c r="AJ58" s="6" t="n">
        <v>1491</v>
      </c>
      <c r="AK58" s="6" t="n">
        <v>1297</v>
      </c>
      <c r="AL58" s="6" t="n">
        <v>1111</v>
      </c>
      <c r="AM58" s="6" t="n">
        <v>1296</v>
      </c>
      <c r="AN58" s="6" t="n">
        <v>1400</v>
      </c>
      <c r="AO58" s="6" t="n">
        <v>1500</v>
      </c>
      <c r="AP58" s="6" t="n">
        <v>1321</v>
      </c>
      <c r="AQ58" s="6" t="n">
        <v>1300</v>
      </c>
      <c r="AR58" s="6" t="n">
        <v>1420</v>
      </c>
      <c r="AS58" s="6" t="n">
        <v>1540</v>
      </c>
      <c r="AT58" s="6" t="n">
        <v>1540</v>
      </c>
      <c r="AU58" s="6" t="n">
        <v>1592</v>
      </c>
      <c r="AV58" s="6" t="n">
        <v>1600</v>
      </c>
      <c r="AW58" s="6" t="n">
        <v>1394</v>
      </c>
      <c r="AX58" s="6" t="n">
        <v>1587</v>
      </c>
      <c r="AY58" s="6" t="n">
        <v>1591</v>
      </c>
      <c r="AZ58" s="6" t="n">
        <v>1589</v>
      </c>
      <c r="BA58" s="6" t="n">
        <v>1599</v>
      </c>
      <c r="BB58" s="6" t="n">
        <v>1592</v>
      </c>
      <c r="BC58" s="6" t="n">
        <v>1281</v>
      </c>
      <c r="BD58" s="6" t="n">
        <v>1208</v>
      </c>
      <c r="BE58" s="6" t="n">
        <v>1540</v>
      </c>
      <c r="BF58" s="6" t="n">
        <v>1508</v>
      </c>
      <c r="BG58" s="6" t="n">
        <v>1848</v>
      </c>
      <c r="BH58" s="6" t="n">
        <v>1900</v>
      </c>
      <c r="BI58" s="6" t="n">
        <v>1998</v>
      </c>
      <c r="BJ58" s="6" t="n">
        <v>1965</v>
      </c>
      <c r="BK58" s="6" t="n">
        <v>1900</v>
      </c>
      <c r="BL58" s="6" t="n">
        <v>1901</v>
      </c>
      <c r="BM58" s="6" t="n">
        <v>1501</v>
      </c>
      <c r="BN58" s="6" t="n">
        <v>1899</v>
      </c>
      <c r="BO58" s="6" t="n">
        <v>2000</v>
      </c>
      <c r="BP58" s="6" t="n">
        <v>2082</v>
      </c>
      <c r="BQ58" s="6" t="n">
        <v>2380</v>
      </c>
      <c r="BR58" s="6" t="n">
        <v>2380</v>
      </c>
      <c r="BS58" s="6" t="n">
        <v>2881</v>
      </c>
      <c r="BT58" s="6" t="n">
        <v>3150</v>
      </c>
      <c r="BU58" s="6" t="n">
        <v>3500</v>
      </c>
      <c r="BV58" s="6" t="n">
        <v>4000</v>
      </c>
      <c r="BW58" s="6" t="n">
        <v>5100</v>
      </c>
      <c r="BX58" s="6" t="n">
        <v>5499</v>
      </c>
      <c r="BY58" s="6" t="n">
        <v>8499</v>
      </c>
      <c r="BZ58" s="6" t="n">
        <v>8500</v>
      </c>
      <c r="CA58" s="6" t="n">
        <v>10000</v>
      </c>
      <c r="CB58" s="6" t="n">
        <v>10000</v>
      </c>
      <c r="CC58" s="6" t="n">
        <v>10000</v>
      </c>
      <c r="CD58" s="6" t="n">
        <v>10000</v>
      </c>
      <c r="CE58" s="6" t="n">
        <v>10000</v>
      </c>
      <c r="CF58" s="6" t="n">
        <v>10000</v>
      </c>
      <c r="CG58" s="6" t="n">
        <v>8999</v>
      </c>
      <c r="CH58" s="6" t="n">
        <v>8999</v>
      </c>
      <c r="CI58" s="6" t="n">
        <v>8999</v>
      </c>
      <c r="CJ58" s="6" t="n">
        <v>8500</v>
      </c>
      <c r="CK58" s="6" t="n">
        <v>8499</v>
      </c>
      <c r="CL58" s="6" t="n">
        <v>8499</v>
      </c>
      <c r="CM58" s="6" t="n">
        <v>5000</v>
      </c>
      <c r="CN58" s="6" t="n">
        <v>4999</v>
      </c>
      <c r="CO58" s="6" t="n">
        <v>4500</v>
      </c>
      <c r="CP58" s="6" t="n">
        <v>4301</v>
      </c>
      <c r="CQ58" s="6" t="n">
        <v>4101</v>
      </c>
      <c r="CR58" s="6" t="n">
        <v>4101</v>
      </c>
      <c r="CS58" s="6" t="n">
        <v>4101</v>
      </c>
      <c r="CT58" s="6" t="n">
        <v>4001</v>
      </c>
      <c r="CU58" s="6" t="n">
        <v>3774</v>
      </c>
      <c r="CV58" s="6" t="n">
        <v>3701</v>
      </c>
      <c r="CW58" s="6" t="n">
        <v>3601</v>
      </c>
      <c r="CX58" s="6" t="n">
        <v>3651</v>
      </c>
      <c r="CY58" s="6" t="n">
        <v>3500</v>
      </c>
      <c r="CZ58" s="6" t="n">
        <v>3500</v>
      </c>
      <c r="DA58" s="6" t="n">
        <v>3401</v>
      </c>
      <c r="DB58" s="6" t="n">
        <v>3401</v>
      </c>
      <c r="DC58" s="6" t="n">
        <v>3300</v>
      </c>
      <c r="DD58" s="6" t="n">
        <v>3300</v>
      </c>
      <c r="DE58" s="6" t="n">
        <v>3300</v>
      </c>
      <c r="DF58" s="6" t="n">
        <v>3399</v>
      </c>
      <c r="DG58" s="6" t="n">
        <v>3300</v>
      </c>
      <c r="DH58" s="6" t="n">
        <v>3300</v>
      </c>
      <c r="DI58" s="6" t="n">
        <v>3300</v>
      </c>
      <c r="DJ58" s="6" t="n">
        <v>3300</v>
      </c>
      <c r="DK58" s="6" t="n">
        <v>3300</v>
      </c>
      <c r="DL58" s="6" t="n">
        <v>3300</v>
      </c>
      <c r="DM58" s="6" t="n">
        <v>3301</v>
      </c>
      <c r="DN58" s="6" t="n">
        <v>3491</v>
      </c>
      <c r="DO58" s="6" t="n">
        <v>3501</v>
      </c>
      <c r="DP58" s="6" t="n">
        <v>3846</v>
      </c>
      <c r="DQ58" s="6" t="n">
        <v>3999</v>
      </c>
      <c r="DR58" s="6" t="n">
        <v>4000</v>
      </c>
      <c r="DS58" s="6" t="n">
        <v>4500</v>
      </c>
      <c r="DT58" s="6" t="n">
        <v>4501</v>
      </c>
      <c r="DU58" s="6" t="n">
        <v>4500</v>
      </c>
      <c r="DV58" s="6" t="n">
        <v>4201</v>
      </c>
      <c r="DW58" s="6" t="n">
        <v>4000</v>
      </c>
      <c r="DX58" s="6" t="n">
        <v>4000</v>
      </c>
      <c r="DY58" s="6" t="n">
        <v>2631</v>
      </c>
      <c r="DZ58" s="6" t="n">
        <v>2381</v>
      </c>
      <c r="EA58" s="6" t="n">
        <v>2020</v>
      </c>
      <c r="EB58" s="6" t="n">
        <v>1491</v>
      </c>
      <c r="EC58" s="6" t="n">
        <v>1297</v>
      </c>
      <c r="ED58" s="6" t="n">
        <v>1111</v>
      </c>
      <c r="EE58" s="6" t="n">
        <v>1296</v>
      </c>
      <c r="EF58" s="6" t="n">
        <v>1400</v>
      </c>
      <c r="EG58" s="6" t="n">
        <v>1500</v>
      </c>
      <c r="EH58" s="6" t="n">
        <v>1321</v>
      </c>
      <c r="EI58" s="6" t="n">
        <v>1300</v>
      </c>
      <c r="EJ58" s="6" t="n">
        <v>1420</v>
      </c>
      <c r="EK58" s="6" t="n">
        <v>1540</v>
      </c>
      <c r="EL58" s="6" t="n">
        <v>1540</v>
      </c>
      <c r="EM58" s="6" t="n">
        <v>1592</v>
      </c>
      <c r="EN58" s="6" t="n">
        <v>1600</v>
      </c>
      <c r="EO58" s="6" t="n">
        <v>1394</v>
      </c>
      <c r="EP58" s="6" t="n">
        <v>1587</v>
      </c>
      <c r="EQ58" s="6" t="n">
        <v>1591</v>
      </c>
      <c r="ER58" s="6" t="n">
        <v>1589</v>
      </c>
      <c r="ES58" s="6" t="n">
        <v>1599</v>
      </c>
      <c r="ET58" s="6" t="n">
        <v>1592</v>
      </c>
      <c r="EU58" s="6" t="n">
        <v>1281</v>
      </c>
      <c r="EV58" s="6" t="n">
        <v>1208</v>
      </c>
      <c r="EW58" s="6" t="n">
        <v>1540</v>
      </c>
      <c r="EX58" s="6" t="n">
        <v>1508</v>
      </c>
      <c r="EY58" s="6" t="n">
        <v>1848</v>
      </c>
      <c r="EZ58" s="6" t="n">
        <v>1900</v>
      </c>
      <c r="FA58" s="6" t="n">
        <v>1998</v>
      </c>
      <c r="FB58" s="6" t="n">
        <v>1965</v>
      </c>
      <c r="FC58" s="6" t="n">
        <v>1900</v>
      </c>
      <c r="FD58" s="6" t="n">
        <v>1901</v>
      </c>
      <c r="FE58" s="6" t="n">
        <v>1501</v>
      </c>
      <c r="FF58" s="6" t="n">
        <v>1899</v>
      </c>
      <c r="FG58" s="6" t="n">
        <v>2000</v>
      </c>
      <c r="FH58" s="6" t="n">
        <v>2082</v>
      </c>
      <c r="FI58" s="6" t="n">
        <v>2380</v>
      </c>
      <c r="FJ58" s="6" t="n">
        <v>2380</v>
      </c>
      <c r="FK58" s="6" t="n">
        <v>2881</v>
      </c>
      <c r="FL58" s="6" t="n">
        <v>3150</v>
      </c>
      <c r="FM58" s="6" t="n">
        <v>3500</v>
      </c>
      <c r="FN58" s="6" t="n">
        <v>4000</v>
      </c>
      <c r="FO58" s="6" t="n">
        <v>5100</v>
      </c>
      <c r="FP58" s="6" t="n">
        <v>5499</v>
      </c>
      <c r="FQ58" s="6" t="n">
        <v>8499</v>
      </c>
      <c r="FR58" s="6" t="n">
        <v>8500</v>
      </c>
      <c r="FS58" s="6" t="n">
        <v>10000</v>
      </c>
      <c r="FT58" s="6" t="n">
        <v>10000</v>
      </c>
      <c r="FU58" s="6" t="n">
        <v>10000</v>
      </c>
      <c r="FV58" s="6" t="n">
        <v>10000</v>
      </c>
      <c r="FW58" s="6" t="n">
        <v>10000</v>
      </c>
      <c r="FX58" s="6" t="n">
        <v>10000</v>
      </c>
      <c r="FY58" s="6" t="n">
        <v>8999</v>
      </c>
      <c r="FZ58" s="6" t="n">
        <v>8999</v>
      </c>
      <c r="GA58" s="6" t="n">
        <v>8999</v>
      </c>
      <c r="GB58" s="6" t="n">
        <v>8500</v>
      </c>
      <c r="GC58" s="6" t="n">
        <v>8499</v>
      </c>
      <c r="GD58" s="6" t="n">
        <v>8499</v>
      </c>
      <c r="GE58" s="6" t="n">
        <v>5000</v>
      </c>
      <c r="GF58" s="6" t="n">
        <v>4999</v>
      </c>
      <c r="GG58" s="6" t="n">
        <v>4500</v>
      </c>
      <c r="GH58" s="6" t="n">
        <v>4301</v>
      </c>
      <c r="GI58" s="6" t="n">
        <v>4101</v>
      </c>
      <c r="GJ58" s="6" t="n">
        <v>4101</v>
      </c>
      <c r="GK58" s="6" t="n">
        <v>4101</v>
      </c>
      <c r="GL58" s="6" t="n">
        <v>4001</v>
      </c>
    </row>
    <row r="59">
      <c r="A59" s="6" t="inlineStr">
        <is>
          <t>GDAM</t>
        </is>
      </c>
      <c r="B59" s="6" t="n">
        <v>26</v>
      </c>
      <c r="C59" s="6" t="n">
        <v>3901</v>
      </c>
      <c r="D59" s="6" t="n">
        <v>3901</v>
      </c>
      <c r="E59" s="6" t="n">
        <v>4000</v>
      </c>
      <c r="F59" s="6" t="n">
        <v>4000</v>
      </c>
      <c r="G59" s="6" t="n">
        <v>4000</v>
      </c>
      <c r="H59" s="6" t="n">
        <v>4000</v>
      </c>
      <c r="I59" s="6" t="n">
        <v>4000</v>
      </c>
      <c r="J59" s="6" t="n">
        <v>4000</v>
      </c>
      <c r="K59" s="6" t="n">
        <v>4000</v>
      </c>
      <c r="L59" s="6" t="n">
        <v>4000</v>
      </c>
      <c r="M59" s="6" t="n">
        <v>4000</v>
      </c>
      <c r="N59" s="6" t="n">
        <v>4000</v>
      </c>
      <c r="O59" s="6" t="n">
        <v>4000</v>
      </c>
      <c r="P59" s="6" t="n">
        <v>4000</v>
      </c>
      <c r="Q59" s="6" t="n">
        <v>4000</v>
      </c>
      <c r="R59" s="6" t="n">
        <v>4000</v>
      </c>
      <c r="S59" s="6" t="n">
        <v>4000</v>
      </c>
      <c r="T59" s="6" t="n">
        <v>4000</v>
      </c>
      <c r="U59" s="6" t="n">
        <v>4000</v>
      </c>
      <c r="V59" s="6" t="n">
        <v>4000</v>
      </c>
      <c r="W59" s="6" t="n">
        <v>4000</v>
      </c>
      <c r="X59" s="6" t="n">
        <v>3500</v>
      </c>
      <c r="Y59" s="6" t="n">
        <v>3600</v>
      </c>
      <c r="Z59" s="6" t="n">
        <v>3999</v>
      </c>
      <c r="AA59" s="6" t="n">
        <v>4501</v>
      </c>
      <c r="AB59" s="6" t="n">
        <v>4501</v>
      </c>
      <c r="AC59" s="6" t="n">
        <v>4500</v>
      </c>
      <c r="AD59" s="6" t="n">
        <v>4500</v>
      </c>
      <c r="AE59" s="6" t="n">
        <v>4001</v>
      </c>
      <c r="AF59" s="6" t="n">
        <v>4000</v>
      </c>
      <c r="AG59" s="6" t="n">
        <v>3233</v>
      </c>
      <c r="AH59" s="6" t="n">
        <v>2779</v>
      </c>
      <c r="AI59" s="6" t="n">
        <v>2320</v>
      </c>
      <c r="AJ59" s="6" t="n">
        <v>2598</v>
      </c>
      <c r="AK59" s="6" t="n">
        <v>2310</v>
      </c>
      <c r="AL59" s="6" t="n">
        <v>2199</v>
      </c>
      <c r="AM59" s="6" t="n">
        <v>2131</v>
      </c>
      <c r="AN59" s="6" t="n">
        <v>2099</v>
      </c>
      <c r="AO59" s="6" t="n">
        <v>1800</v>
      </c>
      <c r="AP59" s="6" t="n">
        <v>2099</v>
      </c>
      <c r="AQ59" s="6" t="n">
        <v>1647</v>
      </c>
      <c r="AR59" s="6" t="n">
        <v>2010</v>
      </c>
      <c r="AS59" s="6" t="n">
        <v>2010</v>
      </c>
      <c r="AT59" s="6" t="n">
        <v>1840</v>
      </c>
      <c r="AU59" s="6" t="n">
        <v>1892</v>
      </c>
      <c r="AV59" s="6" t="n">
        <v>1900</v>
      </c>
      <c r="AW59" s="6" t="n">
        <v>2010</v>
      </c>
      <c r="AX59" s="6" t="n">
        <v>1887</v>
      </c>
      <c r="AY59" s="6" t="n">
        <v>2010</v>
      </c>
      <c r="AZ59" s="6" t="n">
        <v>2011</v>
      </c>
      <c r="BA59" s="6" t="n">
        <v>2010</v>
      </c>
      <c r="BB59" s="6" t="n">
        <v>2010</v>
      </c>
      <c r="BC59" s="6" t="n">
        <v>1581</v>
      </c>
      <c r="BD59" s="6" t="n">
        <v>1520</v>
      </c>
      <c r="BE59" s="6" t="n">
        <v>1840</v>
      </c>
      <c r="BF59" s="6" t="n">
        <v>2115</v>
      </c>
      <c r="BG59" s="6" t="n">
        <v>2148</v>
      </c>
      <c r="BH59" s="6" t="n">
        <v>2298</v>
      </c>
      <c r="BI59" s="6" t="n">
        <v>2300</v>
      </c>
      <c r="BJ59" s="6" t="n">
        <v>2299</v>
      </c>
      <c r="BK59" s="6" t="n">
        <v>2319</v>
      </c>
      <c r="BL59" s="6" t="n">
        <v>2319</v>
      </c>
      <c r="BM59" s="6" t="n">
        <v>2590</v>
      </c>
      <c r="BN59" s="6" t="n">
        <v>2591</v>
      </c>
      <c r="BO59" s="6" t="n">
        <v>2519</v>
      </c>
      <c r="BP59" s="6" t="n">
        <v>2619</v>
      </c>
      <c r="BQ59" s="6" t="n">
        <v>2739</v>
      </c>
      <c r="BR59" s="6" t="n">
        <v>2900</v>
      </c>
      <c r="BS59" s="6" t="n">
        <v>2881</v>
      </c>
      <c r="BT59" s="6" t="n">
        <v>3149</v>
      </c>
      <c r="BU59" s="6" t="n">
        <v>3500</v>
      </c>
      <c r="BV59" s="6" t="n">
        <v>4000</v>
      </c>
      <c r="BW59" s="6" t="n">
        <v>5281</v>
      </c>
      <c r="BX59" s="6" t="n">
        <v>10000</v>
      </c>
      <c r="BY59" s="6" t="n">
        <v>10000</v>
      </c>
      <c r="BZ59" s="6" t="n">
        <v>10000</v>
      </c>
      <c r="CA59" s="6" t="n">
        <v>10000</v>
      </c>
      <c r="CB59" s="6" t="n">
        <v>10000</v>
      </c>
      <c r="CC59" s="6" t="n">
        <v>10000</v>
      </c>
      <c r="CD59" s="6" t="n">
        <v>10000</v>
      </c>
      <c r="CE59" s="6" t="n">
        <v>10000</v>
      </c>
      <c r="CF59" s="6" t="n">
        <v>10000</v>
      </c>
      <c r="CG59" s="6" t="n">
        <v>10000</v>
      </c>
      <c r="CH59" s="6" t="n">
        <v>10000</v>
      </c>
      <c r="CI59" s="6" t="n">
        <v>8201</v>
      </c>
      <c r="CJ59" s="6" t="n">
        <v>6062</v>
      </c>
      <c r="CK59" s="6" t="n">
        <v>6001</v>
      </c>
      <c r="CL59" s="6" t="n">
        <v>6001</v>
      </c>
      <c r="CM59" s="6" t="n">
        <v>4800</v>
      </c>
      <c r="CN59" s="6" t="n">
        <v>4799</v>
      </c>
      <c r="CO59" s="6" t="n">
        <v>4552</v>
      </c>
      <c r="CP59" s="6" t="n">
        <v>4501</v>
      </c>
      <c r="CQ59" s="6" t="n">
        <v>4501</v>
      </c>
      <c r="CR59" s="6" t="n">
        <v>4500</v>
      </c>
      <c r="CS59" s="6" t="n">
        <v>4500</v>
      </c>
      <c r="CT59" s="6" t="n">
        <v>4301</v>
      </c>
      <c r="CU59" s="6" t="n">
        <v>3901</v>
      </c>
      <c r="CV59" s="6" t="n">
        <v>3901</v>
      </c>
      <c r="CW59" s="6" t="n">
        <v>4000</v>
      </c>
      <c r="CX59" s="6" t="n">
        <v>4000</v>
      </c>
      <c r="CY59" s="6" t="n">
        <v>4000</v>
      </c>
      <c r="CZ59" s="6" t="n">
        <v>4000</v>
      </c>
      <c r="DA59" s="6" t="n">
        <v>4000</v>
      </c>
      <c r="DB59" s="6" t="n">
        <v>4000</v>
      </c>
      <c r="DC59" s="6" t="n">
        <v>4000</v>
      </c>
      <c r="DD59" s="6" t="n">
        <v>4000</v>
      </c>
      <c r="DE59" s="6" t="n">
        <v>4000</v>
      </c>
      <c r="DF59" s="6" t="n">
        <v>4000</v>
      </c>
      <c r="DG59" s="6" t="n">
        <v>4000</v>
      </c>
      <c r="DH59" s="6" t="n">
        <v>4000</v>
      </c>
      <c r="DI59" s="6" t="n">
        <v>4000</v>
      </c>
      <c r="DJ59" s="6" t="n">
        <v>4000</v>
      </c>
      <c r="DK59" s="6" t="n">
        <v>4000</v>
      </c>
      <c r="DL59" s="6" t="n">
        <v>4000</v>
      </c>
      <c r="DM59" s="6" t="n">
        <v>4000</v>
      </c>
      <c r="DN59" s="6" t="n">
        <v>4000</v>
      </c>
      <c r="DO59" s="6" t="n">
        <v>4000</v>
      </c>
      <c r="DP59" s="6" t="n">
        <v>3500</v>
      </c>
      <c r="DQ59" s="6" t="n">
        <v>3600</v>
      </c>
      <c r="DR59" s="6" t="n">
        <v>3999</v>
      </c>
      <c r="DS59" s="6" t="n">
        <v>4501</v>
      </c>
      <c r="DT59" s="6" t="n">
        <v>4501</v>
      </c>
      <c r="DU59" s="6" t="n">
        <v>4500</v>
      </c>
      <c r="DV59" s="6" t="n">
        <v>4500</v>
      </c>
      <c r="DW59" s="6" t="n">
        <v>4001</v>
      </c>
      <c r="DX59" s="6" t="n">
        <v>4000</v>
      </c>
      <c r="DY59" s="6" t="n">
        <v>3233</v>
      </c>
      <c r="DZ59" s="6" t="n">
        <v>2779</v>
      </c>
      <c r="EA59" s="6" t="n">
        <v>2320</v>
      </c>
      <c r="EB59" s="6" t="n">
        <v>2598</v>
      </c>
      <c r="EC59" s="6" t="n">
        <v>2310</v>
      </c>
      <c r="ED59" s="6" t="n">
        <v>2199</v>
      </c>
      <c r="EE59" s="6" t="n">
        <v>2131</v>
      </c>
      <c r="EF59" s="6" t="n">
        <v>2099</v>
      </c>
      <c r="EG59" s="6" t="n">
        <v>1800</v>
      </c>
      <c r="EH59" s="6" t="n">
        <v>2099</v>
      </c>
      <c r="EI59" s="6" t="n">
        <v>1647</v>
      </c>
      <c r="EJ59" s="6" t="n">
        <v>2010</v>
      </c>
      <c r="EK59" s="6" t="n">
        <v>2010</v>
      </c>
      <c r="EL59" s="6" t="n">
        <v>1840</v>
      </c>
      <c r="EM59" s="6" t="n">
        <v>1892</v>
      </c>
      <c r="EN59" s="6" t="n">
        <v>1900</v>
      </c>
      <c r="EO59" s="6" t="n">
        <v>2010</v>
      </c>
      <c r="EP59" s="6" t="n">
        <v>1887</v>
      </c>
      <c r="EQ59" s="6" t="n">
        <v>2010</v>
      </c>
      <c r="ER59" s="6" t="n">
        <v>2011</v>
      </c>
      <c r="ES59" s="6" t="n">
        <v>2010</v>
      </c>
      <c r="ET59" s="6" t="n">
        <v>2010</v>
      </c>
      <c r="EU59" s="6" t="n">
        <v>1581</v>
      </c>
      <c r="EV59" s="6" t="n">
        <v>1520</v>
      </c>
      <c r="EW59" s="6" t="n">
        <v>1840</v>
      </c>
      <c r="EX59" s="6" t="n">
        <v>2115</v>
      </c>
      <c r="EY59" s="6" t="n">
        <v>2148</v>
      </c>
      <c r="EZ59" s="6" t="n">
        <v>2298</v>
      </c>
      <c r="FA59" s="6" t="n">
        <v>2300</v>
      </c>
      <c r="FB59" s="6" t="n">
        <v>2299</v>
      </c>
      <c r="FC59" s="6" t="n">
        <v>2319</v>
      </c>
      <c r="FD59" s="6" t="n">
        <v>2319</v>
      </c>
      <c r="FE59" s="6" t="n">
        <v>2590</v>
      </c>
      <c r="FF59" s="6" t="n">
        <v>2591</v>
      </c>
      <c r="FG59" s="6" t="n">
        <v>2519</v>
      </c>
      <c r="FH59" s="6" t="n">
        <v>2619</v>
      </c>
      <c r="FI59" s="6" t="n">
        <v>2739</v>
      </c>
      <c r="FJ59" s="6" t="n">
        <v>2900</v>
      </c>
      <c r="FK59" s="6" t="n">
        <v>2881</v>
      </c>
      <c r="FL59" s="6" t="n">
        <v>3149</v>
      </c>
      <c r="FM59" s="6" t="n">
        <v>3500</v>
      </c>
      <c r="FN59" s="6" t="n">
        <v>4000</v>
      </c>
      <c r="FO59" s="6" t="n">
        <v>5281</v>
      </c>
      <c r="FP59" s="6" t="n">
        <v>10000</v>
      </c>
      <c r="FQ59" s="6" t="n">
        <v>10000</v>
      </c>
      <c r="FR59" s="6" t="n">
        <v>10000</v>
      </c>
      <c r="FS59" s="6" t="n">
        <v>10000</v>
      </c>
      <c r="FT59" s="6" t="n">
        <v>10000</v>
      </c>
      <c r="FU59" s="6" t="n">
        <v>10000</v>
      </c>
      <c r="FV59" s="6" t="n">
        <v>10000</v>
      </c>
      <c r="FW59" s="6" t="n">
        <v>10000</v>
      </c>
      <c r="FX59" s="6" t="n">
        <v>10000</v>
      </c>
      <c r="FY59" s="6" t="n">
        <v>10000</v>
      </c>
      <c r="FZ59" s="6" t="n">
        <v>10000</v>
      </c>
      <c r="GA59" s="6" t="n">
        <v>8201</v>
      </c>
      <c r="GB59" s="6" t="n">
        <v>6062</v>
      </c>
      <c r="GC59" s="6" t="n">
        <v>6001</v>
      </c>
      <c r="GD59" s="6" t="n">
        <v>6001</v>
      </c>
      <c r="GE59" s="6" t="n">
        <v>4800</v>
      </c>
      <c r="GF59" s="6" t="n">
        <v>4799</v>
      </c>
      <c r="GG59" s="6" t="n">
        <v>4552</v>
      </c>
      <c r="GH59" s="6" t="n">
        <v>4501</v>
      </c>
      <c r="GI59" s="6" t="n">
        <v>4501</v>
      </c>
      <c r="GJ59" s="6" t="n">
        <v>4500</v>
      </c>
      <c r="GK59" s="6" t="n">
        <v>4500</v>
      </c>
      <c r="GL59" s="6" t="n">
        <v>4301</v>
      </c>
    </row>
    <row r="60">
      <c r="A60" s="6" t="inlineStr">
        <is>
          <t>GDAM</t>
        </is>
      </c>
      <c r="B60" s="6" t="n">
        <v>27</v>
      </c>
      <c r="C60" s="6" t="n">
        <v>4151</v>
      </c>
      <c r="D60" s="6" t="n">
        <v>4150</v>
      </c>
      <c r="E60" s="6" t="n">
        <v>4399</v>
      </c>
      <c r="F60" s="6" t="n">
        <v>4201</v>
      </c>
      <c r="G60" s="6" t="n">
        <v>4001</v>
      </c>
      <c r="H60" s="6" t="n">
        <v>4001</v>
      </c>
      <c r="I60" s="6" t="n">
        <v>4000</v>
      </c>
      <c r="J60" s="6" t="n">
        <v>4000</v>
      </c>
      <c r="K60" s="6" t="n">
        <v>4000</v>
      </c>
      <c r="L60" s="6" t="n">
        <v>4000</v>
      </c>
      <c r="M60" s="6" t="n">
        <v>4000</v>
      </c>
      <c r="N60" s="6" t="n">
        <v>4000</v>
      </c>
      <c r="O60" s="6" t="n">
        <v>4000</v>
      </c>
      <c r="P60" s="6" t="n">
        <v>4000</v>
      </c>
      <c r="Q60" s="6" t="n">
        <v>4000</v>
      </c>
      <c r="R60" s="6" t="n">
        <v>4000</v>
      </c>
      <c r="S60" s="6" t="n">
        <v>3700</v>
      </c>
      <c r="T60" s="6" t="n">
        <v>3700</v>
      </c>
      <c r="U60" s="6" t="n">
        <v>3700</v>
      </c>
      <c r="V60" s="6" t="n">
        <v>3700</v>
      </c>
      <c r="W60" s="6" t="n">
        <v>3699</v>
      </c>
      <c r="X60" s="6" t="n">
        <v>3300</v>
      </c>
      <c r="Y60" s="6" t="n">
        <v>3501</v>
      </c>
      <c r="Z60" s="6" t="n">
        <v>3501</v>
      </c>
      <c r="AA60" s="6" t="n">
        <v>4152</v>
      </c>
      <c r="AB60" s="6" t="n">
        <v>4102</v>
      </c>
      <c r="AC60" s="6" t="n">
        <v>4001</v>
      </c>
      <c r="AD60" s="6" t="n">
        <v>4001</v>
      </c>
      <c r="AE60" s="6" t="n">
        <v>4000</v>
      </c>
      <c r="AF60" s="6" t="n">
        <v>3301</v>
      </c>
      <c r="AG60" s="6" t="n">
        <v>2830</v>
      </c>
      <c r="AH60" s="6" t="n">
        <v>2120</v>
      </c>
      <c r="AI60" s="6" t="n">
        <v>1999</v>
      </c>
      <c r="AJ60" s="6" t="n">
        <v>1990</v>
      </c>
      <c r="AK60" s="6" t="n">
        <v>1500</v>
      </c>
      <c r="AL60" s="6" t="n">
        <v>1420</v>
      </c>
      <c r="AM60" s="6" t="n">
        <v>1320</v>
      </c>
      <c r="AN60" s="6" t="n">
        <v>1829</v>
      </c>
      <c r="AO60" s="6" t="n">
        <v>1501</v>
      </c>
      <c r="AP60" s="6" t="n">
        <v>1829</v>
      </c>
      <c r="AQ60" s="6" t="n">
        <v>1420</v>
      </c>
      <c r="AR60" s="6" t="n">
        <v>1108</v>
      </c>
      <c r="AS60" s="6" t="n">
        <v>1420</v>
      </c>
      <c r="AT60" s="6" t="n">
        <v>1500</v>
      </c>
      <c r="AU60" s="6" t="n">
        <v>1799</v>
      </c>
      <c r="AV60" s="6" t="n">
        <v>1830</v>
      </c>
      <c r="AW60" s="6" t="n">
        <v>1830</v>
      </c>
      <c r="AX60" s="6" t="n">
        <v>1830</v>
      </c>
      <c r="AY60" s="6" t="n">
        <v>1831</v>
      </c>
      <c r="AZ60" s="6" t="n">
        <v>1831</v>
      </c>
      <c r="BA60" s="6" t="n">
        <v>1831</v>
      </c>
      <c r="BB60" s="6" t="n">
        <v>1831</v>
      </c>
      <c r="BC60" s="6" t="n">
        <v>1513</v>
      </c>
      <c r="BD60" s="6" t="n">
        <v>1520</v>
      </c>
      <c r="BE60" s="6" t="n">
        <v>1830</v>
      </c>
      <c r="BF60" s="6" t="n">
        <v>1830</v>
      </c>
      <c r="BG60" s="6" t="n">
        <v>1868</v>
      </c>
      <c r="BH60" s="6" t="n">
        <v>1999</v>
      </c>
      <c r="BI60" s="6" t="n">
        <v>1999</v>
      </c>
      <c r="BJ60" s="6" t="n">
        <v>1998</v>
      </c>
      <c r="BK60" s="6" t="n">
        <v>1999</v>
      </c>
      <c r="BL60" s="6" t="n">
        <v>2000</v>
      </c>
      <c r="BM60" s="6" t="n">
        <v>2059</v>
      </c>
      <c r="BN60" s="6" t="n">
        <v>2219</v>
      </c>
      <c r="BO60" s="6" t="n">
        <v>2219</v>
      </c>
      <c r="BP60" s="6" t="n">
        <v>2380</v>
      </c>
      <c r="BQ60" s="6" t="n">
        <v>2738</v>
      </c>
      <c r="BR60" s="6" t="n">
        <v>2899</v>
      </c>
      <c r="BS60" s="6" t="n">
        <v>2880</v>
      </c>
      <c r="BT60" s="6" t="n">
        <v>3149</v>
      </c>
      <c r="BU60" s="6" t="n">
        <v>3500</v>
      </c>
      <c r="BV60" s="6" t="n">
        <v>4000</v>
      </c>
      <c r="BW60" s="6" t="n">
        <v>5100</v>
      </c>
      <c r="BX60" s="6" t="n">
        <v>6999</v>
      </c>
      <c r="BY60" s="6" t="n">
        <v>10000</v>
      </c>
      <c r="BZ60" s="6" t="n">
        <v>10000</v>
      </c>
      <c r="CA60" s="6" t="n">
        <v>10000</v>
      </c>
      <c r="CB60" s="6" t="n">
        <v>10000</v>
      </c>
      <c r="CC60" s="6" t="n">
        <v>10000</v>
      </c>
      <c r="CD60" s="6" t="n">
        <v>10000</v>
      </c>
      <c r="CE60" s="6" t="n">
        <v>10000</v>
      </c>
      <c r="CF60" s="6" t="n">
        <v>10000</v>
      </c>
      <c r="CG60" s="6" t="n">
        <v>10000</v>
      </c>
      <c r="CH60" s="6" t="n">
        <v>8101</v>
      </c>
      <c r="CI60" s="6" t="n">
        <v>7701</v>
      </c>
      <c r="CJ60" s="6" t="n">
        <v>7700</v>
      </c>
      <c r="CK60" s="6" t="n">
        <v>6001</v>
      </c>
      <c r="CL60" s="6" t="n">
        <v>5602</v>
      </c>
      <c r="CM60" s="6" t="n">
        <v>4401</v>
      </c>
      <c r="CN60" s="6" t="n">
        <v>4401</v>
      </c>
      <c r="CO60" s="6" t="n">
        <v>4401</v>
      </c>
      <c r="CP60" s="6" t="n">
        <v>4401</v>
      </c>
      <c r="CQ60" s="6" t="n">
        <v>4401</v>
      </c>
      <c r="CR60" s="6" t="n">
        <v>4401</v>
      </c>
      <c r="CS60" s="6" t="n">
        <v>4301</v>
      </c>
      <c r="CT60" s="6" t="n">
        <v>4301</v>
      </c>
      <c r="CU60" s="6" t="n">
        <v>4151</v>
      </c>
      <c r="CV60" s="6" t="n">
        <v>4150</v>
      </c>
      <c r="CW60" s="6" t="n">
        <v>4399</v>
      </c>
      <c r="CX60" s="6" t="n">
        <v>4201</v>
      </c>
      <c r="CY60" s="6" t="n">
        <v>4001</v>
      </c>
      <c r="CZ60" s="6" t="n">
        <v>4001</v>
      </c>
      <c r="DA60" s="6" t="n">
        <v>4000</v>
      </c>
      <c r="DB60" s="6" t="n">
        <v>4000</v>
      </c>
      <c r="DC60" s="6" t="n">
        <v>4000</v>
      </c>
      <c r="DD60" s="6" t="n">
        <v>4000</v>
      </c>
      <c r="DE60" s="6" t="n">
        <v>4000</v>
      </c>
      <c r="DF60" s="6" t="n">
        <v>4000</v>
      </c>
      <c r="DG60" s="6" t="n">
        <v>4000</v>
      </c>
      <c r="DH60" s="6" t="n">
        <v>4000</v>
      </c>
      <c r="DI60" s="6" t="n">
        <v>4000</v>
      </c>
      <c r="DJ60" s="6" t="n">
        <v>4000</v>
      </c>
      <c r="DK60" s="6" t="n">
        <v>3700</v>
      </c>
      <c r="DL60" s="6" t="n">
        <v>3700</v>
      </c>
      <c r="DM60" s="6" t="n">
        <v>3700</v>
      </c>
      <c r="DN60" s="6" t="n">
        <v>3700</v>
      </c>
      <c r="DO60" s="6" t="n">
        <v>3699</v>
      </c>
      <c r="DP60" s="6" t="n">
        <v>3300</v>
      </c>
      <c r="DQ60" s="6" t="n">
        <v>3501</v>
      </c>
      <c r="DR60" s="6" t="n">
        <v>3501</v>
      </c>
      <c r="DS60" s="6" t="n">
        <v>4152</v>
      </c>
      <c r="DT60" s="6" t="n">
        <v>4102</v>
      </c>
      <c r="DU60" s="6" t="n">
        <v>4001</v>
      </c>
      <c r="DV60" s="6" t="n">
        <v>4001</v>
      </c>
      <c r="DW60" s="6" t="n">
        <v>4000</v>
      </c>
      <c r="DX60" s="6" t="n">
        <v>3301</v>
      </c>
      <c r="DY60" s="6" t="n">
        <v>2830</v>
      </c>
      <c r="DZ60" s="6" t="n">
        <v>2120</v>
      </c>
      <c r="EA60" s="6" t="n">
        <v>1999</v>
      </c>
      <c r="EB60" s="6" t="n">
        <v>1990</v>
      </c>
      <c r="EC60" s="6" t="n">
        <v>1500</v>
      </c>
      <c r="ED60" s="6" t="n">
        <v>1420</v>
      </c>
      <c r="EE60" s="6" t="n">
        <v>1320</v>
      </c>
      <c r="EF60" s="6" t="n">
        <v>1829</v>
      </c>
      <c r="EG60" s="6" t="n">
        <v>1501</v>
      </c>
      <c r="EH60" s="6" t="n">
        <v>1829</v>
      </c>
      <c r="EI60" s="6" t="n">
        <v>1420</v>
      </c>
      <c r="EJ60" s="6" t="n">
        <v>1108</v>
      </c>
      <c r="EK60" s="6" t="n">
        <v>1420</v>
      </c>
      <c r="EL60" s="6" t="n">
        <v>1500</v>
      </c>
      <c r="EM60" s="6" t="n">
        <v>1799</v>
      </c>
      <c r="EN60" s="6" t="n">
        <v>1830</v>
      </c>
      <c r="EO60" s="6" t="n">
        <v>1830</v>
      </c>
      <c r="EP60" s="6" t="n">
        <v>1830</v>
      </c>
      <c r="EQ60" s="6" t="n">
        <v>1831</v>
      </c>
      <c r="ER60" s="6" t="n">
        <v>1831</v>
      </c>
      <c r="ES60" s="6" t="n">
        <v>1831</v>
      </c>
      <c r="ET60" s="6" t="n">
        <v>1831</v>
      </c>
      <c r="EU60" s="6" t="n">
        <v>1513</v>
      </c>
      <c r="EV60" s="6" t="n">
        <v>1520</v>
      </c>
      <c r="EW60" s="6" t="n">
        <v>1830</v>
      </c>
      <c r="EX60" s="6" t="n">
        <v>1830</v>
      </c>
      <c r="EY60" s="6" t="n">
        <v>1868</v>
      </c>
      <c r="EZ60" s="6" t="n">
        <v>1999</v>
      </c>
      <c r="FA60" s="6" t="n">
        <v>1999</v>
      </c>
      <c r="FB60" s="6" t="n">
        <v>1998</v>
      </c>
      <c r="FC60" s="6" t="n">
        <v>1999</v>
      </c>
      <c r="FD60" s="6" t="n">
        <v>2000</v>
      </c>
      <c r="FE60" s="6" t="n">
        <v>2059</v>
      </c>
      <c r="FF60" s="6" t="n">
        <v>2219</v>
      </c>
      <c r="FG60" s="6" t="n">
        <v>2219</v>
      </c>
      <c r="FH60" s="6" t="n">
        <v>2380</v>
      </c>
      <c r="FI60" s="6" t="n">
        <v>2738</v>
      </c>
      <c r="FJ60" s="6" t="n">
        <v>2899</v>
      </c>
      <c r="FK60" s="6" t="n">
        <v>2880</v>
      </c>
      <c r="FL60" s="6" t="n">
        <v>3149</v>
      </c>
      <c r="FM60" s="6" t="n">
        <v>3500</v>
      </c>
      <c r="FN60" s="6" t="n">
        <v>4000</v>
      </c>
      <c r="FO60" s="6" t="n">
        <v>5100</v>
      </c>
      <c r="FP60" s="6" t="n">
        <v>6999</v>
      </c>
      <c r="FQ60" s="6" t="n">
        <v>10000</v>
      </c>
      <c r="FR60" s="6" t="n">
        <v>10000</v>
      </c>
      <c r="FS60" s="6" t="n">
        <v>10000</v>
      </c>
      <c r="FT60" s="6" t="n">
        <v>10000</v>
      </c>
      <c r="FU60" s="6" t="n">
        <v>10000</v>
      </c>
      <c r="FV60" s="6" t="n">
        <v>10000</v>
      </c>
      <c r="FW60" s="6" t="n">
        <v>10000</v>
      </c>
      <c r="FX60" s="6" t="n">
        <v>10000</v>
      </c>
      <c r="FY60" s="6" t="n">
        <v>10000</v>
      </c>
      <c r="FZ60" s="6" t="n">
        <v>8101</v>
      </c>
      <c r="GA60" s="6" t="n">
        <v>7701</v>
      </c>
      <c r="GB60" s="6" t="n">
        <v>7700</v>
      </c>
      <c r="GC60" s="6" t="n">
        <v>6001</v>
      </c>
      <c r="GD60" s="6" t="n">
        <v>5602</v>
      </c>
      <c r="GE60" s="6" t="n">
        <v>4401</v>
      </c>
      <c r="GF60" s="6" t="n">
        <v>4401</v>
      </c>
      <c r="GG60" s="6" t="n">
        <v>4401</v>
      </c>
      <c r="GH60" s="6" t="n">
        <v>4401</v>
      </c>
      <c r="GI60" s="6" t="n">
        <v>4401</v>
      </c>
      <c r="GJ60" s="6" t="n">
        <v>4401</v>
      </c>
      <c r="GK60" s="6" t="n">
        <v>4301</v>
      </c>
      <c r="GL60" s="6" t="n">
        <v>4301</v>
      </c>
    </row>
    <row r="61">
      <c r="A61" s="6" t="inlineStr">
        <is>
          <t>GDAM</t>
        </is>
      </c>
      <c r="B61" s="6" t="n">
        <v>28</v>
      </c>
      <c r="C61" s="6" t="n">
        <v>4000</v>
      </c>
      <c r="D61" s="6" t="n">
        <v>4000</v>
      </c>
      <c r="E61" s="6" t="n">
        <v>4000</v>
      </c>
      <c r="F61" s="6" t="n">
        <v>3999</v>
      </c>
      <c r="G61" s="6" t="n">
        <v>3999</v>
      </c>
      <c r="H61" s="6" t="n">
        <v>3999</v>
      </c>
      <c r="I61" s="6" t="n">
        <v>3775</v>
      </c>
      <c r="J61" s="6" t="n">
        <v>3700</v>
      </c>
      <c r="K61" s="6" t="n">
        <v>3700</v>
      </c>
      <c r="L61" s="6" t="n">
        <v>3700</v>
      </c>
      <c r="M61" s="6" t="n">
        <v>3700</v>
      </c>
      <c r="N61" s="6" t="n">
        <v>3700</v>
      </c>
      <c r="O61" s="6" t="n">
        <v>3600</v>
      </c>
      <c r="P61" s="6" t="n">
        <v>3600</v>
      </c>
      <c r="Q61" s="6" t="n">
        <v>3600</v>
      </c>
      <c r="R61" s="6" t="n">
        <v>3599</v>
      </c>
      <c r="S61" s="6" t="n">
        <v>3600</v>
      </c>
      <c r="T61" s="6" t="n">
        <v>3600</v>
      </c>
      <c r="U61" s="6" t="n">
        <v>3600</v>
      </c>
      <c r="V61" s="6" t="n">
        <v>3600</v>
      </c>
      <c r="W61" s="6" t="n">
        <v>3500</v>
      </c>
      <c r="X61" s="6" t="n">
        <v>3501</v>
      </c>
      <c r="Y61" s="6" t="n">
        <v>3501</v>
      </c>
      <c r="Z61" s="6" t="n">
        <v>3501</v>
      </c>
      <c r="AA61" s="6" t="n">
        <v>3800</v>
      </c>
      <c r="AB61" s="6" t="n">
        <v>4000</v>
      </c>
      <c r="AC61" s="6" t="n">
        <v>4000</v>
      </c>
      <c r="AD61" s="6" t="n">
        <v>4000</v>
      </c>
      <c r="AE61" s="6" t="n">
        <v>3946</v>
      </c>
      <c r="AF61" s="6" t="n">
        <v>3189</v>
      </c>
      <c r="AG61" s="6" t="n">
        <v>2810</v>
      </c>
      <c r="AH61" s="6" t="n">
        <v>2439</v>
      </c>
      <c r="AI61" s="6" t="n">
        <v>2115</v>
      </c>
      <c r="AJ61" s="6" t="n">
        <v>1499</v>
      </c>
      <c r="AK61" s="6" t="n">
        <v>1001</v>
      </c>
      <c r="AL61" s="6" t="n">
        <v>901</v>
      </c>
      <c r="AM61" s="6" t="n">
        <v>931</v>
      </c>
      <c r="AN61" s="6" t="n">
        <v>1001</v>
      </c>
      <c r="AO61" s="6" t="n">
        <v>1119</v>
      </c>
      <c r="AP61" s="6" t="n">
        <v>1001</v>
      </c>
      <c r="AQ61" s="6" t="n">
        <v>1001</v>
      </c>
      <c r="AR61" s="6" t="n">
        <v>1100</v>
      </c>
      <c r="AS61" s="6" t="n">
        <v>1107</v>
      </c>
      <c r="AT61" s="6" t="n">
        <v>1103</v>
      </c>
      <c r="AU61" s="6" t="n">
        <v>1001</v>
      </c>
      <c r="AV61" s="6" t="n">
        <v>1001</v>
      </c>
      <c r="AW61" s="6" t="n">
        <v>1000</v>
      </c>
      <c r="AX61" s="6" t="n">
        <v>1000</v>
      </c>
      <c r="AY61" s="6" t="n">
        <v>1000</v>
      </c>
      <c r="AZ61" s="6" t="n">
        <v>1000</v>
      </c>
      <c r="BA61" s="6" t="n">
        <v>1000</v>
      </c>
      <c r="BB61" s="6" t="n">
        <v>1000</v>
      </c>
      <c r="BC61" s="6" t="n">
        <v>999</v>
      </c>
      <c r="BD61" s="6" t="n">
        <v>999</v>
      </c>
      <c r="BE61" s="6" t="n">
        <v>1000</v>
      </c>
      <c r="BF61" s="6" t="n">
        <v>1000</v>
      </c>
      <c r="BG61" s="6" t="n">
        <v>1001</v>
      </c>
      <c r="BH61" s="6" t="n">
        <v>1001</v>
      </c>
      <c r="BI61" s="6" t="n">
        <v>1000</v>
      </c>
      <c r="BJ61" s="6" t="n">
        <v>931</v>
      </c>
      <c r="BK61" s="6" t="n">
        <v>1001</v>
      </c>
      <c r="BL61" s="6" t="n">
        <v>1001</v>
      </c>
      <c r="BM61" s="6" t="n">
        <v>1102</v>
      </c>
      <c r="BN61" s="6" t="n">
        <v>1012</v>
      </c>
      <c r="BO61" s="6" t="n">
        <v>701</v>
      </c>
      <c r="BP61" s="6" t="n">
        <v>901</v>
      </c>
      <c r="BQ61" s="6" t="n">
        <v>1400</v>
      </c>
      <c r="BR61" s="6" t="n">
        <v>1500</v>
      </c>
      <c r="BS61" s="6" t="n">
        <v>1819</v>
      </c>
      <c r="BT61" s="6" t="n">
        <v>2318</v>
      </c>
      <c r="BU61" s="6" t="n">
        <v>2448</v>
      </c>
      <c r="BV61" s="6" t="n">
        <v>2801</v>
      </c>
      <c r="BW61" s="6" t="n">
        <v>3600</v>
      </c>
      <c r="BX61" s="6" t="n">
        <v>3601</v>
      </c>
      <c r="BY61" s="6" t="n">
        <v>4101</v>
      </c>
      <c r="BZ61" s="6" t="n">
        <v>4200</v>
      </c>
      <c r="CA61" s="6" t="n">
        <v>5100</v>
      </c>
      <c r="CB61" s="6" t="n">
        <v>5100</v>
      </c>
      <c r="CC61" s="6" t="n">
        <v>5100</v>
      </c>
      <c r="CD61" s="6" t="n">
        <v>5100</v>
      </c>
      <c r="CE61" s="6" t="n">
        <v>5000</v>
      </c>
      <c r="CF61" s="6" t="n">
        <v>5000</v>
      </c>
      <c r="CG61" s="6" t="n">
        <v>4951</v>
      </c>
      <c r="CH61" s="6" t="n">
        <v>4951</v>
      </c>
      <c r="CI61" s="6" t="n">
        <v>4950</v>
      </c>
      <c r="CJ61" s="6" t="n">
        <v>4699</v>
      </c>
      <c r="CK61" s="6" t="n">
        <v>4499</v>
      </c>
      <c r="CL61" s="6" t="n">
        <v>4499</v>
      </c>
      <c r="CM61" s="6" t="n">
        <v>4000</v>
      </c>
      <c r="CN61" s="6" t="n">
        <v>4000</v>
      </c>
      <c r="CO61" s="6" t="n">
        <v>4000</v>
      </c>
      <c r="CP61" s="6" t="n">
        <v>4000</v>
      </c>
      <c r="CQ61" s="6" t="n">
        <v>3799</v>
      </c>
      <c r="CR61" s="6" t="n">
        <v>3699</v>
      </c>
      <c r="CS61" s="6" t="n">
        <v>3699</v>
      </c>
      <c r="CT61" s="6" t="n">
        <v>3699</v>
      </c>
      <c r="CU61" s="6" t="n">
        <v>4000</v>
      </c>
      <c r="CV61" s="6" t="n">
        <v>4000</v>
      </c>
      <c r="CW61" s="6" t="n">
        <v>4000</v>
      </c>
      <c r="CX61" s="6" t="n">
        <v>3999</v>
      </c>
      <c r="CY61" s="6" t="n">
        <v>3999</v>
      </c>
      <c r="CZ61" s="6" t="n">
        <v>3999</v>
      </c>
      <c r="DA61" s="6" t="n">
        <v>3775</v>
      </c>
      <c r="DB61" s="6" t="n">
        <v>3700</v>
      </c>
      <c r="DC61" s="6" t="n">
        <v>3700</v>
      </c>
      <c r="DD61" s="6" t="n">
        <v>3700</v>
      </c>
      <c r="DE61" s="6" t="n">
        <v>3700</v>
      </c>
      <c r="DF61" s="6" t="n">
        <v>3700</v>
      </c>
      <c r="DG61" s="6" t="n">
        <v>3600</v>
      </c>
      <c r="DH61" s="6" t="n">
        <v>3600</v>
      </c>
      <c r="DI61" s="6" t="n">
        <v>3600</v>
      </c>
      <c r="DJ61" s="6" t="n">
        <v>3599</v>
      </c>
      <c r="DK61" s="6" t="n">
        <v>3600</v>
      </c>
      <c r="DL61" s="6" t="n">
        <v>3600</v>
      </c>
      <c r="DM61" s="6" t="n">
        <v>3600</v>
      </c>
      <c r="DN61" s="6" t="n">
        <v>3600</v>
      </c>
      <c r="DO61" s="6" t="n">
        <v>3500</v>
      </c>
      <c r="DP61" s="6" t="n">
        <v>3501</v>
      </c>
      <c r="DQ61" s="6" t="n">
        <v>3501</v>
      </c>
      <c r="DR61" s="6" t="n">
        <v>3501</v>
      </c>
      <c r="DS61" s="6" t="n">
        <v>3800</v>
      </c>
      <c r="DT61" s="6" t="n">
        <v>4000</v>
      </c>
      <c r="DU61" s="6" t="n">
        <v>4000</v>
      </c>
      <c r="DV61" s="6" t="n">
        <v>4000</v>
      </c>
      <c r="DW61" s="6" t="n">
        <v>3946</v>
      </c>
      <c r="DX61" s="6" t="n">
        <v>3189</v>
      </c>
      <c r="DY61" s="6" t="n">
        <v>2810</v>
      </c>
      <c r="DZ61" s="6" t="n">
        <v>2439</v>
      </c>
      <c r="EA61" s="6" t="n">
        <v>2115</v>
      </c>
      <c r="EB61" s="6" t="n">
        <v>1499</v>
      </c>
      <c r="EC61" s="6" t="n">
        <v>1001</v>
      </c>
      <c r="ED61" s="6" t="n">
        <v>901</v>
      </c>
      <c r="EE61" s="6" t="n">
        <v>931</v>
      </c>
      <c r="EF61" s="6" t="n">
        <v>1001</v>
      </c>
      <c r="EG61" s="6" t="n">
        <v>1119</v>
      </c>
      <c r="EH61" s="6" t="n">
        <v>1001</v>
      </c>
      <c r="EI61" s="6" t="n">
        <v>1001</v>
      </c>
      <c r="EJ61" s="6" t="n">
        <v>1100</v>
      </c>
      <c r="EK61" s="6" t="n">
        <v>1107</v>
      </c>
      <c r="EL61" s="6" t="n">
        <v>1103</v>
      </c>
      <c r="EM61" s="6" t="n">
        <v>1001</v>
      </c>
      <c r="EN61" s="6" t="n">
        <v>1001</v>
      </c>
      <c r="EO61" s="6" t="n">
        <v>1000</v>
      </c>
      <c r="EP61" s="6" t="n">
        <v>1000</v>
      </c>
      <c r="EQ61" s="6" t="n">
        <v>1000</v>
      </c>
      <c r="ER61" s="6" t="n">
        <v>1000</v>
      </c>
      <c r="ES61" s="6" t="n">
        <v>1000</v>
      </c>
      <c r="ET61" s="6" t="n">
        <v>1000</v>
      </c>
      <c r="EU61" s="6" t="n">
        <v>999</v>
      </c>
      <c r="EV61" s="6" t="n">
        <v>999</v>
      </c>
      <c r="EW61" s="6" t="n">
        <v>1000</v>
      </c>
      <c r="EX61" s="6" t="n">
        <v>1000</v>
      </c>
      <c r="EY61" s="6" t="n">
        <v>1001</v>
      </c>
      <c r="EZ61" s="6" t="n">
        <v>1001</v>
      </c>
      <c r="FA61" s="6" t="n">
        <v>1000</v>
      </c>
      <c r="FB61" s="6" t="n">
        <v>931</v>
      </c>
      <c r="FC61" s="6" t="n">
        <v>1001</v>
      </c>
      <c r="FD61" s="6" t="n">
        <v>1001</v>
      </c>
      <c r="FE61" s="6" t="n">
        <v>1102</v>
      </c>
      <c r="FF61" s="6" t="n">
        <v>1012</v>
      </c>
      <c r="FG61" s="6" t="n">
        <v>701</v>
      </c>
      <c r="FH61" s="6" t="n">
        <v>901</v>
      </c>
      <c r="FI61" s="6" t="n">
        <v>1400</v>
      </c>
      <c r="FJ61" s="6" t="n">
        <v>1500</v>
      </c>
      <c r="FK61" s="6" t="n">
        <v>1819</v>
      </c>
      <c r="FL61" s="6" t="n">
        <v>2318</v>
      </c>
      <c r="FM61" s="6" t="n">
        <v>2448</v>
      </c>
      <c r="FN61" s="6" t="n">
        <v>2801</v>
      </c>
      <c r="FO61" s="6" t="n">
        <v>3600</v>
      </c>
      <c r="FP61" s="6" t="n">
        <v>3601</v>
      </c>
      <c r="FQ61" s="6" t="n">
        <v>4101</v>
      </c>
      <c r="FR61" s="6" t="n">
        <v>4200</v>
      </c>
      <c r="FS61" s="6" t="n">
        <v>5100</v>
      </c>
      <c r="FT61" s="6" t="n">
        <v>5100</v>
      </c>
      <c r="FU61" s="6" t="n">
        <v>5100</v>
      </c>
      <c r="FV61" s="6" t="n">
        <v>5100</v>
      </c>
      <c r="FW61" s="6" t="n">
        <v>5000</v>
      </c>
      <c r="FX61" s="6" t="n">
        <v>5000</v>
      </c>
      <c r="FY61" s="6" t="n">
        <v>4951</v>
      </c>
      <c r="FZ61" s="6" t="n">
        <v>4951</v>
      </c>
      <c r="GA61" s="6" t="n">
        <v>4950</v>
      </c>
      <c r="GB61" s="6" t="n">
        <v>4699</v>
      </c>
      <c r="GC61" s="6" t="n">
        <v>4499</v>
      </c>
      <c r="GD61" s="6" t="n">
        <v>4499</v>
      </c>
      <c r="GE61" s="6" t="n">
        <v>4000</v>
      </c>
      <c r="GF61" s="6" t="n">
        <v>4000</v>
      </c>
      <c r="GG61" s="6" t="n">
        <v>4000</v>
      </c>
      <c r="GH61" s="6" t="n">
        <v>4000</v>
      </c>
      <c r="GI61" s="6" t="n">
        <v>3799</v>
      </c>
      <c r="GJ61" s="6" t="n">
        <v>3699</v>
      </c>
      <c r="GK61" s="6" t="n">
        <v>3699</v>
      </c>
      <c r="GL61" s="6" t="n">
        <v>3699</v>
      </c>
    </row>
    <row r="62">
      <c r="A62" s="6" t="inlineStr">
        <is>
          <t>GDAM</t>
        </is>
      </c>
      <c r="B62" s="6" t="n">
        <v>29</v>
      </c>
      <c r="C62" s="6" t="n">
        <v>4100</v>
      </c>
      <c r="D62" s="6" t="n">
        <v>4100</v>
      </c>
      <c r="E62" s="6" t="n">
        <v>4004</v>
      </c>
      <c r="F62" s="6" t="n">
        <v>4002</v>
      </c>
      <c r="G62" s="6" t="n">
        <v>3900</v>
      </c>
      <c r="H62" s="6" t="n">
        <v>3900</v>
      </c>
      <c r="I62" s="6" t="n">
        <v>3801</v>
      </c>
      <c r="J62" s="6" t="n">
        <v>3800</v>
      </c>
      <c r="K62" s="6" t="n">
        <v>3800</v>
      </c>
      <c r="L62" s="6" t="n">
        <v>3800</v>
      </c>
      <c r="M62" s="6" t="n">
        <v>3800</v>
      </c>
      <c r="N62" s="6" t="n">
        <v>3800</v>
      </c>
      <c r="O62" s="6" t="n">
        <v>3600</v>
      </c>
      <c r="P62" s="6" t="n">
        <v>3600</v>
      </c>
      <c r="Q62" s="6" t="n">
        <v>3600</v>
      </c>
      <c r="R62" s="6" t="n">
        <v>3600</v>
      </c>
      <c r="S62" s="6" t="n">
        <v>3501</v>
      </c>
      <c r="T62" s="6" t="n">
        <v>3500</v>
      </c>
      <c r="U62" s="6" t="n">
        <v>3500</v>
      </c>
      <c r="V62" s="6" t="n">
        <v>3500</v>
      </c>
      <c r="W62" s="6" t="n">
        <v>3401</v>
      </c>
      <c r="X62" s="6" t="n">
        <v>3501</v>
      </c>
      <c r="Y62" s="6" t="n">
        <v>3501</v>
      </c>
      <c r="Z62" s="6" t="n">
        <v>3799</v>
      </c>
      <c r="AA62" s="6" t="n">
        <v>4300</v>
      </c>
      <c r="AB62" s="6" t="n">
        <v>4501</v>
      </c>
      <c r="AC62" s="6" t="n">
        <v>4500</v>
      </c>
      <c r="AD62" s="6" t="n">
        <v>4201</v>
      </c>
      <c r="AE62" s="6" t="n">
        <v>4001</v>
      </c>
      <c r="AF62" s="6" t="n">
        <v>4000</v>
      </c>
      <c r="AG62" s="6" t="n">
        <v>3911</v>
      </c>
      <c r="AH62" s="6" t="n">
        <v>3314</v>
      </c>
      <c r="AI62" s="6" t="n">
        <v>4001</v>
      </c>
      <c r="AJ62" s="6" t="n">
        <v>4000</v>
      </c>
      <c r="AK62" s="6" t="n">
        <v>3707</v>
      </c>
      <c r="AL62" s="6" t="n">
        <v>3541</v>
      </c>
      <c r="AM62" s="6" t="n">
        <v>2900</v>
      </c>
      <c r="AN62" s="6" t="n">
        <v>1540</v>
      </c>
      <c r="AO62" s="6" t="n">
        <v>1540</v>
      </c>
      <c r="AP62" s="6" t="n">
        <v>1200</v>
      </c>
      <c r="AQ62" s="6" t="n">
        <v>1199</v>
      </c>
      <c r="AR62" s="6" t="n">
        <v>1199</v>
      </c>
      <c r="AS62" s="6" t="n">
        <v>1201</v>
      </c>
      <c r="AT62" s="6" t="n">
        <v>1089</v>
      </c>
      <c r="AU62" s="6" t="n">
        <v>1179</v>
      </c>
      <c r="AV62" s="6" t="n">
        <v>1001</v>
      </c>
      <c r="AW62" s="6" t="n">
        <v>999</v>
      </c>
      <c r="AX62" s="6" t="n">
        <v>999</v>
      </c>
      <c r="AY62" s="6" t="n">
        <v>799</v>
      </c>
      <c r="AZ62" s="6" t="n">
        <v>701</v>
      </c>
      <c r="BA62" s="6" t="n">
        <v>700</v>
      </c>
      <c r="BB62" s="6" t="n">
        <v>770</v>
      </c>
      <c r="BC62" s="6" t="n">
        <v>699</v>
      </c>
      <c r="BD62" s="6" t="n">
        <v>699</v>
      </c>
      <c r="BE62" s="6" t="n">
        <v>799</v>
      </c>
      <c r="BF62" s="6" t="n">
        <v>800</v>
      </c>
      <c r="BG62" s="6" t="n">
        <v>996</v>
      </c>
      <c r="BH62" s="6" t="n">
        <v>1000</v>
      </c>
      <c r="BI62" s="6" t="n">
        <v>1158</v>
      </c>
      <c r="BJ62" s="6" t="n">
        <v>1081</v>
      </c>
      <c r="BK62" s="6" t="n">
        <v>1200</v>
      </c>
      <c r="BL62" s="6" t="n">
        <v>1201</v>
      </c>
      <c r="BM62" s="6" t="n">
        <v>1400</v>
      </c>
      <c r="BN62" s="6" t="n">
        <v>1400</v>
      </c>
      <c r="BO62" s="6" t="n">
        <v>2000</v>
      </c>
      <c r="BP62" s="6" t="n">
        <v>2001</v>
      </c>
      <c r="BQ62" s="6" t="n">
        <v>2900</v>
      </c>
      <c r="BR62" s="6" t="n">
        <v>3500</v>
      </c>
      <c r="BS62" s="6" t="n">
        <v>3101</v>
      </c>
      <c r="BT62" s="6" t="n">
        <v>3399</v>
      </c>
      <c r="BU62" s="6" t="n">
        <v>3799</v>
      </c>
      <c r="BV62" s="6" t="n">
        <v>3799</v>
      </c>
      <c r="BW62" s="6" t="n">
        <v>4500</v>
      </c>
      <c r="BX62" s="6" t="n">
        <v>4501</v>
      </c>
      <c r="BY62" s="6" t="n">
        <v>10000</v>
      </c>
      <c r="BZ62" s="6" t="n">
        <v>10000</v>
      </c>
      <c r="CA62" s="6" t="n">
        <v>10000</v>
      </c>
      <c r="CB62" s="6" t="n">
        <v>10000</v>
      </c>
      <c r="CC62" s="6" t="n">
        <v>10000</v>
      </c>
      <c r="CD62" s="6" t="n">
        <v>10000</v>
      </c>
      <c r="CE62" s="6" t="n">
        <v>10000</v>
      </c>
      <c r="CF62" s="6" t="n">
        <v>7400</v>
      </c>
      <c r="CG62" s="6" t="n">
        <v>6999</v>
      </c>
      <c r="CH62" s="6" t="n">
        <v>6419</v>
      </c>
      <c r="CI62" s="6" t="n">
        <v>6000</v>
      </c>
      <c r="CJ62" s="6" t="n">
        <v>6000</v>
      </c>
      <c r="CK62" s="6" t="n">
        <v>5206</v>
      </c>
      <c r="CL62" s="6" t="n">
        <v>5101</v>
      </c>
      <c r="CM62" s="6" t="n">
        <v>4301</v>
      </c>
      <c r="CN62" s="6" t="n">
        <v>4201</v>
      </c>
      <c r="CO62" s="6" t="n">
        <v>4301</v>
      </c>
      <c r="CP62" s="6" t="n">
        <v>4500</v>
      </c>
      <c r="CQ62" s="6" t="n">
        <v>4200</v>
      </c>
      <c r="CR62" s="6" t="n">
        <v>4799</v>
      </c>
      <c r="CS62" s="6" t="n">
        <v>4799</v>
      </c>
      <c r="CT62" s="6" t="n">
        <v>4799</v>
      </c>
      <c r="CU62" s="6" t="n">
        <v>4100</v>
      </c>
      <c r="CV62" s="6" t="n">
        <v>4100</v>
      </c>
      <c r="CW62" s="6" t="n">
        <v>4004</v>
      </c>
      <c r="CX62" s="6" t="n">
        <v>4002</v>
      </c>
      <c r="CY62" s="6" t="n">
        <v>3900</v>
      </c>
      <c r="CZ62" s="6" t="n">
        <v>3900</v>
      </c>
      <c r="DA62" s="6" t="n">
        <v>3801</v>
      </c>
      <c r="DB62" s="6" t="n">
        <v>3800</v>
      </c>
      <c r="DC62" s="6" t="n">
        <v>3800</v>
      </c>
      <c r="DD62" s="6" t="n">
        <v>3800</v>
      </c>
      <c r="DE62" s="6" t="n">
        <v>3800</v>
      </c>
      <c r="DF62" s="6" t="n">
        <v>3800</v>
      </c>
      <c r="DG62" s="6" t="n">
        <v>3600</v>
      </c>
      <c r="DH62" s="6" t="n">
        <v>3600</v>
      </c>
      <c r="DI62" s="6" t="n">
        <v>3600</v>
      </c>
      <c r="DJ62" s="6" t="n">
        <v>3600</v>
      </c>
      <c r="DK62" s="6" t="n">
        <v>3501</v>
      </c>
      <c r="DL62" s="6" t="n">
        <v>3500</v>
      </c>
      <c r="DM62" s="6" t="n">
        <v>3500</v>
      </c>
      <c r="DN62" s="6" t="n">
        <v>3500</v>
      </c>
      <c r="DO62" s="6" t="n">
        <v>3401</v>
      </c>
      <c r="DP62" s="6" t="n">
        <v>3501</v>
      </c>
      <c r="DQ62" s="6" t="n">
        <v>3501</v>
      </c>
      <c r="DR62" s="6" t="n">
        <v>3799</v>
      </c>
      <c r="DS62" s="6" t="n">
        <v>4300</v>
      </c>
      <c r="DT62" s="6" t="n">
        <v>4501</v>
      </c>
      <c r="DU62" s="6" t="n">
        <v>4500</v>
      </c>
      <c r="DV62" s="6" t="n">
        <v>4201</v>
      </c>
      <c r="DW62" s="6" t="n">
        <v>4001</v>
      </c>
      <c r="DX62" s="6" t="n">
        <v>4000</v>
      </c>
      <c r="DY62" s="6" t="n">
        <v>3911</v>
      </c>
      <c r="DZ62" s="6" t="n">
        <v>3314</v>
      </c>
      <c r="EA62" s="6" t="n">
        <v>4001</v>
      </c>
      <c r="EB62" s="6" t="n">
        <v>4000</v>
      </c>
      <c r="EC62" s="6" t="n">
        <v>3707</v>
      </c>
      <c r="ED62" s="6" t="n">
        <v>3541</v>
      </c>
      <c r="EE62" s="6" t="n">
        <v>2900</v>
      </c>
      <c r="EF62" s="6" t="n">
        <v>1540</v>
      </c>
      <c r="EG62" s="6" t="n">
        <v>1540</v>
      </c>
      <c r="EH62" s="6" t="n">
        <v>1200</v>
      </c>
      <c r="EI62" s="6" t="n">
        <v>1199</v>
      </c>
      <c r="EJ62" s="6" t="n">
        <v>1199</v>
      </c>
      <c r="EK62" s="6" t="n">
        <v>1201</v>
      </c>
      <c r="EL62" s="6" t="n">
        <v>1089</v>
      </c>
      <c r="EM62" s="6" t="n">
        <v>1179</v>
      </c>
      <c r="EN62" s="6" t="n">
        <v>1001</v>
      </c>
      <c r="EO62" s="6" t="n">
        <v>999</v>
      </c>
      <c r="EP62" s="6" t="n">
        <v>999</v>
      </c>
      <c r="EQ62" s="6" t="n">
        <v>799</v>
      </c>
      <c r="ER62" s="6" t="n">
        <v>701</v>
      </c>
      <c r="ES62" s="6" t="n">
        <v>700</v>
      </c>
      <c r="ET62" s="6" t="n">
        <v>770</v>
      </c>
      <c r="EU62" s="6" t="n">
        <v>699</v>
      </c>
      <c r="EV62" s="6" t="n">
        <v>699</v>
      </c>
      <c r="EW62" s="6" t="n">
        <v>799</v>
      </c>
      <c r="EX62" s="6" t="n">
        <v>800</v>
      </c>
      <c r="EY62" s="6" t="n">
        <v>996</v>
      </c>
      <c r="EZ62" s="6" t="n">
        <v>1000</v>
      </c>
      <c r="FA62" s="6" t="n">
        <v>1158</v>
      </c>
      <c r="FB62" s="6" t="n">
        <v>1081</v>
      </c>
      <c r="FC62" s="6" t="n">
        <v>1200</v>
      </c>
      <c r="FD62" s="6" t="n">
        <v>1201</v>
      </c>
      <c r="FE62" s="6" t="n">
        <v>1400</v>
      </c>
      <c r="FF62" s="6" t="n">
        <v>1400</v>
      </c>
      <c r="FG62" s="6" t="n">
        <v>2000</v>
      </c>
      <c r="FH62" s="6" t="n">
        <v>2001</v>
      </c>
      <c r="FI62" s="6" t="n">
        <v>2900</v>
      </c>
      <c r="FJ62" s="6" t="n">
        <v>3500</v>
      </c>
      <c r="FK62" s="6" t="n">
        <v>3101</v>
      </c>
      <c r="FL62" s="6" t="n">
        <v>3399</v>
      </c>
      <c r="FM62" s="6" t="n">
        <v>3799</v>
      </c>
      <c r="FN62" s="6" t="n">
        <v>3799</v>
      </c>
      <c r="FO62" s="6" t="n">
        <v>4500</v>
      </c>
      <c r="FP62" s="6" t="n">
        <v>4501</v>
      </c>
      <c r="FQ62" s="6" t="n">
        <v>10000</v>
      </c>
      <c r="FR62" s="6" t="n">
        <v>10000</v>
      </c>
      <c r="FS62" s="6" t="n">
        <v>10000</v>
      </c>
      <c r="FT62" s="6" t="n">
        <v>10000</v>
      </c>
      <c r="FU62" s="6" t="n">
        <v>10000</v>
      </c>
      <c r="FV62" s="6" t="n">
        <v>10000</v>
      </c>
      <c r="FW62" s="6" t="n">
        <v>10000</v>
      </c>
      <c r="FX62" s="6" t="n">
        <v>7400</v>
      </c>
      <c r="FY62" s="6" t="n">
        <v>6999</v>
      </c>
      <c r="FZ62" s="6" t="n">
        <v>6419</v>
      </c>
      <c r="GA62" s="6" t="n">
        <v>6000</v>
      </c>
      <c r="GB62" s="6" t="n">
        <v>6000</v>
      </c>
      <c r="GC62" s="6" t="n">
        <v>5206</v>
      </c>
      <c r="GD62" s="6" t="n">
        <v>5101</v>
      </c>
      <c r="GE62" s="6" t="n">
        <v>4301</v>
      </c>
      <c r="GF62" s="6" t="n">
        <v>4201</v>
      </c>
      <c r="GG62" s="6" t="n">
        <v>4301</v>
      </c>
      <c r="GH62" s="6" t="n">
        <v>4500</v>
      </c>
      <c r="GI62" s="6" t="n">
        <v>4200</v>
      </c>
      <c r="GJ62" s="6" t="n">
        <v>4799</v>
      </c>
      <c r="GK62" s="6" t="n">
        <v>4799</v>
      </c>
      <c r="GL62" s="6" t="n">
        <v>4799</v>
      </c>
    </row>
    <row r="63">
      <c r="A63" s="6" t="inlineStr">
        <is>
          <t>GDAM</t>
        </is>
      </c>
      <c r="B63" s="6" t="n">
        <v>30</v>
      </c>
      <c r="C63" s="6" t="n">
        <v>4059</v>
      </c>
      <c r="D63" s="6" t="n">
        <v>4055</v>
      </c>
      <c r="E63" s="6" t="n">
        <v>4000</v>
      </c>
      <c r="F63" s="6" t="n">
        <v>4000</v>
      </c>
      <c r="G63" s="6" t="n">
        <v>4000</v>
      </c>
      <c r="H63" s="6" t="n">
        <v>4000</v>
      </c>
      <c r="I63" s="6" t="n">
        <v>4001</v>
      </c>
      <c r="J63" s="6" t="n">
        <v>4001</v>
      </c>
      <c r="K63" s="6" t="n">
        <v>3600</v>
      </c>
      <c r="L63" s="6" t="n">
        <v>3600</v>
      </c>
      <c r="M63" s="6" t="n">
        <v>3600</v>
      </c>
      <c r="N63" s="6" t="n">
        <v>3600</v>
      </c>
      <c r="O63" s="6" t="n">
        <v>3774</v>
      </c>
      <c r="P63" s="6" t="n">
        <v>3441</v>
      </c>
      <c r="Q63" s="6" t="n">
        <v>3441</v>
      </c>
      <c r="R63" s="6" t="n">
        <v>3441</v>
      </c>
      <c r="S63" s="6" t="n">
        <v>3492</v>
      </c>
      <c r="T63" s="6" t="n">
        <v>3492</v>
      </c>
      <c r="U63" s="6" t="n">
        <v>3492</v>
      </c>
      <c r="V63" s="6" t="n">
        <v>3492</v>
      </c>
      <c r="W63" s="6" t="n">
        <v>3500</v>
      </c>
      <c r="X63" s="6" t="n">
        <v>3501</v>
      </c>
      <c r="Y63" s="6" t="n">
        <v>3845</v>
      </c>
      <c r="Z63" s="6" t="n">
        <v>3846</v>
      </c>
      <c r="AA63" s="6" t="n">
        <v>4299</v>
      </c>
      <c r="AB63" s="6" t="n">
        <v>4500</v>
      </c>
      <c r="AC63" s="6" t="n">
        <v>4499</v>
      </c>
      <c r="AD63" s="6" t="n">
        <v>4201</v>
      </c>
      <c r="AE63" s="6" t="n">
        <v>4001</v>
      </c>
      <c r="AF63" s="6" t="n">
        <v>4000</v>
      </c>
      <c r="AG63" s="6" t="n">
        <v>3911</v>
      </c>
      <c r="AH63" s="6" t="n">
        <v>3314</v>
      </c>
      <c r="AI63" s="6" t="n">
        <v>3875</v>
      </c>
      <c r="AJ63" s="6" t="n">
        <v>3410</v>
      </c>
      <c r="AK63" s="6" t="n">
        <v>3313</v>
      </c>
      <c r="AL63" s="6" t="n">
        <v>2900</v>
      </c>
      <c r="AM63" s="6" t="n">
        <v>2500</v>
      </c>
      <c r="AN63" s="6" t="n">
        <v>2118</v>
      </c>
      <c r="AO63" s="6" t="n">
        <v>2099</v>
      </c>
      <c r="AP63" s="6" t="n">
        <v>2098</v>
      </c>
      <c r="AQ63" s="6" t="n">
        <v>2098</v>
      </c>
      <c r="AR63" s="6" t="n">
        <v>2098</v>
      </c>
      <c r="AS63" s="6" t="n">
        <v>2098</v>
      </c>
      <c r="AT63" s="6" t="n">
        <v>2098</v>
      </c>
      <c r="AU63" s="6" t="n">
        <v>2000</v>
      </c>
      <c r="AV63" s="6" t="n">
        <v>2098</v>
      </c>
      <c r="AW63" s="6" t="n">
        <v>2098</v>
      </c>
      <c r="AX63" s="6" t="n">
        <v>2098</v>
      </c>
      <c r="AY63" s="6" t="n">
        <v>2099</v>
      </c>
      <c r="AZ63" s="6" t="n">
        <v>2099</v>
      </c>
      <c r="BA63" s="6" t="n">
        <v>1876</v>
      </c>
      <c r="BB63" s="6" t="n">
        <v>1800</v>
      </c>
      <c r="BC63" s="6" t="n">
        <v>1200</v>
      </c>
      <c r="BD63" s="6" t="n">
        <v>1200</v>
      </c>
      <c r="BE63" s="6" t="n">
        <v>1411</v>
      </c>
      <c r="BF63" s="6" t="n">
        <v>1540</v>
      </c>
      <c r="BG63" s="6" t="n">
        <v>1801</v>
      </c>
      <c r="BH63" s="6" t="n">
        <v>1801</v>
      </c>
      <c r="BI63" s="6" t="n">
        <v>1800</v>
      </c>
      <c r="BJ63" s="6" t="n">
        <v>1801</v>
      </c>
      <c r="BK63" s="6" t="n">
        <v>1901</v>
      </c>
      <c r="BL63" s="6" t="n">
        <v>2001</v>
      </c>
      <c r="BM63" s="6" t="n">
        <v>2501</v>
      </c>
      <c r="BN63" s="6" t="n">
        <v>2512</v>
      </c>
      <c r="BO63" s="6" t="n">
        <v>2701</v>
      </c>
      <c r="BP63" s="6" t="n">
        <v>3119</v>
      </c>
      <c r="BQ63" s="6" t="n">
        <v>3378</v>
      </c>
      <c r="BR63" s="6" t="n">
        <v>3799</v>
      </c>
      <c r="BS63" s="6" t="n">
        <v>3232</v>
      </c>
      <c r="BT63" s="6" t="n">
        <v>3500</v>
      </c>
      <c r="BU63" s="6" t="n">
        <v>3799</v>
      </c>
      <c r="BV63" s="6" t="n">
        <v>4001</v>
      </c>
      <c r="BW63" s="6" t="n">
        <v>6000</v>
      </c>
      <c r="BX63" s="6" t="n">
        <v>7001</v>
      </c>
      <c r="BY63" s="6" t="n">
        <v>10000</v>
      </c>
      <c r="BZ63" s="6" t="n">
        <v>10000</v>
      </c>
      <c r="CA63" s="6" t="n">
        <v>10000</v>
      </c>
      <c r="CB63" s="6" t="n">
        <v>10000</v>
      </c>
      <c r="CC63" s="6" t="n">
        <v>10000</v>
      </c>
      <c r="CD63" s="6" t="n">
        <v>10000</v>
      </c>
      <c r="CE63" s="6" t="n">
        <v>10000</v>
      </c>
      <c r="CF63" s="6" t="n">
        <v>10000</v>
      </c>
      <c r="CG63" s="6" t="n">
        <v>10000</v>
      </c>
      <c r="CH63" s="6" t="n">
        <v>10000</v>
      </c>
      <c r="CI63" s="6" t="n">
        <v>9999</v>
      </c>
      <c r="CJ63" s="6" t="n">
        <v>7501</v>
      </c>
      <c r="CK63" s="6" t="n">
        <v>7500</v>
      </c>
      <c r="CL63" s="6" t="n">
        <v>6001</v>
      </c>
      <c r="CM63" s="6" t="n">
        <v>5300</v>
      </c>
      <c r="CN63" s="6" t="n">
        <v>5300</v>
      </c>
      <c r="CO63" s="6" t="n">
        <v>4900</v>
      </c>
      <c r="CP63" s="6" t="n">
        <v>4900</v>
      </c>
      <c r="CQ63" s="6" t="n">
        <v>4900</v>
      </c>
      <c r="CR63" s="6" t="n">
        <v>4899</v>
      </c>
      <c r="CS63" s="6" t="n">
        <v>4801</v>
      </c>
      <c r="CT63" s="6" t="n">
        <v>4801</v>
      </c>
      <c r="CU63" s="6" t="n">
        <v>4059</v>
      </c>
      <c r="CV63" s="6" t="n">
        <v>4055</v>
      </c>
      <c r="CW63" s="6" t="n">
        <v>4000</v>
      </c>
      <c r="CX63" s="6" t="n">
        <v>4000</v>
      </c>
      <c r="CY63" s="6" t="n">
        <v>4000</v>
      </c>
      <c r="CZ63" s="6" t="n">
        <v>4000</v>
      </c>
      <c r="DA63" s="6" t="n">
        <v>4001</v>
      </c>
      <c r="DB63" s="6" t="n">
        <v>4001</v>
      </c>
      <c r="DC63" s="6" t="n">
        <v>3600</v>
      </c>
      <c r="DD63" s="6" t="n">
        <v>3600</v>
      </c>
      <c r="DE63" s="6" t="n">
        <v>3600</v>
      </c>
      <c r="DF63" s="6" t="n">
        <v>3600</v>
      </c>
      <c r="DG63" s="6" t="n">
        <v>3774</v>
      </c>
      <c r="DH63" s="6" t="n">
        <v>3441</v>
      </c>
      <c r="DI63" s="6" t="n">
        <v>3441</v>
      </c>
      <c r="DJ63" s="6" t="n">
        <v>3441</v>
      </c>
      <c r="DK63" s="6" t="n">
        <v>3492</v>
      </c>
      <c r="DL63" s="6" t="n">
        <v>3492</v>
      </c>
      <c r="DM63" s="6" t="n">
        <v>3492</v>
      </c>
      <c r="DN63" s="6" t="n">
        <v>3492</v>
      </c>
      <c r="DO63" s="6" t="n">
        <v>3500</v>
      </c>
      <c r="DP63" s="6" t="n">
        <v>3501</v>
      </c>
      <c r="DQ63" s="6" t="n">
        <v>3845</v>
      </c>
      <c r="DR63" s="6" t="n">
        <v>3846</v>
      </c>
      <c r="DS63" s="6" t="n">
        <v>4299</v>
      </c>
      <c r="DT63" s="6" t="n">
        <v>4500</v>
      </c>
      <c r="DU63" s="6" t="n">
        <v>4499</v>
      </c>
      <c r="DV63" s="6" t="n">
        <v>4201</v>
      </c>
      <c r="DW63" s="6" t="n">
        <v>4001</v>
      </c>
      <c r="DX63" s="6" t="n">
        <v>4000</v>
      </c>
      <c r="DY63" s="6" t="n">
        <v>3911</v>
      </c>
      <c r="DZ63" s="6" t="n">
        <v>3314</v>
      </c>
      <c r="EA63" s="6" t="n">
        <v>3875</v>
      </c>
      <c r="EB63" s="6" t="n">
        <v>3410</v>
      </c>
      <c r="EC63" s="6" t="n">
        <v>3313</v>
      </c>
      <c r="ED63" s="6" t="n">
        <v>2900</v>
      </c>
      <c r="EE63" s="6" t="n">
        <v>2500</v>
      </c>
      <c r="EF63" s="6" t="n">
        <v>2118</v>
      </c>
      <c r="EG63" s="6" t="n">
        <v>2099</v>
      </c>
      <c r="EH63" s="6" t="n">
        <v>2098</v>
      </c>
      <c r="EI63" s="6" t="n">
        <v>2098</v>
      </c>
      <c r="EJ63" s="6" t="n">
        <v>2098</v>
      </c>
      <c r="EK63" s="6" t="n">
        <v>2098</v>
      </c>
      <c r="EL63" s="6" t="n">
        <v>2098</v>
      </c>
      <c r="EM63" s="6" t="n">
        <v>2000</v>
      </c>
      <c r="EN63" s="6" t="n">
        <v>2098</v>
      </c>
      <c r="EO63" s="6" t="n">
        <v>2098</v>
      </c>
      <c r="EP63" s="6" t="n">
        <v>2098</v>
      </c>
      <c r="EQ63" s="6" t="n">
        <v>2099</v>
      </c>
      <c r="ER63" s="6" t="n">
        <v>2099</v>
      </c>
      <c r="ES63" s="6" t="n">
        <v>1876</v>
      </c>
      <c r="ET63" s="6" t="n">
        <v>1800</v>
      </c>
      <c r="EU63" s="6" t="n">
        <v>1200</v>
      </c>
      <c r="EV63" s="6" t="n">
        <v>1200</v>
      </c>
      <c r="EW63" s="6" t="n">
        <v>1411</v>
      </c>
      <c r="EX63" s="6" t="n">
        <v>1540</v>
      </c>
      <c r="EY63" s="6" t="n">
        <v>1801</v>
      </c>
      <c r="EZ63" s="6" t="n">
        <v>1801</v>
      </c>
      <c r="FA63" s="6" t="n">
        <v>1800</v>
      </c>
      <c r="FB63" s="6" t="n">
        <v>1801</v>
      </c>
      <c r="FC63" s="6" t="n">
        <v>1901</v>
      </c>
      <c r="FD63" s="6" t="n">
        <v>2001</v>
      </c>
      <c r="FE63" s="6" t="n">
        <v>2501</v>
      </c>
      <c r="FF63" s="6" t="n">
        <v>2512</v>
      </c>
      <c r="FG63" s="6" t="n">
        <v>2701</v>
      </c>
      <c r="FH63" s="6" t="n">
        <v>3119</v>
      </c>
      <c r="FI63" s="6" t="n">
        <v>3378</v>
      </c>
      <c r="FJ63" s="6" t="n">
        <v>3799</v>
      </c>
      <c r="FK63" s="6" t="n">
        <v>3232</v>
      </c>
      <c r="FL63" s="6" t="n">
        <v>3500</v>
      </c>
      <c r="FM63" s="6" t="n">
        <v>3799</v>
      </c>
      <c r="FN63" s="6" t="n">
        <v>4001</v>
      </c>
      <c r="FO63" s="6" t="n">
        <v>6000</v>
      </c>
      <c r="FP63" s="6" t="n">
        <v>7001</v>
      </c>
      <c r="FQ63" s="6" t="n">
        <v>10000</v>
      </c>
      <c r="FR63" s="6" t="n">
        <v>10000</v>
      </c>
      <c r="FS63" s="6" t="n">
        <v>10000</v>
      </c>
      <c r="FT63" s="6" t="n">
        <v>10000</v>
      </c>
      <c r="FU63" s="6" t="n">
        <v>10000</v>
      </c>
      <c r="FV63" s="6" t="n">
        <v>10000</v>
      </c>
      <c r="FW63" s="6" t="n">
        <v>10000</v>
      </c>
      <c r="FX63" s="6" t="n">
        <v>10000</v>
      </c>
      <c r="FY63" s="6" t="n">
        <v>10000</v>
      </c>
      <c r="FZ63" s="6" t="n">
        <v>10000</v>
      </c>
      <c r="GA63" s="6" t="n">
        <v>9999</v>
      </c>
      <c r="GB63" s="6" t="n">
        <v>7501</v>
      </c>
      <c r="GC63" s="6" t="n">
        <v>7500</v>
      </c>
      <c r="GD63" s="6" t="n">
        <v>6001</v>
      </c>
      <c r="GE63" s="6" t="n">
        <v>5300</v>
      </c>
      <c r="GF63" s="6" t="n">
        <v>5300</v>
      </c>
      <c r="GG63" s="6" t="n">
        <v>4900</v>
      </c>
      <c r="GH63" s="6" t="n">
        <v>4900</v>
      </c>
      <c r="GI63" s="6" t="n">
        <v>4900</v>
      </c>
      <c r="GJ63" s="6" t="n">
        <v>4899</v>
      </c>
      <c r="GK63" s="6" t="n">
        <v>4801</v>
      </c>
      <c r="GL63" s="6" t="n">
        <v>4801</v>
      </c>
    </row>
    <row r="64">
      <c r="A64" s="6" t="inlineStr">
        <is>
          <t>RTM</t>
        </is>
      </c>
      <c r="B64" s="6" t="n">
        <v>1</v>
      </c>
      <c r="C64" s="6" t="n">
        <v>10000</v>
      </c>
      <c r="D64" s="6" t="n">
        <v>10000</v>
      </c>
      <c r="E64" s="6" t="n">
        <v>10000</v>
      </c>
      <c r="F64" s="6" t="n">
        <v>10000</v>
      </c>
      <c r="G64" s="6" t="n">
        <v>10000</v>
      </c>
      <c r="H64" s="6" t="n">
        <v>10000</v>
      </c>
      <c r="I64" s="6" t="n">
        <v>10000</v>
      </c>
      <c r="J64" s="6" t="n">
        <v>10000</v>
      </c>
      <c r="K64" s="6" t="n">
        <v>7835</v>
      </c>
      <c r="L64" s="6" t="n">
        <v>8000</v>
      </c>
      <c r="M64" s="6" t="n">
        <v>6521</v>
      </c>
      <c r="N64" s="6" t="n">
        <v>6500</v>
      </c>
      <c r="O64" s="6" t="n">
        <v>6520</v>
      </c>
      <c r="P64" s="6" t="n">
        <v>6500</v>
      </c>
      <c r="Q64" s="6" t="n">
        <v>7000</v>
      </c>
      <c r="R64" s="6" t="n">
        <v>6521</v>
      </c>
      <c r="S64" s="6" t="n">
        <v>7001</v>
      </c>
      <c r="T64" s="6" t="n">
        <v>8000</v>
      </c>
      <c r="U64" s="6" t="n">
        <v>10000</v>
      </c>
      <c r="V64" s="6" t="n">
        <v>10000</v>
      </c>
      <c r="W64" s="6" t="n">
        <v>10000</v>
      </c>
      <c r="X64" s="6" t="n">
        <v>10000</v>
      </c>
      <c r="Y64" s="6" t="n">
        <v>10000</v>
      </c>
      <c r="Z64" s="6" t="n">
        <v>10000</v>
      </c>
      <c r="AA64" s="6" t="n">
        <v>10000</v>
      </c>
      <c r="AB64" s="6" t="n">
        <v>10000</v>
      </c>
      <c r="AC64" s="6" t="n">
        <v>10000</v>
      </c>
      <c r="AD64" s="6" t="n">
        <v>10000</v>
      </c>
      <c r="AE64" s="6" t="n">
        <v>10000</v>
      </c>
      <c r="AF64" s="6" t="n">
        <v>10000</v>
      </c>
      <c r="AG64" s="6" t="n">
        <v>10000</v>
      </c>
      <c r="AH64" s="6" t="n">
        <v>5000</v>
      </c>
      <c r="AI64" s="6" t="n">
        <v>3899</v>
      </c>
      <c r="AJ64" s="6" t="n">
        <v>4000</v>
      </c>
      <c r="AK64" s="6" t="n">
        <v>3974</v>
      </c>
      <c r="AL64" s="6" t="n">
        <v>3614</v>
      </c>
      <c r="AM64" s="6" t="n">
        <v>3639</v>
      </c>
      <c r="AN64" s="6" t="n">
        <v>3417</v>
      </c>
      <c r="AO64" s="6" t="n">
        <v>3201</v>
      </c>
      <c r="AP64" s="6" t="n">
        <v>2811</v>
      </c>
      <c r="AQ64" s="6" t="n">
        <v>2515</v>
      </c>
      <c r="AR64" s="6" t="n">
        <v>2466</v>
      </c>
      <c r="AS64" s="6" t="n">
        <v>2251</v>
      </c>
      <c r="AT64" s="6" t="n">
        <v>2466</v>
      </c>
      <c r="AU64" s="6" t="n">
        <v>2501</v>
      </c>
      <c r="AV64" s="6" t="n">
        <v>2560</v>
      </c>
      <c r="AW64" s="6" t="n">
        <v>2520</v>
      </c>
      <c r="AX64" s="6" t="n">
        <v>2520</v>
      </c>
      <c r="AY64" s="6" t="n">
        <v>2405</v>
      </c>
      <c r="AZ64" s="6" t="n">
        <v>2049</v>
      </c>
      <c r="BA64" s="6" t="n">
        <v>2200</v>
      </c>
      <c r="BB64" s="6" t="n">
        <v>2049</v>
      </c>
      <c r="BC64" s="6" t="n">
        <v>1689</v>
      </c>
      <c r="BD64" s="6" t="n">
        <v>1961</v>
      </c>
      <c r="BE64" s="6" t="n">
        <v>2500</v>
      </c>
      <c r="BF64" s="6" t="n">
        <v>2545</v>
      </c>
      <c r="BG64" s="6" t="n">
        <v>2501</v>
      </c>
      <c r="BH64" s="6" t="n">
        <v>2449</v>
      </c>
      <c r="BI64" s="6" t="n">
        <v>2959</v>
      </c>
      <c r="BJ64" s="6" t="n">
        <v>3201</v>
      </c>
      <c r="BK64" s="6" t="n">
        <v>3398</v>
      </c>
      <c r="BL64" s="6" t="n">
        <v>3500</v>
      </c>
      <c r="BM64" s="6" t="n">
        <v>3600</v>
      </c>
      <c r="BN64" s="6" t="n">
        <v>3615</v>
      </c>
      <c r="BO64" s="6" t="n">
        <v>3764</v>
      </c>
      <c r="BP64" s="6" t="n">
        <v>4201</v>
      </c>
      <c r="BQ64" s="6" t="n">
        <v>5001</v>
      </c>
      <c r="BR64" s="6" t="n">
        <v>5720</v>
      </c>
      <c r="BS64" s="6" t="n">
        <v>5775</v>
      </c>
      <c r="BT64" s="6" t="n">
        <v>10000</v>
      </c>
      <c r="BU64" s="6" t="n">
        <v>10000</v>
      </c>
      <c r="BV64" s="6" t="n">
        <v>10000</v>
      </c>
      <c r="BW64" s="6" t="n">
        <v>10000</v>
      </c>
      <c r="BX64" s="6" t="n">
        <v>10000</v>
      </c>
      <c r="BY64" s="6" t="n">
        <v>10000</v>
      </c>
      <c r="BZ64" s="6" t="n">
        <v>10000</v>
      </c>
      <c r="CA64" s="6" t="n">
        <v>10000</v>
      </c>
      <c r="CB64" s="6" t="n">
        <v>10000</v>
      </c>
      <c r="CC64" s="6" t="n">
        <v>10000</v>
      </c>
      <c r="CD64" s="6" t="n">
        <v>10000</v>
      </c>
      <c r="CE64" s="6" t="n">
        <v>10000</v>
      </c>
      <c r="CF64" s="6" t="n">
        <v>10000</v>
      </c>
      <c r="CG64" s="6" t="n">
        <v>10000</v>
      </c>
      <c r="CH64" s="6" t="n">
        <v>10000</v>
      </c>
      <c r="CI64" s="6" t="n">
        <v>10000</v>
      </c>
      <c r="CJ64" s="6" t="n">
        <v>10000</v>
      </c>
      <c r="CK64" s="6" t="n">
        <v>10000</v>
      </c>
      <c r="CL64" s="6" t="n">
        <v>10000</v>
      </c>
      <c r="CM64" s="6" t="n">
        <v>10000</v>
      </c>
      <c r="CN64" s="6" t="n">
        <v>10000</v>
      </c>
      <c r="CO64" s="6" t="n">
        <v>10000</v>
      </c>
      <c r="CP64" s="6" t="n">
        <v>10000</v>
      </c>
      <c r="CQ64" s="6" t="n">
        <v>10000</v>
      </c>
      <c r="CR64" s="6" t="n">
        <v>10000</v>
      </c>
      <c r="CS64" s="6" t="n">
        <v>10000</v>
      </c>
      <c r="CT64" s="6" t="n">
        <v>10000</v>
      </c>
      <c r="CU64" s="6" t="n">
        <v>10000</v>
      </c>
      <c r="CV64" s="6" t="n">
        <v>10000</v>
      </c>
      <c r="CW64" s="6" t="n">
        <v>10000</v>
      </c>
      <c r="CX64" s="6" t="n">
        <v>10000</v>
      </c>
      <c r="CY64" s="6" t="n">
        <v>10000</v>
      </c>
      <c r="CZ64" s="6" t="n">
        <v>10000</v>
      </c>
      <c r="DA64" s="6" t="n">
        <v>10000</v>
      </c>
      <c r="DB64" s="6" t="n">
        <v>10000</v>
      </c>
      <c r="DC64" s="6" t="n">
        <v>7835</v>
      </c>
      <c r="DD64" s="6" t="n">
        <v>8000</v>
      </c>
      <c r="DE64" s="6" t="n">
        <v>6521</v>
      </c>
      <c r="DF64" s="6" t="n">
        <v>6500</v>
      </c>
      <c r="DG64" s="6" t="n">
        <v>6520</v>
      </c>
      <c r="DH64" s="6" t="n">
        <v>6500</v>
      </c>
      <c r="DI64" s="6" t="n">
        <v>7000</v>
      </c>
      <c r="DJ64" s="6" t="n">
        <v>6521</v>
      </c>
      <c r="DK64" s="6" t="n">
        <v>7001</v>
      </c>
      <c r="DL64" s="6" t="n">
        <v>8000</v>
      </c>
      <c r="DM64" s="6" t="n">
        <v>10000</v>
      </c>
      <c r="DN64" s="6" t="n">
        <v>10000</v>
      </c>
      <c r="DO64" s="6" t="n">
        <v>10000</v>
      </c>
      <c r="DP64" s="6" t="n">
        <v>10000</v>
      </c>
      <c r="DQ64" s="6" t="n">
        <v>10000</v>
      </c>
      <c r="DR64" s="6" t="n">
        <v>10000</v>
      </c>
      <c r="DS64" s="6" t="n">
        <v>10000</v>
      </c>
      <c r="DT64" s="6" t="n">
        <v>10000</v>
      </c>
      <c r="DU64" s="6" t="n">
        <v>10000</v>
      </c>
      <c r="DV64" s="6" t="n">
        <v>10000</v>
      </c>
      <c r="DW64" s="6" t="n">
        <v>10000</v>
      </c>
      <c r="DX64" s="6" t="n">
        <v>10000</v>
      </c>
      <c r="DY64" s="6" t="n">
        <v>10000</v>
      </c>
      <c r="DZ64" s="6" t="n">
        <v>5000</v>
      </c>
      <c r="EA64" s="6" t="n">
        <v>3899</v>
      </c>
      <c r="EB64" s="6" t="n">
        <v>4000</v>
      </c>
      <c r="EC64" s="6" t="n">
        <v>3974</v>
      </c>
      <c r="ED64" s="6" t="n">
        <v>3614</v>
      </c>
      <c r="EE64" s="6" t="n">
        <v>3639</v>
      </c>
      <c r="EF64" s="6" t="n">
        <v>3417</v>
      </c>
      <c r="EG64" s="6" t="n">
        <v>3201</v>
      </c>
      <c r="EH64" s="6" t="n">
        <v>2811</v>
      </c>
      <c r="EI64" s="6" t="n">
        <v>2515</v>
      </c>
      <c r="EJ64" s="6" t="n">
        <v>2466</v>
      </c>
      <c r="EK64" s="6" t="n">
        <v>2251</v>
      </c>
      <c r="EL64" s="6" t="n">
        <v>2466</v>
      </c>
      <c r="EM64" s="6" t="n">
        <v>2501</v>
      </c>
      <c r="EN64" s="6" t="n">
        <v>2560</v>
      </c>
      <c r="EO64" s="6" t="n">
        <v>2520</v>
      </c>
      <c r="EP64" s="6" t="n">
        <v>2520</v>
      </c>
      <c r="EQ64" s="6" t="n">
        <v>2405</v>
      </c>
      <c r="ER64" s="6" t="n">
        <v>2049</v>
      </c>
      <c r="ES64" s="6" t="n">
        <v>2200</v>
      </c>
      <c r="ET64" s="6" t="n">
        <v>2049</v>
      </c>
      <c r="EU64" s="6" t="n">
        <v>1689</v>
      </c>
      <c r="EV64" s="6" t="n">
        <v>1961</v>
      </c>
      <c r="EW64" s="6" t="n">
        <v>2500</v>
      </c>
      <c r="EX64" s="6" t="n">
        <v>2545</v>
      </c>
      <c r="EY64" s="6" t="n">
        <v>2501</v>
      </c>
      <c r="EZ64" s="6" t="n">
        <v>2449</v>
      </c>
      <c r="FA64" s="6" t="n">
        <v>2959</v>
      </c>
      <c r="FB64" s="6" t="n">
        <v>3201</v>
      </c>
      <c r="FC64" s="6" t="n">
        <v>3398</v>
      </c>
      <c r="FD64" s="6" t="n">
        <v>3500</v>
      </c>
      <c r="FE64" s="6" t="n">
        <v>3600</v>
      </c>
      <c r="FF64" s="6" t="n">
        <v>3615</v>
      </c>
      <c r="FG64" s="6" t="n">
        <v>3764</v>
      </c>
      <c r="FH64" s="6" t="n">
        <v>4201</v>
      </c>
      <c r="FI64" s="6" t="n">
        <v>5001</v>
      </c>
      <c r="FJ64" s="6" t="n">
        <v>5720</v>
      </c>
      <c r="FK64" s="6" t="n">
        <v>5775</v>
      </c>
      <c r="FL64" s="6" t="n">
        <v>10000</v>
      </c>
      <c r="FM64" s="6" t="n">
        <v>10000</v>
      </c>
      <c r="FN64" s="6" t="n">
        <v>10000</v>
      </c>
      <c r="FO64" s="6" t="n">
        <v>10000</v>
      </c>
      <c r="FP64" s="6" t="n">
        <v>10000</v>
      </c>
      <c r="FQ64" s="6" t="n">
        <v>10000</v>
      </c>
      <c r="FR64" s="6" t="n">
        <v>10000</v>
      </c>
      <c r="FS64" s="6" t="n">
        <v>10000</v>
      </c>
      <c r="FT64" s="6" t="n">
        <v>10000</v>
      </c>
      <c r="FU64" s="6" t="n">
        <v>10000</v>
      </c>
      <c r="FV64" s="6" t="n">
        <v>10000</v>
      </c>
      <c r="FW64" s="6" t="n">
        <v>10000</v>
      </c>
      <c r="FX64" s="6" t="n">
        <v>10000</v>
      </c>
      <c r="FY64" s="6" t="n">
        <v>10000</v>
      </c>
      <c r="FZ64" s="6" t="n">
        <v>10000</v>
      </c>
      <c r="GA64" s="6" t="n">
        <v>10000</v>
      </c>
      <c r="GB64" s="6" t="n">
        <v>10000</v>
      </c>
      <c r="GC64" s="6" t="n">
        <v>10000</v>
      </c>
      <c r="GD64" s="6" t="n">
        <v>10000</v>
      </c>
      <c r="GE64" s="6" t="n">
        <v>10000</v>
      </c>
      <c r="GF64" s="6" t="n">
        <v>10000</v>
      </c>
      <c r="GG64" s="6" t="n">
        <v>10000</v>
      </c>
      <c r="GH64" s="6" t="n">
        <v>10000</v>
      </c>
      <c r="GI64" s="6" t="n">
        <v>10000</v>
      </c>
      <c r="GJ64" s="6" t="n">
        <v>10000</v>
      </c>
      <c r="GK64" s="6" t="n">
        <v>10000</v>
      </c>
      <c r="GL64" s="6" t="n">
        <v>10000</v>
      </c>
    </row>
    <row r="65">
      <c r="A65" s="6" t="inlineStr">
        <is>
          <t>RTM</t>
        </is>
      </c>
      <c r="B65" s="6" t="n">
        <v>2</v>
      </c>
      <c r="C65" s="6" t="n">
        <v>10000</v>
      </c>
      <c r="D65" s="6" t="n">
        <v>10000</v>
      </c>
      <c r="E65" s="6" t="n">
        <v>10000</v>
      </c>
      <c r="F65" s="6" t="n">
        <v>10000</v>
      </c>
      <c r="G65" s="6" t="n">
        <v>10000</v>
      </c>
      <c r="H65" s="6" t="n">
        <v>10000</v>
      </c>
      <c r="I65" s="6" t="n">
        <v>10000</v>
      </c>
      <c r="J65" s="6" t="n">
        <v>10000</v>
      </c>
      <c r="K65" s="6" t="n">
        <v>10000</v>
      </c>
      <c r="L65" s="6" t="n">
        <v>10000</v>
      </c>
      <c r="M65" s="6" t="n">
        <v>10000</v>
      </c>
      <c r="N65" s="6" t="n">
        <v>10000</v>
      </c>
      <c r="O65" s="6" t="n">
        <v>10000</v>
      </c>
      <c r="P65" s="6" t="n">
        <v>10000</v>
      </c>
      <c r="Q65" s="6" t="n">
        <v>10000</v>
      </c>
      <c r="R65" s="6" t="n">
        <v>10000</v>
      </c>
      <c r="S65" s="6" t="n">
        <v>10000</v>
      </c>
      <c r="T65" s="6" t="n">
        <v>10000</v>
      </c>
      <c r="U65" s="6" t="n">
        <v>10000</v>
      </c>
      <c r="V65" s="6" t="n">
        <v>10000</v>
      </c>
      <c r="W65" s="6" t="n">
        <v>10000</v>
      </c>
      <c r="X65" s="6" t="n">
        <v>10000</v>
      </c>
      <c r="Y65" s="6" t="n">
        <v>10000</v>
      </c>
      <c r="Z65" s="6" t="n">
        <v>10000</v>
      </c>
      <c r="AA65" s="6" t="n">
        <v>10000</v>
      </c>
      <c r="AB65" s="6" t="n">
        <v>10000</v>
      </c>
      <c r="AC65" s="6" t="n">
        <v>10000</v>
      </c>
      <c r="AD65" s="6" t="n">
        <v>10000</v>
      </c>
      <c r="AE65" s="6" t="n">
        <v>10000</v>
      </c>
      <c r="AF65" s="6" t="n">
        <v>10000</v>
      </c>
      <c r="AG65" s="6" t="n">
        <v>10000</v>
      </c>
      <c r="AH65" s="6" t="n">
        <v>10000</v>
      </c>
      <c r="AI65" s="6" t="n">
        <v>8001</v>
      </c>
      <c r="AJ65" s="6" t="n">
        <v>6076</v>
      </c>
      <c r="AK65" s="6" t="n">
        <v>3630</v>
      </c>
      <c r="AL65" s="6" t="n">
        <v>3501</v>
      </c>
      <c r="AM65" s="6" t="n">
        <v>3190</v>
      </c>
      <c r="AN65" s="6" t="n">
        <v>3320</v>
      </c>
      <c r="AO65" s="6" t="n">
        <v>3401</v>
      </c>
      <c r="AP65" s="6" t="n">
        <v>3249</v>
      </c>
      <c r="AQ65" s="6" t="n">
        <v>2390</v>
      </c>
      <c r="AR65" s="6" t="n">
        <v>2649</v>
      </c>
      <c r="AS65" s="6" t="n">
        <v>2769</v>
      </c>
      <c r="AT65" s="6" t="n">
        <v>2670</v>
      </c>
      <c r="AU65" s="6" t="n">
        <v>3000</v>
      </c>
      <c r="AV65" s="6" t="n">
        <v>3001</v>
      </c>
      <c r="AW65" s="6" t="n">
        <v>3160</v>
      </c>
      <c r="AX65" s="6" t="n">
        <v>3011</v>
      </c>
      <c r="AY65" s="6" t="n">
        <v>2500</v>
      </c>
      <c r="AZ65" s="6" t="n">
        <v>2551</v>
      </c>
      <c r="BA65" s="6" t="n">
        <v>2539</v>
      </c>
      <c r="BB65" s="6" t="n">
        <v>2514</v>
      </c>
      <c r="BC65" s="6" t="n">
        <v>2200</v>
      </c>
      <c r="BD65" s="6" t="n">
        <v>2460</v>
      </c>
      <c r="BE65" s="6" t="n">
        <v>2389</v>
      </c>
      <c r="BF65" s="6" t="n">
        <v>2615</v>
      </c>
      <c r="BG65" s="6" t="n">
        <v>3000</v>
      </c>
      <c r="BH65" s="6" t="n">
        <v>3201</v>
      </c>
      <c r="BI65" s="6" t="n">
        <v>2800</v>
      </c>
      <c r="BJ65" s="6" t="n">
        <v>3160</v>
      </c>
      <c r="BK65" s="6" t="n">
        <v>2669</v>
      </c>
      <c r="BL65" s="6" t="n">
        <v>3206</v>
      </c>
      <c r="BM65" s="6" t="n">
        <v>3742</v>
      </c>
      <c r="BN65" s="6" t="n">
        <v>3848</v>
      </c>
      <c r="BO65" s="6" t="n">
        <v>4099</v>
      </c>
      <c r="BP65" s="6" t="n">
        <v>4099</v>
      </c>
      <c r="BQ65" s="6" t="n">
        <v>5501</v>
      </c>
      <c r="BR65" s="6" t="n">
        <v>6510</v>
      </c>
      <c r="BS65" s="6" t="n">
        <v>8000</v>
      </c>
      <c r="BT65" s="6" t="n">
        <v>10000</v>
      </c>
      <c r="BU65" s="6" t="n">
        <v>10000</v>
      </c>
      <c r="BV65" s="6" t="n">
        <v>10000</v>
      </c>
      <c r="BW65" s="6" t="n">
        <v>10000</v>
      </c>
      <c r="BX65" s="6" t="n">
        <v>10000</v>
      </c>
      <c r="BY65" s="6" t="n">
        <v>10000</v>
      </c>
      <c r="BZ65" s="6" t="n">
        <v>10000</v>
      </c>
      <c r="CA65" s="6" t="n">
        <v>10000</v>
      </c>
      <c r="CB65" s="6" t="n">
        <v>10000</v>
      </c>
      <c r="CC65" s="6" t="n">
        <v>10000</v>
      </c>
      <c r="CD65" s="6" t="n">
        <v>10000</v>
      </c>
      <c r="CE65" s="6" t="n">
        <v>10000</v>
      </c>
      <c r="CF65" s="6" t="n">
        <v>10000</v>
      </c>
      <c r="CG65" s="6" t="n">
        <v>10000</v>
      </c>
      <c r="CH65" s="6" t="n">
        <v>10000</v>
      </c>
      <c r="CI65" s="6" t="n">
        <v>10000</v>
      </c>
      <c r="CJ65" s="6" t="n">
        <v>10000</v>
      </c>
      <c r="CK65" s="6" t="n">
        <v>10000</v>
      </c>
      <c r="CL65" s="6" t="n">
        <v>10000</v>
      </c>
      <c r="CM65" s="6" t="n">
        <v>10000</v>
      </c>
      <c r="CN65" s="6" t="n">
        <v>10000</v>
      </c>
      <c r="CO65" s="6" t="n">
        <v>10000</v>
      </c>
      <c r="CP65" s="6" t="n">
        <v>10000</v>
      </c>
      <c r="CQ65" s="6" t="n">
        <v>10000</v>
      </c>
      <c r="CR65" s="6" t="n">
        <v>10000</v>
      </c>
      <c r="CS65" s="6" t="n">
        <v>10000</v>
      </c>
      <c r="CT65" s="6" t="n">
        <v>10000</v>
      </c>
      <c r="CU65" s="6" t="n">
        <v>10000</v>
      </c>
      <c r="CV65" s="6" t="n">
        <v>10000</v>
      </c>
      <c r="CW65" s="6" t="n">
        <v>10000</v>
      </c>
      <c r="CX65" s="6" t="n">
        <v>10000</v>
      </c>
      <c r="CY65" s="6" t="n">
        <v>10000</v>
      </c>
      <c r="CZ65" s="6" t="n">
        <v>10000</v>
      </c>
      <c r="DA65" s="6" t="n">
        <v>10000</v>
      </c>
      <c r="DB65" s="6" t="n">
        <v>10000</v>
      </c>
      <c r="DC65" s="6" t="n">
        <v>10000</v>
      </c>
      <c r="DD65" s="6" t="n">
        <v>10000</v>
      </c>
      <c r="DE65" s="6" t="n">
        <v>10000</v>
      </c>
      <c r="DF65" s="6" t="n">
        <v>10000</v>
      </c>
      <c r="DG65" s="6" t="n">
        <v>10000</v>
      </c>
      <c r="DH65" s="6" t="n">
        <v>10000</v>
      </c>
      <c r="DI65" s="6" t="n">
        <v>10000</v>
      </c>
      <c r="DJ65" s="6" t="n">
        <v>10000</v>
      </c>
      <c r="DK65" s="6" t="n">
        <v>10000</v>
      </c>
      <c r="DL65" s="6" t="n">
        <v>10000</v>
      </c>
      <c r="DM65" s="6" t="n">
        <v>10000</v>
      </c>
      <c r="DN65" s="6" t="n">
        <v>10000</v>
      </c>
      <c r="DO65" s="6" t="n">
        <v>10000</v>
      </c>
      <c r="DP65" s="6" t="n">
        <v>10000</v>
      </c>
      <c r="DQ65" s="6" t="n">
        <v>10000</v>
      </c>
      <c r="DR65" s="6" t="n">
        <v>10000</v>
      </c>
      <c r="DS65" s="6" t="n">
        <v>10000</v>
      </c>
      <c r="DT65" s="6" t="n">
        <v>10000</v>
      </c>
      <c r="DU65" s="6" t="n">
        <v>10000</v>
      </c>
      <c r="DV65" s="6" t="n">
        <v>10000</v>
      </c>
      <c r="DW65" s="6" t="n">
        <v>10000</v>
      </c>
      <c r="DX65" s="6" t="n">
        <v>10000</v>
      </c>
      <c r="DY65" s="6" t="n">
        <v>10000</v>
      </c>
      <c r="DZ65" s="6" t="n">
        <v>10000</v>
      </c>
      <c r="EA65" s="6" t="n">
        <v>8001</v>
      </c>
      <c r="EB65" s="6" t="n">
        <v>6076</v>
      </c>
      <c r="EC65" s="6" t="n">
        <v>3630</v>
      </c>
      <c r="ED65" s="6" t="n">
        <v>3501</v>
      </c>
      <c r="EE65" s="6" t="n">
        <v>3190</v>
      </c>
      <c r="EF65" s="6" t="n">
        <v>3320</v>
      </c>
      <c r="EG65" s="6" t="n">
        <v>3401</v>
      </c>
      <c r="EH65" s="6" t="n">
        <v>3249</v>
      </c>
      <c r="EI65" s="6" t="n">
        <v>2390</v>
      </c>
      <c r="EJ65" s="6" t="n">
        <v>2649</v>
      </c>
      <c r="EK65" s="6" t="n">
        <v>2769</v>
      </c>
      <c r="EL65" s="6" t="n">
        <v>2670</v>
      </c>
      <c r="EM65" s="6" t="n">
        <v>3000</v>
      </c>
      <c r="EN65" s="6" t="n">
        <v>3001</v>
      </c>
      <c r="EO65" s="6" t="n">
        <v>3160</v>
      </c>
      <c r="EP65" s="6" t="n">
        <v>3011</v>
      </c>
      <c r="EQ65" s="6" t="n">
        <v>2500</v>
      </c>
      <c r="ER65" s="6" t="n">
        <v>2551</v>
      </c>
      <c r="ES65" s="6" t="n">
        <v>2539</v>
      </c>
      <c r="ET65" s="6" t="n">
        <v>2514</v>
      </c>
      <c r="EU65" s="6" t="n">
        <v>2200</v>
      </c>
      <c r="EV65" s="6" t="n">
        <v>2460</v>
      </c>
      <c r="EW65" s="6" t="n">
        <v>2389</v>
      </c>
      <c r="EX65" s="6" t="n">
        <v>2615</v>
      </c>
      <c r="EY65" s="6" t="n">
        <v>3000</v>
      </c>
      <c r="EZ65" s="6" t="n">
        <v>3201</v>
      </c>
      <c r="FA65" s="6" t="n">
        <v>2800</v>
      </c>
      <c r="FB65" s="6" t="n">
        <v>3160</v>
      </c>
      <c r="FC65" s="6" t="n">
        <v>2669</v>
      </c>
      <c r="FD65" s="6" t="n">
        <v>3206</v>
      </c>
      <c r="FE65" s="6" t="n">
        <v>3742</v>
      </c>
      <c r="FF65" s="6" t="n">
        <v>3848</v>
      </c>
      <c r="FG65" s="6" t="n">
        <v>4099</v>
      </c>
      <c r="FH65" s="6" t="n">
        <v>4099</v>
      </c>
      <c r="FI65" s="6" t="n">
        <v>5501</v>
      </c>
      <c r="FJ65" s="6" t="n">
        <v>6510</v>
      </c>
      <c r="FK65" s="6" t="n">
        <v>8000</v>
      </c>
      <c r="FL65" s="6" t="n">
        <v>10000</v>
      </c>
      <c r="FM65" s="6" t="n">
        <v>10000</v>
      </c>
      <c r="FN65" s="6" t="n">
        <v>10000</v>
      </c>
      <c r="FO65" s="6" t="n">
        <v>10000</v>
      </c>
      <c r="FP65" s="6" t="n">
        <v>10000</v>
      </c>
      <c r="FQ65" s="6" t="n">
        <v>10000</v>
      </c>
      <c r="FR65" s="6" t="n">
        <v>10000</v>
      </c>
      <c r="FS65" s="6" t="n">
        <v>10000</v>
      </c>
      <c r="FT65" s="6" t="n">
        <v>10000</v>
      </c>
      <c r="FU65" s="6" t="n">
        <v>10000</v>
      </c>
      <c r="FV65" s="6" t="n">
        <v>10000</v>
      </c>
      <c r="FW65" s="6" t="n">
        <v>10000</v>
      </c>
      <c r="FX65" s="6" t="n">
        <v>10000</v>
      </c>
      <c r="FY65" s="6" t="n">
        <v>10000</v>
      </c>
      <c r="FZ65" s="6" t="n">
        <v>10000</v>
      </c>
      <c r="GA65" s="6" t="n">
        <v>10000</v>
      </c>
      <c r="GB65" s="6" t="n">
        <v>10000</v>
      </c>
      <c r="GC65" s="6" t="n">
        <v>10000</v>
      </c>
      <c r="GD65" s="6" t="n">
        <v>10000</v>
      </c>
      <c r="GE65" s="6" t="n">
        <v>10000</v>
      </c>
      <c r="GF65" s="6" t="n">
        <v>10000</v>
      </c>
      <c r="GG65" s="6" t="n">
        <v>10000</v>
      </c>
      <c r="GH65" s="6" t="n">
        <v>10000</v>
      </c>
      <c r="GI65" s="6" t="n">
        <v>10000</v>
      </c>
      <c r="GJ65" s="6" t="n">
        <v>10000</v>
      </c>
      <c r="GK65" s="6" t="n">
        <v>10000</v>
      </c>
      <c r="GL65" s="6" t="n">
        <v>10000</v>
      </c>
    </row>
    <row r="66">
      <c r="A66" s="6" t="inlineStr">
        <is>
          <t>RTM</t>
        </is>
      </c>
      <c r="B66" s="6" t="n">
        <v>3</v>
      </c>
      <c r="C66" s="6" t="n">
        <v>10000</v>
      </c>
      <c r="D66" s="6" t="n">
        <v>10000</v>
      </c>
      <c r="E66" s="6" t="n">
        <v>10000</v>
      </c>
      <c r="F66" s="6" t="n">
        <v>10000</v>
      </c>
      <c r="G66" s="6" t="n">
        <v>10000</v>
      </c>
      <c r="H66" s="6" t="n">
        <v>10000</v>
      </c>
      <c r="I66" s="6" t="n">
        <v>10000</v>
      </c>
      <c r="J66" s="6" t="n">
        <v>10000</v>
      </c>
      <c r="K66" s="6" t="n">
        <v>10000</v>
      </c>
      <c r="L66" s="6" t="n">
        <v>10000</v>
      </c>
      <c r="M66" s="6" t="n">
        <v>10000</v>
      </c>
      <c r="N66" s="6" t="n">
        <v>10000</v>
      </c>
      <c r="O66" s="6" t="n">
        <v>10000</v>
      </c>
      <c r="P66" s="6" t="n">
        <v>10000</v>
      </c>
      <c r="Q66" s="6" t="n">
        <v>10000</v>
      </c>
      <c r="R66" s="6" t="n">
        <v>10000</v>
      </c>
      <c r="S66" s="6" t="n">
        <v>10000</v>
      </c>
      <c r="T66" s="6" t="n">
        <v>10000</v>
      </c>
      <c r="U66" s="6" t="n">
        <v>10000</v>
      </c>
      <c r="V66" s="6" t="n">
        <v>10000</v>
      </c>
      <c r="W66" s="6" t="n">
        <v>10000</v>
      </c>
      <c r="X66" s="6" t="n">
        <v>10000</v>
      </c>
      <c r="Y66" s="6" t="n">
        <v>10000</v>
      </c>
      <c r="Z66" s="6" t="n">
        <v>10000</v>
      </c>
      <c r="AA66" s="6" t="n">
        <v>10000</v>
      </c>
      <c r="AB66" s="6" t="n">
        <v>10000</v>
      </c>
      <c r="AC66" s="6" t="n">
        <v>10000</v>
      </c>
      <c r="AD66" s="6" t="n">
        <v>10000</v>
      </c>
      <c r="AE66" s="6" t="n">
        <v>10000</v>
      </c>
      <c r="AF66" s="6" t="n">
        <v>10000</v>
      </c>
      <c r="AG66" s="6" t="n">
        <v>10000</v>
      </c>
      <c r="AH66" s="6" t="n">
        <v>10000</v>
      </c>
      <c r="AI66" s="6" t="n">
        <v>6000</v>
      </c>
      <c r="AJ66" s="6" t="n">
        <v>3921</v>
      </c>
      <c r="AK66" s="6" t="n">
        <v>3021</v>
      </c>
      <c r="AL66" s="6" t="n">
        <v>2993</v>
      </c>
      <c r="AM66" s="6" t="n">
        <v>3207</v>
      </c>
      <c r="AN66" s="6" t="n">
        <v>3151</v>
      </c>
      <c r="AO66" s="6" t="n">
        <v>3317</v>
      </c>
      <c r="AP66" s="6" t="n">
        <v>3020</v>
      </c>
      <c r="AQ66" s="6" t="n">
        <v>3000</v>
      </c>
      <c r="AR66" s="6" t="n">
        <v>3000</v>
      </c>
      <c r="AS66" s="6" t="n">
        <v>3050</v>
      </c>
      <c r="AT66" s="6" t="n">
        <v>3160</v>
      </c>
      <c r="AU66" s="6" t="n">
        <v>2801</v>
      </c>
      <c r="AV66" s="6" t="n">
        <v>2790</v>
      </c>
      <c r="AW66" s="6" t="n">
        <v>2701</v>
      </c>
      <c r="AX66" s="6" t="n">
        <v>2765</v>
      </c>
      <c r="AY66" s="6" t="n">
        <v>2515</v>
      </c>
      <c r="AZ66" s="6" t="n">
        <v>2500</v>
      </c>
      <c r="BA66" s="6" t="n">
        <v>2559</v>
      </c>
      <c r="BB66" s="6" t="n">
        <v>2519</v>
      </c>
      <c r="BC66" s="6" t="n">
        <v>2001</v>
      </c>
      <c r="BD66" s="6" t="n">
        <v>2120</v>
      </c>
      <c r="BE66" s="6" t="n">
        <v>2401</v>
      </c>
      <c r="BF66" s="6" t="n">
        <v>2600</v>
      </c>
      <c r="BG66" s="6" t="n">
        <v>3390</v>
      </c>
      <c r="BH66" s="6" t="n">
        <v>3500</v>
      </c>
      <c r="BI66" s="6" t="n">
        <v>3638</v>
      </c>
      <c r="BJ66" s="6" t="n">
        <v>3717</v>
      </c>
      <c r="BK66" s="6" t="n">
        <v>3796</v>
      </c>
      <c r="BL66" s="6" t="n">
        <v>3766</v>
      </c>
      <c r="BM66" s="6" t="n">
        <v>5010</v>
      </c>
      <c r="BN66" s="6" t="n">
        <v>5201</v>
      </c>
      <c r="BO66" s="6" t="n">
        <v>4501</v>
      </c>
      <c r="BP66" s="6" t="n">
        <v>5346</v>
      </c>
      <c r="BQ66" s="6" t="n">
        <v>6253</v>
      </c>
      <c r="BR66" s="6" t="n">
        <v>10000</v>
      </c>
      <c r="BS66" s="6" t="n">
        <v>10000</v>
      </c>
      <c r="BT66" s="6" t="n">
        <v>10000</v>
      </c>
      <c r="BU66" s="6" t="n">
        <v>10000</v>
      </c>
      <c r="BV66" s="6" t="n">
        <v>10000</v>
      </c>
      <c r="BW66" s="6" t="n">
        <v>10000</v>
      </c>
      <c r="BX66" s="6" t="n">
        <v>10000</v>
      </c>
      <c r="BY66" s="6" t="n">
        <v>10000</v>
      </c>
      <c r="BZ66" s="6" t="n">
        <v>10000</v>
      </c>
      <c r="CA66" s="6" t="n">
        <v>10000</v>
      </c>
      <c r="CB66" s="6" t="n">
        <v>10000</v>
      </c>
      <c r="CC66" s="6" t="n">
        <v>10000</v>
      </c>
      <c r="CD66" s="6" t="n">
        <v>10000</v>
      </c>
      <c r="CE66" s="6" t="n">
        <v>10000</v>
      </c>
      <c r="CF66" s="6" t="n">
        <v>10000</v>
      </c>
      <c r="CG66" s="6" t="n">
        <v>10000</v>
      </c>
      <c r="CH66" s="6" t="n">
        <v>10000</v>
      </c>
      <c r="CI66" s="6" t="n">
        <v>10000</v>
      </c>
      <c r="CJ66" s="6" t="n">
        <v>10000</v>
      </c>
      <c r="CK66" s="6" t="n">
        <v>10000</v>
      </c>
      <c r="CL66" s="6" t="n">
        <v>10000</v>
      </c>
      <c r="CM66" s="6" t="n">
        <v>10000</v>
      </c>
      <c r="CN66" s="6" t="n">
        <v>10000</v>
      </c>
      <c r="CO66" s="6" t="n">
        <v>10000</v>
      </c>
      <c r="CP66" s="6" t="n">
        <v>10000</v>
      </c>
      <c r="CQ66" s="6" t="n">
        <v>10000</v>
      </c>
      <c r="CR66" s="6" t="n">
        <v>10000</v>
      </c>
      <c r="CS66" s="6" t="n">
        <v>10000</v>
      </c>
      <c r="CT66" s="6" t="n">
        <v>10000</v>
      </c>
      <c r="CU66" s="6" t="n">
        <v>10000</v>
      </c>
      <c r="CV66" s="6" t="n">
        <v>10000</v>
      </c>
      <c r="CW66" s="6" t="n">
        <v>10000</v>
      </c>
      <c r="CX66" s="6" t="n">
        <v>10000</v>
      </c>
      <c r="CY66" s="6" t="n">
        <v>10000</v>
      </c>
      <c r="CZ66" s="6" t="n">
        <v>10000</v>
      </c>
      <c r="DA66" s="6" t="n">
        <v>10000</v>
      </c>
      <c r="DB66" s="6" t="n">
        <v>10000</v>
      </c>
      <c r="DC66" s="6" t="n">
        <v>10000</v>
      </c>
      <c r="DD66" s="6" t="n">
        <v>10000</v>
      </c>
      <c r="DE66" s="6" t="n">
        <v>10000</v>
      </c>
      <c r="DF66" s="6" t="n">
        <v>10000</v>
      </c>
      <c r="DG66" s="6" t="n">
        <v>10000</v>
      </c>
      <c r="DH66" s="6" t="n">
        <v>10000</v>
      </c>
      <c r="DI66" s="6" t="n">
        <v>10000</v>
      </c>
      <c r="DJ66" s="6" t="n">
        <v>10000</v>
      </c>
      <c r="DK66" s="6" t="n">
        <v>10000</v>
      </c>
      <c r="DL66" s="6" t="n">
        <v>10000</v>
      </c>
      <c r="DM66" s="6" t="n">
        <v>10000</v>
      </c>
      <c r="DN66" s="6" t="n">
        <v>10000</v>
      </c>
      <c r="DO66" s="6" t="n">
        <v>10000</v>
      </c>
      <c r="DP66" s="6" t="n">
        <v>10000</v>
      </c>
      <c r="DQ66" s="6" t="n">
        <v>10000</v>
      </c>
      <c r="DR66" s="6" t="n">
        <v>10000</v>
      </c>
      <c r="DS66" s="6" t="n">
        <v>10000</v>
      </c>
      <c r="DT66" s="6" t="n">
        <v>10000</v>
      </c>
      <c r="DU66" s="6" t="n">
        <v>10000</v>
      </c>
      <c r="DV66" s="6" t="n">
        <v>10000</v>
      </c>
      <c r="DW66" s="6" t="n">
        <v>10000</v>
      </c>
      <c r="DX66" s="6" t="n">
        <v>10000</v>
      </c>
      <c r="DY66" s="6" t="n">
        <v>10000</v>
      </c>
      <c r="DZ66" s="6" t="n">
        <v>10000</v>
      </c>
      <c r="EA66" s="6" t="n">
        <v>6000</v>
      </c>
      <c r="EB66" s="6" t="n">
        <v>3921</v>
      </c>
      <c r="EC66" s="6" t="n">
        <v>3021</v>
      </c>
      <c r="ED66" s="6" t="n">
        <v>2993</v>
      </c>
      <c r="EE66" s="6" t="n">
        <v>3207</v>
      </c>
      <c r="EF66" s="6" t="n">
        <v>3151</v>
      </c>
      <c r="EG66" s="6" t="n">
        <v>3317</v>
      </c>
      <c r="EH66" s="6" t="n">
        <v>3020</v>
      </c>
      <c r="EI66" s="6" t="n">
        <v>3000</v>
      </c>
      <c r="EJ66" s="6" t="n">
        <v>3000</v>
      </c>
      <c r="EK66" s="6" t="n">
        <v>3050</v>
      </c>
      <c r="EL66" s="6" t="n">
        <v>3160</v>
      </c>
      <c r="EM66" s="6" t="n">
        <v>2801</v>
      </c>
      <c r="EN66" s="6" t="n">
        <v>2790</v>
      </c>
      <c r="EO66" s="6" t="n">
        <v>2701</v>
      </c>
      <c r="EP66" s="6" t="n">
        <v>2765</v>
      </c>
      <c r="EQ66" s="6" t="n">
        <v>2515</v>
      </c>
      <c r="ER66" s="6" t="n">
        <v>2500</v>
      </c>
      <c r="ES66" s="6" t="n">
        <v>2559</v>
      </c>
      <c r="ET66" s="6" t="n">
        <v>2519</v>
      </c>
      <c r="EU66" s="6" t="n">
        <v>2001</v>
      </c>
      <c r="EV66" s="6" t="n">
        <v>2120</v>
      </c>
      <c r="EW66" s="6" t="n">
        <v>2401</v>
      </c>
      <c r="EX66" s="6" t="n">
        <v>2600</v>
      </c>
      <c r="EY66" s="6" t="n">
        <v>3390</v>
      </c>
      <c r="EZ66" s="6" t="n">
        <v>3500</v>
      </c>
      <c r="FA66" s="6" t="n">
        <v>3638</v>
      </c>
      <c r="FB66" s="6" t="n">
        <v>3717</v>
      </c>
      <c r="FC66" s="6" t="n">
        <v>3796</v>
      </c>
      <c r="FD66" s="6" t="n">
        <v>3766</v>
      </c>
      <c r="FE66" s="6" t="n">
        <v>5010</v>
      </c>
      <c r="FF66" s="6" t="n">
        <v>5201</v>
      </c>
      <c r="FG66" s="6" t="n">
        <v>4501</v>
      </c>
      <c r="FH66" s="6" t="n">
        <v>5346</v>
      </c>
      <c r="FI66" s="6" t="n">
        <v>6253</v>
      </c>
      <c r="FJ66" s="6" t="n">
        <v>10000</v>
      </c>
      <c r="FK66" s="6" t="n">
        <v>10000</v>
      </c>
      <c r="FL66" s="6" t="n">
        <v>10000</v>
      </c>
      <c r="FM66" s="6" t="n">
        <v>10000</v>
      </c>
      <c r="FN66" s="6" t="n">
        <v>10000</v>
      </c>
      <c r="FO66" s="6" t="n">
        <v>10000</v>
      </c>
      <c r="FP66" s="6" t="n">
        <v>10000</v>
      </c>
      <c r="FQ66" s="6" t="n">
        <v>10000</v>
      </c>
      <c r="FR66" s="6" t="n">
        <v>10000</v>
      </c>
      <c r="FS66" s="6" t="n">
        <v>10000</v>
      </c>
      <c r="FT66" s="6" t="n">
        <v>10000</v>
      </c>
      <c r="FU66" s="6" t="n">
        <v>10000</v>
      </c>
      <c r="FV66" s="6" t="n">
        <v>10000</v>
      </c>
      <c r="FW66" s="6" t="n">
        <v>10000</v>
      </c>
      <c r="FX66" s="6" t="n">
        <v>10000</v>
      </c>
      <c r="FY66" s="6" t="n">
        <v>10000</v>
      </c>
      <c r="FZ66" s="6" t="n">
        <v>10000</v>
      </c>
      <c r="GA66" s="6" t="n">
        <v>10000</v>
      </c>
      <c r="GB66" s="6" t="n">
        <v>10000</v>
      </c>
      <c r="GC66" s="6" t="n">
        <v>10000</v>
      </c>
      <c r="GD66" s="6" t="n">
        <v>10000</v>
      </c>
      <c r="GE66" s="6" t="n">
        <v>10000</v>
      </c>
      <c r="GF66" s="6" t="n">
        <v>10000</v>
      </c>
      <c r="GG66" s="6" t="n">
        <v>10000</v>
      </c>
      <c r="GH66" s="6" t="n">
        <v>10000</v>
      </c>
      <c r="GI66" s="6" t="n">
        <v>10000</v>
      </c>
      <c r="GJ66" s="6" t="n">
        <v>10000</v>
      </c>
      <c r="GK66" s="6" t="n">
        <v>10000</v>
      </c>
      <c r="GL66" s="6" t="n">
        <v>10000</v>
      </c>
    </row>
    <row r="67">
      <c r="A67" s="6" t="inlineStr">
        <is>
          <t>RTM</t>
        </is>
      </c>
      <c r="B67" s="6" t="n">
        <v>4</v>
      </c>
      <c r="C67" s="6" t="n">
        <v>10000</v>
      </c>
      <c r="D67" s="6" t="n">
        <v>10000</v>
      </c>
      <c r="E67" s="6" t="n">
        <v>10000</v>
      </c>
      <c r="F67" s="6" t="n">
        <v>10000</v>
      </c>
      <c r="G67" s="6" t="n">
        <v>10000</v>
      </c>
      <c r="H67" s="6" t="n">
        <v>10000</v>
      </c>
      <c r="I67" s="6" t="n">
        <v>10000</v>
      </c>
      <c r="J67" s="6" t="n">
        <v>10000</v>
      </c>
      <c r="K67" s="6" t="n">
        <v>10000</v>
      </c>
      <c r="L67" s="6" t="n">
        <v>10000</v>
      </c>
      <c r="M67" s="6" t="n">
        <v>10000</v>
      </c>
      <c r="N67" s="6" t="n">
        <v>10000</v>
      </c>
      <c r="O67" s="6" t="n">
        <v>10000</v>
      </c>
      <c r="P67" s="6" t="n">
        <v>10000</v>
      </c>
      <c r="Q67" s="6" t="n">
        <v>10000</v>
      </c>
      <c r="R67" s="6" t="n">
        <v>10000</v>
      </c>
      <c r="S67" s="6" t="n">
        <v>10000</v>
      </c>
      <c r="T67" s="6" t="n">
        <v>10000</v>
      </c>
      <c r="U67" s="6" t="n">
        <v>10000</v>
      </c>
      <c r="V67" s="6" t="n">
        <v>10000</v>
      </c>
      <c r="W67" s="6" t="n">
        <v>10000</v>
      </c>
      <c r="X67" s="6" t="n">
        <v>10000</v>
      </c>
      <c r="Y67" s="6" t="n">
        <v>10000</v>
      </c>
      <c r="Z67" s="6" t="n">
        <v>10000</v>
      </c>
      <c r="AA67" s="6" t="n">
        <v>10000</v>
      </c>
      <c r="AB67" s="6" t="n">
        <v>10000</v>
      </c>
      <c r="AC67" s="6" t="n">
        <v>10000</v>
      </c>
      <c r="AD67" s="6" t="n">
        <v>10000</v>
      </c>
      <c r="AE67" s="6" t="n">
        <v>10000</v>
      </c>
      <c r="AF67" s="6" t="n">
        <v>10000</v>
      </c>
      <c r="AG67" s="6" t="n">
        <v>10000</v>
      </c>
      <c r="AH67" s="6" t="n">
        <v>10000</v>
      </c>
      <c r="AI67" s="6" t="n">
        <v>6076</v>
      </c>
      <c r="AJ67" s="6" t="n">
        <v>3731</v>
      </c>
      <c r="AK67" s="6" t="n">
        <v>4250</v>
      </c>
      <c r="AL67" s="6" t="n">
        <v>3673</v>
      </c>
      <c r="AM67" s="6" t="n">
        <v>3998</v>
      </c>
      <c r="AN67" s="6" t="n">
        <v>3750</v>
      </c>
      <c r="AO67" s="6" t="n">
        <v>3418</v>
      </c>
      <c r="AP67" s="6" t="n">
        <v>3161</v>
      </c>
      <c r="AQ67" s="6" t="n">
        <v>2790</v>
      </c>
      <c r="AR67" s="6" t="n">
        <v>2601</v>
      </c>
      <c r="AS67" s="6" t="n">
        <v>3590</v>
      </c>
      <c r="AT67" s="6" t="n">
        <v>3556</v>
      </c>
      <c r="AU67" s="6" t="n">
        <v>3501</v>
      </c>
      <c r="AV67" s="6" t="n">
        <v>3500</v>
      </c>
      <c r="AW67" s="6" t="n">
        <v>3398</v>
      </c>
      <c r="AX67" s="6" t="n">
        <v>3293</v>
      </c>
      <c r="AY67" s="6" t="n">
        <v>3179</v>
      </c>
      <c r="AZ67" s="6" t="n">
        <v>3179</v>
      </c>
      <c r="BA67" s="6" t="n">
        <v>3180</v>
      </c>
      <c r="BB67" s="6" t="n">
        <v>3010</v>
      </c>
      <c r="BC67" s="6" t="n">
        <v>2789</v>
      </c>
      <c r="BD67" s="6" t="n">
        <v>2790</v>
      </c>
      <c r="BE67" s="6" t="n">
        <v>3223</v>
      </c>
      <c r="BF67" s="6" t="n">
        <v>3331</v>
      </c>
      <c r="BG67" s="6" t="n">
        <v>3541</v>
      </c>
      <c r="BH67" s="6" t="n">
        <v>3766</v>
      </c>
      <c r="BI67" s="6" t="n">
        <v>4040</v>
      </c>
      <c r="BJ67" s="6" t="n">
        <v>4500</v>
      </c>
      <c r="BK67" s="6" t="n">
        <v>5501</v>
      </c>
      <c r="BL67" s="6" t="n">
        <v>5570</v>
      </c>
      <c r="BM67" s="6" t="n">
        <v>5726</v>
      </c>
      <c r="BN67" s="6" t="n">
        <v>6001</v>
      </c>
      <c r="BO67" s="6" t="n">
        <v>5727</v>
      </c>
      <c r="BP67" s="6" t="n">
        <v>7697</v>
      </c>
      <c r="BQ67" s="6" t="n">
        <v>9833</v>
      </c>
      <c r="BR67" s="6" t="n">
        <v>10000</v>
      </c>
      <c r="BS67" s="6" t="n">
        <v>10000</v>
      </c>
      <c r="BT67" s="6" t="n">
        <v>10000</v>
      </c>
      <c r="BU67" s="6" t="n">
        <v>10000</v>
      </c>
      <c r="BV67" s="6" t="n">
        <v>10000</v>
      </c>
      <c r="BW67" s="6" t="n">
        <v>10000</v>
      </c>
      <c r="BX67" s="6" t="n">
        <v>10000</v>
      </c>
      <c r="BY67" s="6" t="n">
        <v>10000</v>
      </c>
      <c r="BZ67" s="6" t="n">
        <v>10000</v>
      </c>
      <c r="CA67" s="6" t="n">
        <v>10000</v>
      </c>
      <c r="CB67" s="6" t="n">
        <v>10000</v>
      </c>
      <c r="CC67" s="6" t="n">
        <v>10000</v>
      </c>
      <c r="CD67" s="6" t="n">
        <v>10000</v>
      </c>
      <c r="CE67" s="6" t="n">
        <v>10000</v>
      </c>
      <c r="CF67" s="6" t="n">
        <v>10000</v>
      </c>
      <c r="CG67" s="6" t="n">
        <v>10000</v>
      </c>
      <c r="CH67" s="6" t="n">
        <v>10000</v>
      </c>
      <c r="CI67" s="6" t="n">
        <v>10000</v>
      </c>
      <c r="CJ67" s="6" t="n">
        <v>10000</v>
      </c>
      <c r="CK67" s="6" t="n">
        <v>10000</v>
      </c>
      <c r="CL67" s="6" t="n">
        <v>10000</v>
      </c>
      <c r="CM67" s="6" t="n">
        <v>10000</v>
      </c>
      <c r="CN67" s="6" t="n">
        <v>10000</v>
      </c>
      <c r="CO67" s="6" t="n">
        <v>10000</v>
      </c>
      <c r="CP67" s="6" t="n">
        <v>10000</v>
      </c>
      <c r="CQ67" s="6" t="n">
        <v>10000</v>
      </c>
      <c r="CR67" s="6" t="n">
        <v>10000</v>
      </c>
      <c r="CS67" s="6" t="n">
        <v>10000</v>
      </c>
      <c r="CT67" s="6" t="n">
        <v>10000</v>
      </c>
      <c r="CU67" s="6" t="n">
        <v>10000</v>
      </c>
      <c r="CV67" s="6" t="n">
        <v>10000</v>
      </c>
      <c r="CW67" s="6" t="n">
        <v>10000</v>
      </c>
      <c r="CX67" s="6" t="n">
        <v>10000</v>
      </c>
      <c r="CY67" s="6" t="n">
        <v>10000</v>
      </c>
      <c r="CZ67" s="6" t="n">
        <v>10000</v>
      </c>
      <c r="DA67" s="6" t="n">
        <v>10000</v>
      </c>
      <c r="DB67" s="6" t="n">
        <v>10000</v>
      </c>
      <c r="DC67" s="6" t="n">
        <v>10000</v>
      </c>
      <c r="DD67" s="6" t="n">
        <v>10000</v>
      </c>
      <c r="DE67" s="6" t="n">
        <v>10000</v>
      </c>
      <c r="DF67" s="6" t="n">
        <v>10000</v>
      </c>
      <c r="DG67" s="6" t="n">
        <v>10000</v>
      </c>
      <c r="DH67" s="6" t="n">
        <v>10000</v>
      </c>
      <c r="DI67" s="6" t="n">
        <v>10000</v>
      </c>
      <c r="DJ67" s="6" t="n">
        <v>10000</v>
      </c>
      <c r="DK67" s="6" t="n">
        <v>10000</v>
      </c>
      <c r="DL67" s="6" t="n">
        <v>10000</v>
      </c>
      <c r="DM67" s="6" t="n">
        <v>10000</v>
      </c>
      <c r="DN67" s="6" t="n">
        <v>10000</v>
      </c>
      <c r="DO67" s="6" t="n">
        <v>10000</v>
      </c>
      <c r="DP67" s="6" t="n">
        <v>10000</v>
      </c>
      <c r="DQ67" s="6" t="n">
        <v>10000</v>
      </c>
      <c r="DR67" s="6" t="n">
        <v>10000</v>
      </c>
      <c r="DS67" s="6" t="n">
        <v>10000</v>
      </c>
      <c r="DT67" s="6" t="n">
        <v>10000</v>
      </c>
      <c r="DU67" s="6" t="n">
        <v>10000</v>
      </c>
      <c r="DV67" s="6" t="n">
        <v>10000</v>
      </c>
      <c r="DW67" s="6" t="n">
        <v>10000</v>
      </c>
      <c r="DX67" s="6" t="n">
        <v>10000</v>
      </c>
      <c r="DY67" s="6" t="n">
        <v>10000</v>
      </c>
      <c r="DZ67" s="6" t="n">
        <v>10000</v>
      </c>
      <c r="EA67" s="6" t="n">
        <v>6076</v>
      </c>
      <c r="EB67" s="6" t="n">
        <v>3731</v>
      </c>
      <c r="EC67" s="6" t="n">
        <v>4250</v>
      </c>
      <c r="ED67" s="6" t="n">
        <v>3673</v>
      </c>
      <c r="EE67" s="6" t="n">
        <v>3998</v>
      </c>
      <c r="EF67" s="6" t="n">
        <v>3750</v>
      </c>
      <c r="EG67" s="6" t="n">
        <v>3418</v>
      </c>
      <c r="EH67" s="6" t="n">
        <v>3161</v>
      </c>
      <c r="EI67" s="6" t="n">
        <v>2790</v>
      </c>
      <c r="EJ67" s="6" t="n">
        <v>2601</v>
      </c>
      <c r="EK67" s="6" t="n">
        <v>3590</v>
      </c>
      <c r="EL67" s="6" t="n">
        <v>3556</v>
      </c>
      <c r="EM67" s="6" t="n">
        <v>3501</v>
      </c>
      <c r="EN67" s="6" t="n">
        <v>3500</v>
      </c>
      <c r="EO67" s="6" t="n">
        <v>3398</v>
      </c>
      <c r="EP67" s="6" t="n">
        <v>3293</v>
      </c>
      <c r="EQ67" s="6" t="n">
        <v>3179</v>
      </c>
      <c r="ER67" s="6" t="n">
        <v>3179</v>
      </c>
      <c r="ES67" s="6" t="n">
        <v>3180</v>
      </c>
      <c r="ET67" s="6" t="n">
        <v>3010</v>
      </c>
      <c r="EU67" s="6" t="n">
        <v>2789</v>
      </c>
      <c r="EV67" s="6" t="n">
        <v>2790</v>
      </c>
      <c r="EW67" s="6" t="n">
        <v>3223</v>
      </c>
      <c r="EX67" s="6" t="n">
        <v>3331</v>
      </c>
      <c r="EY67" s="6" t="n">
        <v>3541</v>
      </c>
      <c r="EZ67" s="6" t="n">
        <v>3766</v>
      </c>
      <c r="FA67" s="6" t="n">
        <v>4040</v>
      </c>
      <c r="FB67" s="6" t="n">
        <v>4500</v>
      </c>
      <c r="FC67" s="6" t="n">
        <v>5501</v>
      </c>
      <c r="FD67" s="6" t="n">
        <v>5570</v>
      </c>
      <c r="FE67" s="6" t="n">
        <v>5726</v>
      </c>
      <c r="FF67" s="6" t="n">
        <v>6001</v>
      </c>
      <c r="FG67" s="6" t="n">
        <v>5727</v>
      </c>
      <c r="FH67" s="6" t="n">
        <v>7697</v>
      </c>
      <c r="FI67" s="6" t="n">
        <v>9833</v>
      </c>
      <c r="FJ67" s="6" t="n">
        <v>10000</v>
      </c>
      <c r="FK67" s="6" t="n">
        <v>10000</v>
      </c>
      <c r="FL67" s="6" t="n">
        <v>10000</v>
      </c>
      <c r="FM67" s="6" t="n">
        <v>10000</v>
      </c>
      <c r="FN67" s="6" t="n">
        <v>10000</v>
      </c>
      <c r="FO67" s="6" t="n">
        <v>10000</v>
      </c>
      <c r="FP67" s="6" t="n">
        <v>10000</v>
      </c>
      <c r="FQ67" s="6" t="n">
        <v>10000</v>
      </c>
      <c r="FR67" s="6" t="n">
        <v>10000</v>
      </c>
      <c r="FS67" s="6" t="n">
        <v>10000</v>
      </c>
      <c r="FT67" s="6" t="n">
        <v>10000</v>
      </c>
      <c r="FU67" s="6" t="n">
        <v>10000</v>
      </c>
      <c r="FV67" s="6" t="n">
        <v>10000</v>
      </c>
      <c r="FW67" s="6" t="n">
        <v>10000</v>
      </c>
      <c r="FX67" s="6" t="n">
        <v>10000</v>
      </c>
      <c r="FY67" s="6" t="n">
        <v>10000</v>
      </c>
      <c r="FZ67" s="6" t="n">
        <v>10000</v>
      </c>
      <c r="GA67" s="6" t="n">
        <v>10000</v>
      </c>
      <c r="GB67" s="6" t="n">
        <v>10000</v>
      </c>
      <c r="GC67" s="6" t="n">
        <v>10000</v>
      </c>
      <c r="GD67" s="6" t="n">
        <v>10000</v>
      </c>
      <c r="GE67" s="6" t="n">
        <v>10000</v>
      </c>
      <c r="GF67" s="6" t="n">
        <v>10000</v>
      </c>
      <c r="GG67" s="6" t="n">
        <v>10000</v>
      </c>
      <c r="GH67" s="6" t="n">
        <v>10000</v>
      </c>
      <c r="GI67" s="6" t="n">
        <v>10000</v>
      </c>
      <c r="GJ67" s="6" t="n">
        <v>10000</v>
      </c>
      <c r="GK67" s="6" t="n">
        <v>10000</v>
      </c>
      <c r="GL67" s="6" t="n">
        <v>10000</v>
      </c>
    </row>
    <row r="68">
      <c r="A68" s="6" t="inlineStr">
        <is>
          <t>RTM</t>
        </is>
      </c>
      <c r="B68" s="6" t="n">
        <v>5</v>
      </c>
      <c r="C68" s="6" t="n">
        <v>10000</v>
      </c>
      <c r="D68" s="6" t="n">
        <v>10000</v>
      </c>
      <c r="E68" s="6" t="n">
        <v>10000</v>
      </c>
      <c r="F68" s="6" t="n">
        <v>10000</v>
      </c>
      <c r="G68" s="6" t="n">
        <v>10000</v>
      </c>
      <c r="H68" s="6" t="n">
        <v>10000</v>
      </c>
      <c r="I68" s="6" t="n">
        <v>10000</v>
      </c>
      <c r="J68" s="6" t="n">
        <v>10000</v>
      </c>
      <c r="K68" s="6" t="n">
        <v>10000</v>
      </c>
      <c r="L68" s="6" t="n">
        <v>10000</v>
      </c>
      <c r="M68" s="6" t="n">
        <v>10000</v>
      </c>
      <c r="N68" s="6" t="n">
        <v>10000</v>
      </c>
      <c r="O68" s="6" t="n">
        <v>10000</v>
      </c>
      <c r="P68" s="6" t="n">
        <v>10000</v>
      </c>
      <c r="Q68" s="6" t="n">
        <v>10000</v>
      </c>
      <c r="R68" s="6" t="n">
        <v>10000</v>
      </c>
      <c r="S68" s="6" t="n">
        <v>10000</v>
      </c>
      <c r="T68" s="6" t="n">
        <v>10000</v>
      </c>
      <c r="U68" s="6" t="n">
        <v>10000</v>
      </c>
      <c r="V68" s="6" t="n">
        <v>10000</v>
      </c>
      <c r="W68" s="6" t="n">
        <v>10000</v>
      </c>
      <c r="X68" s="6" t="n">
        <v>10000</v>
      </c>
      <c r="Y68" s="6" t="n">
        <v>10000</v>
      </c>
      <c r="Z68" s="6" t="n">
        <v>10000</v>
      </c>
      <c r="AA68" s="6" t="n">
        <v>10000</v>
      </c>
      <c r="AB68" s="6" t="n">
        <v>10000</v>
      </c>
      <c r="AC68" s="6" t="n">
        <v>10000</v>
      </c>
      <c r="AD68" s="6" t="n">
        <v>10000</v>
      </c>
      <c r="AE68" s="6" t="n">
        <v>10000</v>
      </c>
      <c r="AF68" s="6" t="n">
        <v>10000</v>
      </c>
      <c r="AG68" s="6" t="n">
        <v>10000</v>
      </c>
      <c r="AH68" s="6" t="n">
        <v>10000</v>
      </c>
      <c r="AI68" s="6" t="n">
        <v>10000</v>
      </c>
      <c r="AJ68" s="6" t="n">
        <v>10000</v>
      </c>
      <c r="AK68" s="6" t="n">
        <v>10000</v>
      </c>
      <c r="AL68" s="6" t="n">
        <v>10000</v>
      </c>
      <c r="AM68" s="6" t="n">
        <v>4990</v>
      </c>
      <c r="AN68" s="6" t="n">
        <v>3711</v>
      </c>
      <c r="AO68" s="6" t="n">
        <v>4301</v>
      </c>
      <c r="AP68" s="6" t="n">
        <v>3800</v>
      </c>
      <c r="AQ68" s="6" t="n">
        <v>3800</v>
      </c>
      <c r="AR68" s="6" t="n">
        <v>3711</v>
      </c>
      <c r="AS68" s="6" t="n">
        <v>3711</v>
      </c>
      <c r="AT68" s="6" t="n">
        <v>3556</v>
      </c>
      <c r="AU68" s="6" t="n">
        <v>3001</v>
      </c>
      <c r="AV68" s="6" t="n">
        <v>2911</v>
      </c>
      <c r="AW68" s="6" t="n">
        <v>2999</v>
      </c>
      <c r="AX68" s="6" t="n">
        <v>2910</v>
      </c>
      <c r="AY68" s="6" t="n">
        <v>3001</v>
      </c>
      <c r="AZ68" s="6" t="n">
        <v>3020</v>
      </c>
      <c r="BA68" s="6" t="n">
        <v>3000</v>
      </c>
      <c r="BB68" s="6" t="n">
        <v>2800</v>
      </c>
      <c r="BC68" s="6" t="n">
        <v>2581</v>
      </c>
      <c r="BD68" s="6" t="n">
        <v>2582</v>
      </c>
      <c r="BE68" s="6" t="n">
        <v>3058</v>
      </c>
      <c r="BF68" s="6" t="n">
        <v>3206</v>
      </c>
      <c r="BG68" s="6" t="n">
        <v>3001</v>
      </c>
      <c r="BH68" s="6" t="n">
        <v>3049</v>
      </c>
      <c r="BI68" s="6" t="n">
        <v>2924</v>
      </c>
      <c r="BJ68" s="6" t="n">
        <v>3239</v>
      </c>
      <c r="BK68" s="6" t="n">
        <v>3371</v>
      </c>
      <c r="BL68" s="6" t="n">
        <v>3407</v>
      </c>
      <c r="BM68" s="6" t="n">
        <v>3832</v>
      </c>
      <c r="BN68" s="6" t="n">
        <v>4001</v>
      </c>
      <c r="BO68" s="6" t="n">
        <v>4451</v>
      </c>
      <c r="BP68" s="6" t="n">
        <v>5820</v>
      </c>
      <c r="BQ68" s="6" t="n">
        <v>10000</v>
      </c>
      <c r="BR68" s="6" t="n">
        <v>10000</v>
      </c>
      <c r="BS68" s="6" t="n">
        <v>10000</v>
      </c>
      <c r="BT68" s="6" t="n">
        <v>10000</v>
      </c>
      <c r="BU68" s="6" t="n">
        <v>10000</v>
      </c>
      <c r="BV68" s="6" t="n">
        <v>10000</v>
      </c>
      <c r="BW68" s="6" t="n">
        <v>10000</v>
      </c>
      <c r="BX68" s="6" t="n">
        <v>10000</v>
      </c>
      <c r="BY68" s="6" t="n">
        <v>10000</v>
      </c>
      <c r="BZ68" s="6" t="n">
        <v>10000</v>
      </c>
      <c r="CA68" s="6" t="n">
        <v>10000</v>
      </c>
      <c r="CB68" s="6" t="n">
        <v>10000</v>
      </c>
      <c r="CC68" s="6" t="n">
        <v>10000</v>
      </c>
      <c r="CD68" s="6" t="n">
        <v>10000</v>
      </c>
      <c r="CE68" s="6" t="n">
        <v>10000</v>
      </c>
      <c r="CF68" s="6" t="n">
        <v>10000</v>
      </c>
      <c r="CG68" s="6" t="n">
        <v>10000</v>
      </c>
      <c r="CH68" s="6" t="n">
        <v>10000</v>
      </c>
      <c r="CI68" s="6" t="n">
        <v>10000</v>
      </c>
      <c r="CJ68" s="6" t="n">
        <v>10000</v>
      </c>
      <c r="CK68" s="6" t="n">
        <v>10000</v>
      </c>
      <c r="CL68" s="6" t="n">
        <v>10000</v>
      </c>
      <c r="CM68" s="6" t="n">
        <v>10000</v>
      </c>
      <c r="CN68" s="6" t="n">
        <v>10000</v>
      </c>
      <c r="CO68" s="6" t="n">
        <v>10000</v>
      </c>
      <c r="CP68" s="6" t="n">
        <v>10000</v>
      </c>
      <c r="CQ68" s="6" t="n">
        <v>10000</v>
      </c>
      <c r="CR68" s="6" t="n">
        <v>10000</v>
      </c>
      <c r="CS68" s="6" t="n">
        <v>10000</v>
      </c>
      <c r="CT68" s="6" t="n">
        <v>10000</v>
      </c>
      <c r="CU68" s="6" t="n">
        <v>10000</v>
      </c>
      <c r="CV68" s="6" t="n">
        <v>10000</v>
      </c>
      <c r="CW68" s="6" t="n">
        <v>10000</v>
      </c>
      <c r="CX68" s="6" t="n">
        <v>10000</v>
      </c>
      <c r="CY68" s="6" t="n">
        <v>10000</v>
      </c>
      <c r="CZ68" s="6" t="n">
        <v>10000</v>
      </c>
      <c r="DA68" s="6" t="n">
        <v>10000</v>
      </c>
      <c r="DB68" s="6" t="n">
        <v>10000</v>
      </c>
      <c r="DC68" s="6" t="n">
        <v>10000</v>
      </c>
      <c r="DD68" s="6" t="n">
        <v>10000</v>
      </c>
      <c r="DE68" s="6" t="n">
        <v>10000</v>
      </c>
      <c r="DF68" s="6" t="n">
        <v>10000</v>
      </c>
      <c r="DG68" s="6" t="n">
        <v>10000</v>
      </c>
      <c r="DH68" s="6" t="n">
        <v>10000</v>
      </c>
      <c r="DI68" s="6" t="n">
        <v>10000</v>
      </c>
      <c r="DJ68" s="6" t="n">
        <v>10000</v>
      </c>
      <c r="DK68" s="6" t="n">
        <v>10000</v>
      </c>
      <c r="DL68" s="6" t="n">
        <v>10000</v>
      </c>
      <c r="DM68" s="6" t="n">
        <v>10000</v>
      </c>
      <c r="DN68" s="6" t="n">
        <v>10000</v>
      </c>
      <c r="DO68" s="6" t="n">
        <v>10000</v>
      </c>
      <c r="DP68" s="6" t="n">
        <v>10000</v>
      </c>
      <c r="DQ68" s="6" t="n">
        <v>10000</v>
      </c>
      <c r="DR68" s="6" t="n">
        <v>10000</v>
      </c>
      <c r="DS68" s="6" t="n">
        <v>10000</v>
      </c>
      <c r="DT68" s="6" t="n">
        <v>10000</v>
      </c>
      <c r="DU68" s="6" t="n">
        <v>10000</v>
      </c>
      <c r="DV68" s="6" t="n">
        <v>10000</v>
      </c>
      <c r="DW68" s="6" t="n">
        <v>10000</v>
      </c>
      <c r="DX68" s="6" t="n">
        <v>10000</v>
      </c>
      <c r="DY68" s="6" t="n">
        <v>10000</v>
      </c>
      <c r="DZ68" s="6" t="n">
        <v>10000</v>
      </c>
      <c r="EA68" s="6" t="n">
        <v>10000</v>
      </c>
      <c r="EB68" s="6" t="n">
        <v>10000</v>
      </c>
      <c r="EC68" s="6" t="n">
        <v>10000</v>
      </c>
      <c r="ED68" s="6" t="n">
        <v>10000</v>
      </c>
      <c r="EE68" s="6" t="n">
        <v>4990</v>
      </c>
      <c r="EF68" s="6" t="n">
        <v>3711</v>
      </c>
      <c r="EG68" s="6" t="n">
        <v>4301</v>
      </c>
      <c r="EH68" s="6" t="n">
        <v>3800</v>
      </c>
      <c r="EI68" s="6" t="n">
        <v>3800</v>
      </c>
      <c r="EJ68" s="6" t="n">
        <v>3711</v>
      </c>
      <c r="EK68" s="6" t="n">
        <v>3711</v>
      </c>
      <c r="EL68" s="6" t="n">
        <v>3556</v>
      </c>
      <c r="EM68" s="6" t="n">
        <v>3001</v>
      </c>
      <c r="EN68" s="6" t="n">
        <v>2911</v>
      </c>
      <c r="EO68" s="6" t="n">
        <v>2999</v>
      </c>
      <c r="EP68" s="6" t="n">
        <v>2910</v>
      </c>
      <c r="EQ68" s="6" t="n">
        <v>3001</v>
      </c>
      <c r="ER68" s="6" t="n">
        <v>3020</v>
      </c>
      <c r="ES68" s="6" t="n">
        <v>3000</v>
      </c>
      <c r="ET68" s="6" t="n">
        <v>2800</v>
      </c>
      <c r="EU68" s="6" t="n">
        <v>2581</v>
      </c>
      <c r="EV68" s="6" t="n">
        <v>2582</v>
      </c>
      <c r="EW68" s="6" t="n">
        <v>3058</v>
      </c>
      <c r="EX68" s="6" t="n">
        <v>3206</v>
      </c>
      <c r="EY68" s="6" t="n">
        <v>3001</v>
      </c>
      <c r="EZ68" s="6" t="n">
        <v>3049</v>
      </c>
      <c r="FA68" s="6" t="n">
        <v>2924</v>
      </c>
      <c r="FB68" s="6" t="n">
        <v>3239</v>
      </c>
      <c r="FC68" s="6" t="n">
        <v>3371</v>
      </c>
      <c r="FD68" s="6" t="n">
        <v>3407</v>
      </c>
      <c r="FE68" s="6" t="n">
        <v>3832</v>
      </c>
      <c r="FF68" s="6" t="n">
        <v>4001</v>
      </c>
      <c r="FG68" s="6" t="n">
        <v>4451</v>
      </c>
      <c r="FH68" s="6" t="n">
        <v>5820</v>
      </c>
      <c r="FI68" s="6" t="n">
        <v>10000</v>
      </c>
      <c r="FJ68" s="6" t="n">
        <v>10000</v>
      </c>
      <c r="FK68" s="6" t="n">
        <v>10000</v>
      </c>
      <c r="FL68" s="6" t="n">
        <v>10000</v>
      </c>
      <c r="FM68" s="6" t="n">
        <v>10000</v>
      </c>
      <c r="FN68" s="6" t="n">
        <v>10000</v>
      </c>
      <c r="FO68" s="6" t="n">
        <v>10000</v>
      </c>
      <c r="FP68" s="6" t="n">
        <v>10000</v>
      </c>
      <c r="FQ68" s="6" t="n">
        <v>10000</v>
      </c>
      <c r="FR68" s="6" t="n">
        <v>10000</v>
      </c>
      <c r="FS68" s="6" t="n">
        <v>10000</v>
      </c>
      <c r="FT68" s="6" t="n">
        <v>10000</v>
      </c>
      <c r="FU68" s="6" t="n">
        <v>10000</v>
      </c>
      <c r="FV68" s="6" t="n">
        <v>10000</v>
      </c>
      <c r="FW68" s="6" t="n">
        <v>10000</v>
      </c>
      <c r="FX68" s="6" t="n">
        <v>10000</v>
      </c>
      <c r="FY68" s="6" t="n">
        <v>10000</v>
      </c>
      <c r="FZ68" s="6" t="n">
        <v>10000</v>
      </c>
      <c r="GA68" s="6" t="n">
        <v>10000</v>
      </c>
      <c r="GB68" s="6" t="n">
        <v>10000</v>
      </c>
      <c r="GC68" s="6" t="n">
        <v>10000</v>
      </c>
      <c r="GD68" s="6" t="n">
        <v>10000</v>
      </c>
      <c r="GE68" s="6" t="n">
        <v>10000</v>
      </c>
      <c r="GF68" s="6" t="n">
        <v>10000</v>
      </c>
      <c r="GG68" s="6" t="n">
        <v>10000</v>
      </c>
      <c r="GH68" s="6" t="n">
        <v>10000</v>
      </c>
      <c r="GI68" s="6" t="n">
        <v>10000</v>
      </c>
      <c r="GJ68" s="6" t="n">
        <v>10000</v>
      </c>
      <c r="GK68" s="6" t="n">
        <v>10000</v>
      </c>
      <c r="GL68" s="6" t="n">
        <v>10000</v>
      </c>
    </row>
    <row r="69">
      <c r="A69" s="6" t="inlineStr">
        <is>
          <t>RTM</t>
        </is>
      </c>
      <c r="B69" s="6" t="n">
        <v>6</v>
      </c>
      <c r="C69" s="6" t="n">
        <v>10000</v>
      </c>
      <c r="D69" s="6" t="n">
        <v>10000</v>
      </c>
      <c r="E69" s="6" t="n">
        <v>10000</v>
      </c>
      <c r="F69" s="6" t="n">
        <v>10000</v>
      </c>
      <c r="G69" s="6" t="n">
        <v>10000</v>
      </c>
      <c r="H69" s="6" t="n">
        <v>10000</v>
      </c>
      <c r="I69" s="6" t="n">
        <v>10000</v>
      </c>
      <c r="J69" s="6" t="n">
        <v>10000</v>
      </c>
      <c r="K69" s="6" t="n">
        <v>10000</v>
      </c>
      <c r="L69" s="6" t="n">
        <v>10000</v>
      </c>
      <c r="M69" s="6" t="n">
        <v>10000</v>
      </c>
      <c r="N69" s="6" t="n">
        <v>10000</v>
      </c>
      <c r="O69" s="6" t="n">
        <v>10000</v>
      </c>
      <c r="P69" s="6" t="n">
        <v>10000</v>
      </c>
      <c r="Q69" s="6" t="n">
        <v>10000</v>
      </c>
      <c r="R69" s="6" t="n">
        <v>10000</v>
      </c>
      <c r="S69" s="6" t="n">
        <v>10000</v>
      </c>
      <c r="T69" s="6" t="n">
        <v>10000</v>
      </c>
      <c r="U69" s="6" t="n">
        <v>10000</v>
      </c>
      <c r="V69" s="6" t="n">
        <v>10000</v>
      </c>
      <c r="W69" s="6" t="n">
        <v>10000</v>
      </c>
      <c r="X69" s="6" t="n">
        <v>10000</v>
      </c>
      <c r="Y69" s="6" t="n">
        <v>10000</v>
      </c>
      <c r="Z69" s="6" t="n">
        <v>10000</v>
      </c>
      <c r="AA69" s="6" t="n">
        <v>10000</v>
      </c>
      <c r="AB69" s="6" t="n">
        <v>10000</v>
      </c>
      <c r="AC69" s="6" t="n">
        <v>10000</v>
      </c>
      <c r="AD69" s="6" t="n">
        <v>10000</v>
      </c>
      <c r="AE69" s="6" t="n">
        <v>10000</v>
      </c>
      <c r="AF69" s="6" t="n">
        <v>10000</v>
      </c>
      <c r="AG69" s="6" t="n">
        <v>10000</v>
      </c>
      <c r="AH69" s="6" t="n">
        <v>10000</v>
      </c>
      <c r="AI69" s="6" t="n">
        <v>5328</v>
      </c>
      <c r="AJ69" s="6" t="n">
        <v>3400</v>
      </c>
      <c r="AK69" s="6" t="n">
        <v>100</v>
      </c>
      <c r="AL69" s="6" t="n">
        <v>50</v>
      </c>
      <c r="AM69" s="6" t="n">
        <v>2531</v>
      </c>
      <c r="AN69" s="6" t="n">
        <v>1532</v>
      </c>
      <c r="AO69" s="6" t="n">
        <v>2600</v>
      </c>
      <c r="AP69" s="6" t="n">
        <v>2380</v>
      </c>
      <c r="AQ69" s="6" t="n">
        <v>1941</v>
      </c>
      <c r="AR69" s="6" t="n">
        <v>1576</v>
      </c>
      <c r="AS69" s="6" t="n">
        <v>2070</v>
      </c>
      <c r="AT69" s="6" t="n">
        <v>1576</v>
      </c>
      <c r="AU69" s="6" t="n">
        <v>2074</v>
      </c>
      <c r="AV69" s="6" t="n">
        <v>1961</v>
      </c>
      <c r="AW69" s="6" t="n">
        <v>2074</v>
      </c>
      <c r="AX69" s="6" t="n">
        <v>2071</v>
      </c>
      <c r="AY69" s="6" t="n">
        <v>999</v>
      </c>
      <c r="AZ69" s="6" t="n">
        <v>400</v>
      </c>
      <c r="BA69" s="6" t="n">
        <v>999</v>
      </c>
      <c r="BB69" s="6" t="n">
        <v>1748</v>
      </c>
      <c r="BC69" s="6" t="n">
        <v>1532</v>
      </c>
      <c r="BD69" s="6" t="n">
        <v>1575</v>
      </c>
      <c r="BE69" s="6" t="n">
        <v>2067</v>
      </c>
      <c r="BF69" s="6" t="n">
        <v>2100</v>
      </c>
      <c r="BG69" s="6" t="n">
        <v>2500</v>
      </c>
      <c r="BH69" s="6" t="n">
        <v>2500</v>
      </c>
      <c r="BI69" s="6" t="n">
        <v>2611</v>
      </c>
      <c r="BJ69" s="6" t="n">
        <v>2751</v>
      </c>
      <c r="BK69" s="6" t="n">
        <v>3324</v>
      </c>
      <c r="BL69" s="6" t="n">
        <v>2985</v>
      </c>
      <c r="BM69" s="6" t="n">
        <v>2901</v>
      </c>
      <c r="BN69" s="6" t="n">
        <v>3090</v>
      </c>
      <c r="BO69" s="6" t="n">
        <v>2500</v>
      </c>
      <c r="BP69" s="6" t="n">
        <v>2581</v>
      </c>
      <c r="BQ69" s="6" t="n">
        <v>3500</v>
      </c>
      <c r="BR69" s="6" t="n">
        <v>3589</v>
      </c>
      <c r="BS69" s="6" t="n">
        <v>3360</v>
      </c>
      <c r="BT69" s="6" t="n">
        <v>3922</v>
      </c>
      <c r="BU69" s="6" t="n">
        <v>10000</v>
      </c>
      <c r="BV69" s="6" t="n">
        <v>10000</v>
      </c>
      <c r="BW69" s="6" t="n">
        <v>10000</v>
      </c>
      <c r="BX69" s="6" t="n">
        <v>10000</v>
      </c>
      <c r="BY69" s="6" t="n">
        <v>10000</v>
      </c>
      <c r="BZ69" s="6" t="n">
        <v>10000</v>
      </c>
      <c r="CA69" s="6" t="n">
        <v>10000</v>
      </c>
      <c r="CB69" s="6" t="n">
        <v>10000</v>
      </c>
      <c r="CC69" s="6" t="n">
        <v>10000</v>
      </c>
      <c r="CD69" s="6" t="n">
        <v>10000</v>
      </c>
      <c r="CE69" s="6" t="n">
        <v>10000</v>
      </c>
      <c r="CF69" s="6" t="n">
        <v>10000</v>
      </c>
      <c r="CG69" s="6" t="n">
        <v>10000</v>
      </c>
      <c r="CH69" s="6" t="n">
        <v>10000</v>
      </c>
      <c r="CI69" s="6" t="n">
        <v>10000</v>
      </c>
      <c r="CJ69" s="6" t="n">
        <v>10000</v>
      </c>
      <c r="CK69" s="6" t="n">
        <v>10000</v>
      </c>
      <c r="CL69" s="6" t="n">
        <v>10000</v>
      </c>
      <c r="CM69" s="6" t="n">
        <v>10000</v>
      </c>
      <c r="CN69" s="6" t="n">
        <v>10000</v>
      </c>
      <c r="CO69" s="6" t="n">
        <v>10000</v>
      </c>
      <c r="CP69" s="6" t="n">
        <v>10000</v>
      </c>
      <c r="CQ69" s="6" t="n">
        <v>10000</v>
      </c>
      <c r="CR69" s="6" t="n">
        <v>10000</v>
      </c>
      <c r="CS69" s="6" t="n">
        <v>10000</v>
      </c>
      <c r="CT69" s="6" t="n">
        <v>10000</v>
      </c>
      <c r="CU69" s="6" t="n">
        <v>10000</v>
      </c>
      <c r="CV69" s="6" t="n">
        <v>10000</v>
      </c>
      <c r="CW69" s="6" t="n">
        <v>10000</v>
      </c>
      <c r="CX69" s="6" t="n">
        <v>10000</v>
      </c>
      <c r="CY69" s="6" t="n">
        <v>10000</v>
      </c>
      <c r="CZ69" s="6" t="n">
        <v>10000</v>
      </c>
      <c r="DA69" s="6" t="n">
        <v>10000</v>
      </c>
      <c r="DB69" s="6" t="n">
        <v>10000</v>
      </c>
      <c r="DC69" s="6" t="n">
        <v>10000</v>
      </c>
      <c r="DD69" s="6" t="n">
        <v>10000</v>
      </c>
      <c r="DE69" s="6" t="n">
        <v>10000</v>
      </c>
      <c r="DF69" s="6" t="n">
        <v>10000</v>
      </c>
      <c r="DG69" s="6" t="n">
        <v>10000</v>
      </c>
      <c r="DH69" s="6" t="n">
        <v>10000</v>
      </c>
      <c r="DI69" s="6" t="n">
        <v>10000</v>
      </c>
      <c r="DJ69" s="6" t="n">
        <v>10000</v>
      </c>
      <c r="DK69" s="6" t="n">
        <v>10000</v>
      </c>
      <c r="DL69" s="6" t="n">
        <v>10000</v>
      </c>
      <c r="DM69" s="6" t="n">
        <v>10000</v>
      </c>
      <c r="DN69" s="6" t="n">
        <v>10000</v>
      </c>
      <c r="DO69" s="6" t="n">
        <v>10000</v>
      </c>
      <c r="DP69" s="6" t="n">
        <v>10000</v>
      </c>
      <c r="DQ69" s="6" t="n">
        <v>10000</v>
      </c>
      <c r="DR69" s="6" t="n">
        <v>10000</v>
      </c>
      <c r="DS69" s="6" t="n">
        <v>10000</v>
      </c>
      <c r="DT69" s="6" t="n">
        <v>10000</v>
      </c>
      <c r="DU69" s="6" t="n">
        <v>10000</v>
      </c>
      <c r="DV69" s="6" t="n">
        <v>10000</v>
      </c>
      <c r="DW69" s="6" t="n">
        <v>10000</v>
      </c>
      <c r="DX69" s="6" t="n">
        <v>10000</v>
      </c>
      <c r="DY69" s="6" t="n">
        <v>10000</v>
      </c>
      <c r="DZ69" s="6" t="n">
        <v>10000</v>
      </c>
      <c r="EA69" s="6" t="n">
        <v>5328</v>
      </c>
      <c r="EB69" s="6" t="n">
        <v>3400</v>
      </c>
      <c r="EC69" s="6" t="n">
        <v>100</v>
      </c>
      <c r="ED69" s="6" t="n">
        <v>50</v>
      </c>
      <c r="EE69" s="6" t="n">
        <v>2531</v>
      </c>
      <c r="EF69" s="6" t="n">
        <v>1532</v>
      </c>
      <c r="EG69" s="6" t="n">
        <v>2600</v>
      </c>
      <c r="EH69" s="6" t="n">
        <v>2380</v>
      </c>
      <c r="EI69" s="6" t="n">
        <v>1941</v>
      </c>
      <c r="EJ69" s="6" t="n">
        <v>1576</v>
      </c>
      <c r="EK69" s="6" t="n">
        <v>2070</v>
      </c>
      <c r="EL69" s="6" t="n">
        <v>1576</v>
      </c>
      <c r="EM69" s="6" t="n">
        <v>2074</v>
      </c>
      <c r="EN69" s="6" t="n">
        <v>1961</v>
      </c>
      <c r="EO69" s="6" t="n">
        <v>2074</v>
      </c>
      <c r="EP69" s="6" t="n">
        <v>2071</v>
      </c>
      <c r="EQ69" s="6" t="n">
        <v>999</v>
      </c>
      <c r="ER69" s="6" t="n">
        <v>400</v>
      </c>
      <c r="ES69" s="6" t="n">
        <v>999</v>
      </c>
      <c r="ET69" s="6" t="n">
        <v>1748</v>
      </c>
      <c r="EU69" s="6" t="n">
        <v>1532</v>
      </c>
      <c r="EV69" s="6" t="n">
        <v>1575</v>
      </c>
      <c r="EW69" s="6" t="n">
        <v>2067</v>
      </c>
      <c r="EX69" s="6" t="n">
        <v>2100</v>
      </c>
      <c r="EY69" s="6" t="n">
        <v>2500</v>
      </c>
      <c r="EZ69" s="6" t="n">
        <v>2500</v>
      </c>
      <c r="FA69" s="6" t="n">
        <v>2611</v>
      </c>
      <c r="FB69" s="6" t="n">
        <v>2751</v>
      </c>
      <c r="FC69" s="6" t="n">
        <v>3324</v>
      </c>
      <c r="FD69" s="6" t="n">
        <v>2985</v>
      </c>
      <c r="FE69" s="6" t="n">
        <v>2901</v>
      </c>
      <c r="FF69" s="6" t="n">
        <v>3090</v>
      </c>
      <c r="FG69" s="6" t="n">
        <v>2500</v>
      </c>
      <c r="FH69" s="6" t="n">
        <v>2581</v>
      </c>
      <c r="FI69" s="6" t="n">
        <v>3500</v>
      </c>
      <c r="FJ69" s="6" t="n">
        <v>3589</v>
      </c>
      <c r="FK69" s="6" t="n">
        <v>3360</v>
      </c>
      <c r="FL69" s="6" t="n">
        <v>3922</v>
      </c>
      <c r="FM69" s="6" t="n">
        <v>10000</v>
      </c>
      <c r="FN69" s="6" t="n">
        <v>10000</v>
      </c>
      <c r="FO69" s="6" t="n">
        <v>10000</v>
      </c>
      <c r="FP69" s="6" t="n">
        <v>10000</v>
      </c>
      <c r="FQ69" s="6" t="n">
        <v>10000</v>
      </c>
      <c r="FR69" s="6" t="n">
        <v>10000</v>
      </c>
      <c r="FS69" s="6" t="n">
        <v>10000</v>
      </c>
      <c r="FT69" s="6" t="n">
        <v>10000</v>
      </c>
      <c r="FU69" s="6" t="n">
        <v>10000</v>
      </c>
      <c r="FV69" s="6" t="n">
        <v>10000</v>
      </c>
      <c r="FW69" s="6" t="n">
        <v>10000</v>
      </c>
      <c r="FX69" s="6" t="n">
        <v>10000</v>
      </c>
      <c r="FY69" s="6" t="n">
        <v>10000</v>
      </c>
      <c r="FZ69" s="6" t="n">
        <v>10000</v>
      </c>
      <c r="GA69" s="6" t="n">
        <v>10000</v>
      </c>
      <c r="GB69" s="6" t="n">
        <v>10000</v>
      </c>
      <c r="GC69" s="6" t="n">
        <v>10000</v>
      </c>
      <c r="GD69" s="6" t="n">
        <v>10000</v>
      </c>
      <c r="GE69" s="6" t="n">
        <v>10000</v>
      </c>
      <c r="GF69" s="6" t="n">
        <v>10000</v>
      </c>
      <c r="GG69" s="6" t="n">
        <v>10000</v>
      </c>
      <c r="GH69" s="6" t="n">
        <v>10000</v>
      </c>
      <c r="GI69" s="6" t="n">
        <v>10000</v>
      </c>
      <c r="GJ69" s="6" t="n">
        <v>10000</v>
      </c>
      <c r="GK69" s="6" t="n">
        <v>10000</v>
      </c>
      <c r="GL69" s="6" t="n">
        <v>10000</v>
      </c>
    </row>
    <row r="70">
      <c r="A70" s="6" t="inlineStr">
        <is>
          <t>RTM</t>
        </is>
      </c>
      <c r="B70" s="6" t="n">
        <v>7</v>
      </c>
      <c r="C70" s="6" t="n">
        <v>10000</v>
      </c>
      <c r="D70" s="6" t="n">
        <v>10000</v>
      </c>
      <c r="E70" s="6" t="n">
        <v>10000</v>
      </c>
      <c r="F70" s="6" t="n">
        <v>10000</v>
      </c>
      <c r="G70" s="6" t="n">
        <v>10000</v>
      </c>
      <c r="H70" s="6" t="n">
        <v>10000</v>
      </c>
      <c r="I70" s="6" t="n">
        <v>10000</v>
      </c>
      <c r="J70" s="6" t="n">
        <v>10000</v>
      </c>
      <c r="K70" s="6" t="n">
        <v>10000</v>
      </c>
      <c r="L70" s="6" t="n">
        <v>10000</v>
      </c>
      <c r="M70" s="6" t="n">
        <v>10000</v>
      </c>
      <c r="N70" s="6" t="n">
        <v>10000</v>
      </c>
      <c r="O70" s="6" t="n">
        <v>10000</v>
      </c>
      <c r="P70" s="6" t="n">
        <v>7835</v>
      </c>
      <c r="Q70" s="6" t="n">
        <v>4496</v>
      </c>
      <c r="R70" s="6" t="n">
        <v>4495</v>
      </c>
      <c r="S70" s="6" t="n">
        <v>5362</v>
      </c>
      <c r="T70" s="6" t="n">
        <v>9999</v>
      </c>
      <c r="U70" s="6" t="n">
        <v>10000</v>
      </c>
      <c r="V70" s="6" t="n">
        <v>10000</v>
      </c>
      <c r="W70" s="6" t="n">
        <v>10000</v>
      </c>
      <c r="X70" s="6" t="n">
        <v>10000</v>
      </c>
      <c r="Y70" s="6" t="n">
        <v>10000</v>
      </c>
      <c r="Z70" s="6" t="n">
        <v>10000</v>
      </c>
      <c r="AA70" s="6" t="n">
        <v>10000</v>
      </c>
      <c r="AB70" s="6" t="n">
        <v>10000</v>
      </c>
      <c r="AC70" s="6" t="n">
        <v>10000</v>
      </c>
      <c r="AD70" s="6" t="n">
        <v>10000</v>
      </c>
      <c r="AE70" s="6" t="n">
        <v>10000</v>
      </c>
      <c r="AF70" s="6" t="n">
        <v>10000</v>
      </c>
      <c r="AG70" s="6" t="n">
        <v>10000</v>
      </c>
      <c r="AH70" s="6" t="n">
        <v>10000</v>
      </c>
      <c r="AI70" s="6" t="n">
        <v>4817</v>
      </c>
      <c r="AJ70" s="6" t="n">
        <v>3513</v>
      </c>
      <c r="AK70" s="6" t="n">
        <v>1473</v>
      </c>
      <c r="AL70" s="6" t="n">
        <v>489</v>
      </c>
      <c r="AM70" s="6" t="n">
        <v>399</v>
      </c>
      <c r="AN70" s="6" t="n">
        <v>29</v>
      </c>
      <c r="AO70" s="6" t="n">
        <v>1563</v>
      </c>
      <c r="AP70" s="6" t="n">
        <v>2071</v>
      </c>
      <c r="AQ70" s="6" t="n">
        <v>3410</v>
      </c>
      <c r="AR70" s="6" t="n">
        <v>3407</v>
      </c>
      <c r="AS70" s="6" t="n">
        <v>2800</v>
      </c>
      <c r="AT70" s="6" t="n">
        <v>2612</v>
      </c>
      <c r="AU70" s="6" t="n">
        <v>2801</v>
      </c>
      <c r="AV70" s="6" t="n">
        <v>2801</v>
      </c>
      <c r="AW70" s="6" t="n">
        <v>3000</v>
      </c>
      <c r="AX70" s="6" t="n">
        <v>2999</v>
      </c>
      <c r="AY70" s="6" t="n">
        <v>2381</v>
      </c>
      <c r="AZ70" s="6" t="n">
        <v>2499</v>
      </c>
      <c r="BA70" s="6" t="n">
        <v>2112</v>
      </c>
      <c r="BB70" s="6" t="n">
        <v>1560</v>
      </c>
      <c r="BC70" s="6" t="n">
        <v>1350</v>
      </c>
      <c r="BD70" s="6" t="n">
        <v>1790</v>
      </c>
      <c r="BE70" s="6" t="n">
        <v>1591</v>
      </c>
      <c r="BF70" s="6" t="n">
        <v>2350</v>
      </c>
      <c r="BG70" s="6" t="n">
        <v>3001</v>
      </c>
      <c r="BH70" s="6" t="n">
        <v>3301</v>
      </c>
      <c r="BI70" s="6" t="n">
        <v>3206</v>
      </c>
      <c r="BJ70" s="6" t="n">
        <v>3420</v>
      </c>
      <c r="BK70" s="6" t="n">
        <v>3100</v>
      </c>
      <c r="BL70" s="6" t="n">
        <v>2537</v>
      </c>
      <c r="BM70" s="6" t="n">
        <v>2911</v>
      </c>
      <c r="BN70" s="6" t="n">
        <v>3550</v>
      </c>
      <c r="BO70" s="6" t="n">
        <v>3711</v>
      </c>
      <c r="BP70" s="6" t="n">
        <v>4845</v>
      </c>
      <c r="BQ70" s="6" t="n">
        <v>6502</v>
      </c>
      <c r="BR70" s="6" t="n">
        <v>10000</v>
      </c>
      <c r="BS70" s="6" t="n">
        <v>10000</v>
      </c>
      <c r="BT70" s="6" t="n">
        <v>10000</v>
      </c>
      <c r="BU70" s="6" t="n">
        <v>10000</v>
      </c>
      <c r="BV70" s="6" t="n">
        <v>10000</v>
      </c>
      <c r="BW70" s="6" t="n">
        <v>10000</v>
      </c>
      <c r="BX70" s="6" t="n">
        <v>10000</v>
      </c>
      <c r="BY70" s="6" t="n">
        <v>10000</v>
      </c>
      <c r="BZ70" s="6" t="n">
        <v>10000</v>
      </c>
      <c r="CA70" s="6" t="n">
        <v>10000</v>
      </c>
      <c r="CB70" s="6" t="n">
        <v>10000</v>
      </c>
      <c r="CC70" s="6" t="n">
        <v>10000</v>
      </c>
      <c r="CD70" s="6" t="n">
        <v>10000</v>
      </c>
      <c r="CE70" s="6" t="n">
        <v>10000</v>
      </c>
      <c r="CF70" s="6" t="n">
        <v>10000</v>
      </c>
      <c r="CG70" s="6" t="n">
        <v>10000</v>
      </c>
      <c r="CH70" s="6" t="n">
        <v>10000</v>
      </c>
      <c r="CI70" s="6" t="n">
        <v>10000</v>
      </c>
      <c r="CJ70" s="6" t="n">
        <v>10000</v>
      </c>
      <c r="CK70" s="6" t="n">
        <v>10000</v>
      </c>
      <c r="CL70" s="6" t="n">
        <v>10000</v>
      </c>
      <c r="CM70" s="6" t="n">
        <v>10000</v>
      </c>
      <c r="CN70" s="6" t="n">
        <v>10000</v>
      </c>
      <c r="CO70" s="6" t="n">
        <v>10000</v>
      </c>
      <c r="CP70" s="6" t="n">
        <v>10000</v>
      </c>
      <c r="CQ70" s="6" t="n">
        <v>10000</v>
      </c>
      <c r="CR70" s="6" t="n">
        <v>10000</v>
      </c>
      <c r="CS70" s="6" t="n">
        <v>10000</v>
      </c>
      <c r="CT70" s="6" t="n">
        <v>10000</v>
      </c>
      <c r="CU70" s="6" t="n">
        <v>10000</v>
      </c>
      <c r="CV70" s="6" t="n">
        <v>10000</v>
      </c>
      <c r="CW70" s="6" t="n">
        <v>10000</v>
      </c>
      <c r="CX70" s="6" t="n">
        <v>10000</v>
      </c>
      <c r="CY70" s="6" t="n">
        <v>10000</v>
      </c>
      <c r="CZ70" s="6" t="n">
        <v>10000</v>
      </c>
      <c r="DA70" s="6" t="n">
        <v>10000</v>
      </c>
      <c r="DB70" s="6" t="n">
        <v>10000</v>
      </c>
      <c r="DC70" s="6" t="n">
        <v>10000</v>
      </c>
      <c r="DD70" s="6" t="n">
        <v>10000</v>
      </c>
      <c r="DE70" s="6" t="n">
        <v>10000</v>
      </c>
      <c r="DF70" s="6" t="n">
        <v>10000</v>
      </c>
      <c r="DG70" s="6" t="n">
        <v>10000</v>
      </c>
      <c r="DH70" s="6" t="n">
        <v>7835</v>
      </c>
      <c r="DI70" s="6" t="n">
        <v>4496</v>
      </c>
      <c r="DJ70" s="6" t="n">
        <v>4495</v>
      </c>
      <c r="DK70" s="6" t="n">
        <v>5362</v>
      </c>
      <c r="DL70" s="6" t="n">
        <v>9999</v>
      </c>
      <c r="DM70" s="6" t="n">
        <v>10000</v>
      </c>
      <c r="DN70" s="6" t="n">
        <v>10000</v>
      </c>
      <c r="DO70" s="6" t="n">
        <v>10000</v>
      </c>
      <c r="DP70" s="6" t="n">
        <v>10000</v>
      </c>
      <c r="DQ70" s="6" t="n">
        <v>10000</v>
      </c>
      <c r="DR70" s="6" t="n">
        <v>10000</v>
      </c>
      <c r="DS70" s="6" t="n">
        <v>10000</v>
      </c>
      <c r="DT70" s="6" t="n">
        <v>10000</v>
      </c>
      <c r="DU70" s="6" t="n">
        <v>10000</v>
      </c>
      <c r="DV70" s="6" t="n">
        <v>10000</v>
      </c>
      <c r="DW70" s="6" t="n">
        <v>10000</v>
      </c>
      <c r="DX70" s="6" t="n">
        <v>10000</v>
      </c>
      <c r="DY70" s="6" t="n">
        <v>10000</v>
      </c>
      <c r="DZ70" s="6" t="n">
        <v>10000</v>
      </c>
      <c r="EA70" s="6" t="n">
        <v>4817</v>
      </c>
      <c r="EB70" s="6" t="n">
        <v>3513</v>
      </c>
      <c r="EC70" s="6" t="n">
        <v>1473</v>
      </c>
      <c r="ED70" s="6" t="n">
        <v>489</v>
      </c>
      <c r="EE70" s="6" t="n">
        <v>399</v>
      </c>
      <c r="EF70" s="6" t="n">
        <v>29</v>
      </c>
      <c r="EG70" s="6" t="n">
        <v>1563</v>
      </c>
      <c r="EH70" s="6" t="n">
        <v>2071</v>
      </c>
      <c r="EI70" s="6" t="n">
        <v>3410</v>
      </c>
      <c r="EJ70" s="6" t="n">
        <v>3407</v>
      </c>
      <c r="EK70" s="6" t="n">
        <v>2800</v>
      </c>
      <c r="EL70" s="6" t="n">
        <v>2612</v>
      </c>
      <c r="EM70" s="6" t="n">
        <v>2801</v>
      </c>
      <c r="EN70" s="6" t="n">
        <v>2801</v>
      </c>
      <c r="EO70" s="6" t="n">
        <v>3000</v>
      </c>
      <c r="EP70" s="6" t="n">
        <v>2999</v>
      </c>
      <c r="EQ70" s="6" t="n">
        <v>2381</v>
      </c>
      <c r="ER70" s="6" t="n">
        <v>2499</v>
      </c>
      <c r="ES70" s="6" t="n">
        <v>2112</v>
      </c>
      <c r="ET70" s="6" t="n">
        <v>1560</v>
      </c>
      <c r="EU70" s="6" t="n">
        <v>1350</v>
      </c>
      <c r="EV70" s="6" t="n">
        <v>1790</v>
      </c>
      <c r="EW70" s="6" t="n">
        <v>1591</v>
      </c>
      <c r="EX70" s="6" t="n">
        <v>2350</v>
      </c>
      <c r="EY70" s="6" t="n">
        <v>3001</v>
      </c>
      <c r="EZ70" s="6" t="n">
        <v>3301</v>
      </c>
      <c r="FA70" s="6" t="n">
        <v>3206</v>
      </c>
      <c r="FB70" s="6" t="n">
        <v>3420</v>
      </c>
      <c r="FC70" s="6" t="n">
        <v>3100</v>
      </c>
      <c r="FD70" s="6" t="n">
        <v>2537</v>
      </c>
      <c r="FE70" s="6" t="n">
        <v>2911</v>
      </c>
      <c r="FF70" s="6" t="n">
        <v>3550</v>
      </c>
      <c r="FG70" s="6" t="n">
        <v>3711</v>
      </c>
      <c r="FH70" s="6" t="n">
        <v>4845</v>
      </c>
      <c r="FI70" s="6" t="n">
        <v>6502</v>
      </c>
      <c r="FJ70" s="6" t="n">
        <v>10000</v>
      </c>
      <c r="FK70" s="6" t="n">
        <v>10000</v>
      </c>
      <c r="FL70" s="6" t="n">
        <v>10000</v>
      </c>
      <c r="FM70" s="6" t="n">
        <v>10000</v>
      </c>
      <c r="FN70" s="6" t="n">
        <v>10000</v>
      </c>
      <c r="FO70" s="6" t="n">
        <v>10000</v>
      </c>
      <c r="FP70" s="6" t="n">
        <v>10000</v>
      </c>
      <c r="FQ70" s="6" t="n">
        <v>10000</v>
      </c>
      <c r="FR70" s="6" t="n">
        <v>10000</v>
      </c>
      <c r="FS70" s="6" t="n">
        <v>10000</v>
      </c>
      <c r="FT70" s="6" t="n">
        <v>10000</v>
      </c>
      <c r="FU70" s="6" t="n">
        <v>10000</v>
      </c>
      <c r="FV70" s="6" t="n">
        <v>10000</v>
      </c>
      <c r="FW70" s="6" t="n">
        <v>10000</v>
      </c>
      <c r="FX70" s="6" t="n">
        <v>10000</v>
      </c>
      <c r="FY70" s="6" t="n">
        <v>10000</v>
      </c>
      <c r="FZ70" s="6" t="n">
        <v>10000</v>
      </c>
      <c r="GA70" s="6" t="n">
        <v>10000</v>
      </c>
      <c r="GB70" s="6" t="n">
        <v>10000</v>
      </c>
      <c r="GC70" s="6" t="n">
        <v>10000</v>
      </c>
      <c r="GD70" s="6" t="n">
        <v>10000</v>
      </c>
      <c r="GE70" s="6" t="n">
        <v>10000</v>
      </c>
      <c r="GF70" s="6" t="n">
        <v>10000</v>
      </c>
      <c r="GG70" s="6" t="n">
        <v>10000</v>
      </c>
      <c r="GH70" s="6" t="n">
        <v>10000</v>
      </c>
      <c r="GI70" s="6" t="n">
        <v>10000</v>
      </c>
      <c r="GJ70" s="6" t="n">
        <v>10000</v>
      </c>
      <c r="GK70" s="6" t="n">
        <v>10000</v>
      </c>
      <c r="GL70" s="6" t="n">
        <v>10000</v>
      </c>
    </row>
    <row r="71">
      <c r="A71" s="6" t="inlineStr">
        <is>
          <t>RTM</t>
        </is>
      </c>
      <c r="B71" s="6" t="n">
        <v>8</v>
      </c>
      <c r="C71" s="6" t="n">
        <v>10000</v>
      </c>
      <c r="D71" s="6" t="n">
        <v>10000</v>
      </c>
      <c r="E71" s="6" t="n">
        <v>10000</v>
      </c>
      <c r="F71" s="6" t="n">
        <v>10000</v>
      </c>
      <c r="G71" s="6" t="n">
        <v>10000</v>
      </c>
      <c r="H71" s="6" t="n">
        <v>10000</v>
      </c>
      <c r="I71" s="6" t="n">
        <v>10000</v>
      </c>
      <c r="J71" s="6" t="n">
        <v>10000</v>
      </c>
      <c r="K71" s="6" t="n">
        <v>10000</v>
      </c>
      <c r="L71" s="6" t="n">
        <v>10000</v>
      </c>
      <c r="M71" s="6" t="n">
        <v>10000</v>
      </c>
      <c r="N71" s="6" t="n">
        <v>10000</v>
      </c>
      <c r="O71" s="6" t="n">
        <v>10000</v>
      </c>
      <c r="P71" s="6" t="n">
        <v>10000</v>
      </c>
      <c r="Q71" s="6" t="n">
        <v>10000</v>
      </c>
      <c r="R71" s="6" t="n">
        <v>10000</v>
      </c>
      <c r="S71" s="6" t="n">
        <v>10000</v>
      </c>
      <c r="T71" s="6" t="n">
        <v>10000</v>
      </c>
      <c r="U71" s="6" t="n">
        <v>10000</v>
      </c>
      <c r="V71" s="6" t="n">
        <v>10000</v>
      </c>
      <c r="W71" s="6" t="n">
        <v>10000</v>
      </c>
      <c r="X71" s="6" t="n">
        <v>10000</v>
      </c>
      <c r="Y71" s="6" t="n">
        <v>10000</v>
      </c>
      <c r="Z71" s="6" t="n">
        <v>10000</v>
      </c>
      <c r="AA71" s="6" t="n">
        <v>10000</v>
      </c>
      <c r="AB71" s="6" t="n">
        <v>10000</v>
      </c>
      <c r="AC71" s="6" t="n">
        <v>10000</v>
      </c>
      <c r="AD71" s="6" t="n">
        <v>10000</v>
      </c>
      <c r="AE71" s="6" t="n">
        <v>10000</v>
      </c>
      <c r="AF71" s="6" t="n">
        <v>10000</v>
      </c>
      <c r="AG71" s="6" t="n">
        <v>10000</v>
      </c>
      <c r="AH71" s="6" t="n">
        <v>10000</v>
      </c>
      <c r="AI71" s="6" t="n">
        <v>4501</v>
      </c>
      <c r="AJ71" s="6" t="n">
        <v>3973</v>
      </c>
      <c r="AK71" s="6" t="n">
        <v>2810</v>
      </c>
      <c r="AL71" s="6" t="n">
        <v>2380</v>
      </c>
      <c r="AM71" s="6" t="n">
        <v>2400</v>
      </c>
      <c r="AN71" s="6" t="n">
        <v>2075</v>
      </c>
      <c r="AO71" s="6" t="n">
        <v>2000</v>
      </c>
      <c r="AP71" s="6" t="n">
        <v>1700</v>
      </c>
      <c r="AQ71" s="6" t="n">
        <v>2483</v>
      </c>
      <c r="AR71" s="6" t="n">
        <v>2669</v>
      </c>
      <c r="AS71" s="6" t="n">
        <v>2765</v>
      </c>
      <c r="AT71" s="6" t="n">
        <v>2793</v>
      </c>
      <c r="AU71" s="6" t="n">
        <v>2483</v>
      </c>
      <c r="AV71" s="6" t="n">
        <v>1940</v>
      </c>
      <c r="AW71" s="6" t="n">
        <v>2000</v>
      </c>
      <c r="AX71" s="6" t="n">
        <v>2160</v>
      </c>
      <c r="AY71" s="6" t="n">
        <v>2225</v>
      </c>
      <c r="AZ71" s="6" t="n">
        <v>2280</v>
      </c>
      <c r="BA71" s="6" t="n">
        <v>2021</v>
      </c>
      <c r="BB71" s="6" t="n">
        <v>1559</v>
      </c>
      <c r="BC71" s="6" t="n">
        <v>1663</v>
      </c>
      <c r="BD71" s="6" t="n">
        <v>2070</v>
      </c>
      <c r="BE71" s="6" t="n">
        <v>2071</v>
      </c>
      <c r="BF71" s="6" t="n">
        <v>2611</v>
      </c>
      <c r="BG71" s="6" t="n">
        <v>2910</v>
      </c>
      <c r="BH71" s="6" t="n">
        <v>3090</v>
      </c>
      <c r="BI71" s="6" t="n">
        <v>3473</v>
      </c>
      <c r="BJ71" s="6" t="n">
        <v>3609</v>
      </c>
      <c r="BK71" s="6" t="n">
        <v>3408</v>
      </c>
      <c r="BL71" s="6" t="n">
        <v>3249</v>
      </c>
      <c r="BM71" s="6" t="n">
        <v>3442</v>
      </c>
      <c r="BN71" s="6" t="n">
        <v>3568</v>
      </c>
      <c r="BO71" s="6" t="n">
        <v>3501</v>
      </c>
      <c r="BP71" s="6" t="n">
        <v>5000</v>
      </c>
      <c r="BQ71" s="6" t="n">
        <v>7501</v>
      </c>
      <c r="BR71" s="6" t="n">
        <v>10000</v>
      </c>
      <c r="BS71" s="6" t="n">
        <v>10000</v>
      </c>
      <c r="BT71" s="6" t="n">
        <v>10000</v>
      </c>
      <c r="BU71" s="6" t="n">
        <v>10000</v>
      </c>
      <c r="BV71" s="6" t="n">
        <v>10000</v>
      </c>
      <c r="BW71" s="6" t="n">
        <v>10000</v>
      </c>
      <c r="BX71" s="6" t="n">
        <v>10000</v>
      </c>
      <c r="BY71" s="6" t="n">
        <v>10000</v>
      </c>
      <c r="BZ71" s="6" t="n">
        <v>10000</v>
      </c>
      <c r="CA71" s="6" t="n">
        <v>10000</v>
      </c>
      <c r="CB71" s="6" t="n">
        <v>10000</v>
      </c>
      <c r="CC71" s="6" t="n">
        <v>10000</v>
      </c>
      <c r="CD71" s="6" t="n">
        <v>10000</v>
      </c>
      <c r="CE71" s="6" t="n">
        <v>10000</v>
      </c>
      <c r="CF71" s="6" t="n">
        <v>10000</v>
      </c>
      <c r="CG71" s="6" t="n">
        <v>10000</v>
      </c>
      <c r="CH71" s="6" t="n">
        <v>10000</v>
      </c>
      <c r="CI71" s="6" t="n">
        <v>10000</v>
      </c>
      <c r="CJ71" s="6" t="n">
        <v>10000</v>
      </c>
      <c r="CK71" s="6" t="n">
        <v>10000</v>
      </c>
      <c r="CL71" s="6" t="n">
        <v>10000</v>
      </c>
      <c r="CM71" s="6" t="n">
        <v>10000</v>
      </c>
      <c r="CN71" s="6" t="n">
        <v>10000</v>
      </c>
      <c r="CO71" s="6" t="n">
        <v>10000</v>
      </c>
      <c r="CP71" s="6" t="n">
        <v>10000</v>
      </c>
      <c r="CQ71" s="6" t="n">
        <v>10000</v>
      </c>
      <c r="CR71" s="6" t="n">
        <v>10000</v>
      </c>
      <c r="CS71" s="6" t="n">
        <v>10000</v>
      </c>
      <c r="CT71" s="6" t="n">
        <v>10000</v>
      </c>
      <c r="CU71" s="6" t="n">
        <v>10000</v>
      </c>
      <c r="CV71" s="6" t="n">
        <v>10000</v>
      </c>
      <c r="CW71" s="6" t="n">
        <v>10000</v>
      </c>
      <c r="CX71" s="6" t="n">
        <v>10000</v>
      </c>
      <c r="CY71" s="6" t="n">
        <v>10000</v>
      </c>
      <c r="CZ71" s="6" t="n">
        <v>10000</v>
      </c>
      <c r="DA71" s="6" t="n">
        <v>10000</v>
      </c>
      <c r="DB71" s="6" t="n">
        <v>10000</v>
      </c>
      <c r="DC71" s="6" t="n">
        <v>10000</v>
      </c>
      <c r="DD71" s="6" t="n">
        <v>10000</v>
      </c>
      <c r="DE71" s="6" t="n">
        <v>10000</v>
      </c>
      <c r="DF71" s="6" t="n">
        <v>10000</v>
      </c>
      <c r="DG71" s="6" t="n">
        <v>10000</v>
      </c>
      <c r="DH71" s="6" t="n">
        <v>10000</v>
      </c>
      <c r="DI71" s="6" t="n">
        <v>10000</v>
      </c>
      <c r="DJ71" s="6" t="n">
        <v>10000</v>
      </c>
      <c r="DK71" s="6" t="n">
        <v>10000</v>
      </c>
      <c r="DL71" s="6" t="n">
        <v>10000</v>
      </c>
      <c r="DM71" s="6" t="n">
        <v>10000</v>
      </c>
      <c r="DN71" s="6" t="n">
        <v>10000</v>
      </c>
      <c r="DO71" s="6" t="n">
        <v>10000</v>
      </c>
      <c r="DP71" s="6" t="n">
        <v>10000</v>
      </c>
      <c r="DQ71" s="6" t="n">
        <v>10000</v>
      </c>
      <c r="DR71" s="6" t="n">
        <v>10000</v>
      </c>
      <c r="DS71" s="6" t="n">
        <v>10000</v>
      </c>
      <c r="DT71" s="6" t="n">
        <v>10000</v>
      </c>
      <c r="DU71" s="6" t="n">
        <v>10000</v>
      </c>
      <c r="DV71" s="6" t="n">
        <v>10000</v>
      </c>
      <c r="DW71" s="6" t="n">
        <v>10000</v>
      </c>
      <c r="DX71" s="6" t="n">
        <v>10000</v>
      </c>
      <c r="DY71" s="6" t="n">
        <v>10000</v>
      </c>
      <c r="DZ71" s="6" t="n">
        <v>10000</v>
      </c>
      <c r="EA71" s="6" t="n">
        <v>4501</v>
      </c>
      <c r="EB71" s="6" t="n">
        <v>3973</v>
      </c>
      <c r="EC71" s="6" t="n">
        <v>2810</v>
      </c>
      <c r="ED71" s="6" t="n">
        <v>2380</v>
      </c>
      <c r="EE71" s="6" t="n">
        <v>2400</v>
      </c>
      <c r="EF71" s="6" t="n">
        <v>2075</v>
      </c>
      <c r="EG71" s="6" t="n">
        <v>2000</v>
      </c>
      <c r="EH71" s="6" t="n">
        <v>1700</v>
      </c>
      <c r="EI71" s="6" t="n">
        <v>2483</v>
      </c>
      <c r="EJ71" s="6" t="n">
        <v>2669</v>
      </c>
      <c r="EK71" s="6" t="n">
        <v>2765</v>
      </c>
      <c r="EL71" s="6" t="n">
        <v>2793</v>
      </c>
      <c r="EM71" s="6" t="n">
        <v>2483</v>
      </c>
      <c r="EN71" s="6" t="n">
        <v>1940</v>
      </c>
      <c r="EO71" s="6" t="n">
        <v>2000</v>
      </c>
      <c r="EP71" s="6" t="n">
        <v>2160</v>
      </c>
      <c r="EQ71" s="6" t="n">
        <v>2225</v>
      </c>
      <c r="ER71" s="6" t="n">
        <v>2280</v>
      </c>
      <c r="ES71" s="6" t="n">
        <v>2021</v>
      </c>
      <c r="ET71" s="6" t="n">
        <v>1559</v>
      </c>
      <c r="EU71" s="6" t="n">
        <v>1663</v>
      </c>
      <c r="EV71" s="6" t="n">
        <v>2070</v>
      </c>
      <c r="EW71" s="6" t="n">
        <v>2071</v>
      </c>
      <c r="EX71" s="6" t="n">
        <v>2611</v>
      </c>
      <c r="EY71" s="6" t="n">
        <v>2910</v>
      </c>
      <c r="EZ71" s="6" t="n">
        <v>3090</v>
      </c>
      <c r="FA71" s="6" t="n">
        <v>3473</v>
      </c>
      <c r="FB71" s="6" t="n">
        <v>3609</v>
      </c>
      <c r="FC71" s="6" t="n">
        <v>3408</v>
      </c>
      <c r="FD71" s="6" t="n">
        <v>3249</v>
      </c>
      <c r="FE71" s="6" t="n">
        <v>3442</v>
      </c>
      <c r="FF71" s="6" t="n">
        <v>3568</v>
      </c>
      <c r="FG71" s="6" t="n">
        <v>3501</v>
      </c>
      <c r="FH71" s="6" t="n">
        <v>5000</v>
      </c>
      <c r="FI71" s="6" t="n">
        <v>7501</v>
      </c>
      <c r="FJ71" s="6" t="n">
        <v>10000</v>
      </c>
      <c r="FK71" s="6" t="n">
        <v>10000</v>
      </c>
      <c r="FL71" s="6" t="n">
        <v>10000</v>
      </c>
      <c r="FM71" s="6" t="n">
        <v>10000</v>
      </c>
      <c r="FN71" s="6" t="n">
        <v>10000</v>
      </c>
      <c r="FO71" s="6" t="n">
        <v>10000</v>
      </c>
      <c r="FP71" s="6" t="n">
        <v>10000</v>
      </c>
      <c r="FQ71" s="6" t="n">
        <v>10000</v>
      </c>
      <c r="FR71" s="6" t="n">
        <v>10000</v>
      </c>
      <c r="FS71" s="6" t="n">
        <v>10000</v>
      </c>
      <c r="FT71" s="6" t="n">
        <v>10000</v>
      </c>
      <c r="FU71" s="6" t="n">
        <v>10000</v>
      </c>
      <c r="FV71" s="6" t="n">
        <v>10000</v>
      </c>
      <c r="FW71" s="6" t="n">
        <v>10000</v>
      </c>
      <c r="FX71" s="6" t="n">
        <v>10000</v>
      </c>
      <c r="FY71" s="6" t="n">
        <v>10000</v>
      </c>
      <c r="FZ71" s="6" t="n">
        <v>10000</v>
      </c>
      <c r="GA71" s="6" t="n">
        <v>10000</v>
      </c>
      <c r="GB71" s="6" t="n">
        <v>10000</v>
      </c>
      <c r="GC71" s="6" t="n">
        <v>10000</v>
      </c>
      <c r="GD71" s="6" t="n">
        <v>10000</v>
      </c>
      <c r="GE71" s="6" t="n">
        <v>10000</v>
      </c>
      <c r="GF71" s="6" t="n">
        <v>10000</v>
      </c>
      <c r="GG71" s="6" t="n">
        <v>10000</v>
      </c>
      <c r="GH71" s="6" t="n">
        <v>10000</v>
      </c>
      <c r="GI71" s="6" t="n">
        <v>10000</v>
      </c>
      <c r="GJ71" s="6" t="n">
        <v>10000</v>
      </c>
      <c r="GK71" s="6" t="n">
        <v>10000</v>
      </c>
      <c r="GL71" s="6" t="n">
        <v>10000</v>
      </c>
    </row>
    <row r="72">
      <c r="A72" s="6" t="inlineStr">
        <is>
          <t>RTM</t>
        </is>
      </c>
      <c r="B72" s="6" t="n">
        <v>9</v>
      </c>
      <c r="C72" s="6" t="n">
        <v>10000</v>
      </c>
      <c r="D72" s="6" t="n">
        <v>10000</v>
      </c>
      <c r="E72" s="6" t="n">
        <v>10000</v>
      </c>
      <c r="F72" s="6" t="n">
        <v>10000</v>
      </c>
      <c r="G72" s="6" t="n">
        <v>10000</v>
      </c>
      <c r="H72" s="6" t="n">
        <v>10000</v>
      </c>
      <c r="I72" s="6" t="n">
        <v>10000</v>
      </c>
      <c r="J72" s="6" t="n">
        <v>10000</v>
      </c>
      <c r="K72" s="6" t="n">
        <v>10000</v>
      </c>
      <c r="L72" s="6" t="n">
        <v>10000</v>
      </c>
      <c r="M72" s="6" t="n">
        <v>10000</v>
      </c>
      <c r="N72" s="6" t="n">
        <v>10000</v>
      </c>
      <c r="O72" s="6" t="n">
        <v>10000</v>
      </c>
      <c r="P72" s="6" t="n">
        <v>10000</v>
      </c>
      <c r="Q72" s="6" t="n">
        <v>10000</v>
      </c>
      <c r="R72" s="6" t="n">
        <v>10000</v>
      </c>
      <c r="S72" s="6" t="n">
        <v>10000</v>
      </c>
      <c r="T72" s="6" t="n">
        <v>10000</v>
      </c>
      <c r="U72" s="6" t="n">
        <v>10000</v>
      </c>
      <c r="V72" s="6" t="n">
        <v>10000</v>
      </c>
      <c r="W72" s="6" t="n">
        <v>10000</v>
      </c>
      <c r="X72" s="6" t="n">
        <v>10000</v>
      </c>
      <c r="Y72" s="6" t="n">
        <v>10000</v>
      </c>
      <c r="Z72" s="6" t="n">
        <v>10000</v>
      </c>
      <c r="AA72" s="6" t="n">
        <v>10000</v>
      </c>
      <c r="AB72" s="6" t="n">
        <v>10000</v>
      </c>
      <c r="AC72" s="6" t="n">
        <v>10000</v>
      </c>
      <c r="AD72" s="6" t="n">
        <v>10000</v>
      </c>
      <c r="AE72" s="6" t="n">
        <v>10000</v>
      </c>
      <c r="AF72" s="6" t="n">
        <v>10000</v>
      </c>
      <c r="AG72" s="6" t="n">
        <v>10000</v>
      </c>
      <c r="AH72" s="6" t="n">
        <v>10000</v>
      </c>
      <c r="AI72" s="6" t="n">
        <v>10000</v>
      </c>
      <c r="AJ72" s="6" t="n">
        <v>10000</v>
      </c>
      <c r="AK72" s="6" t="n">
        <v>6000</v>
      </c>
      <c r="AL72" s="6" t="n">
        <v>3570</v>
      </c>
      <c r="AM72" s="6" t="n">
        <v>3211</v>
      </c>
      <c r="AN72" s="6" t="n">
        <v>2750</v>
      </c>
      <c r="AO72" s="6" t="n">
        <v>3251</v>
      </c>
      <c r="AP72" s="6" t="n">
        <v>3249</v>
      </c>
      <c r="AQ72" s="6" t="n">
        <v>3488</v>
      </c>
      <c r="AR72" s="6" t="n">
        <v>3411</v>
      </c>
      <c r="AS72" s="6" t="n">
        <v>3500</v>
      </c>
      <c r="AT72" s="6" t="n">
        <v>3499</v>
      </c>
      <c r="AU72" s="6" t="n">
        <v>2790</v>
      </c>
      <c r="AV72" s="6" t="n">
        <v>2670</v>
      </c>
      <c r="AW72" s="6" t="n">
        <v>2710</v>
      </c>
      <c r="AX72" s="6" t="n">
        <v>2930</v>
      </c>
      <c r="AY72" s="6" t="n">
        <v>3207</v>
      </c>
      <c r="AZ72" s="6" t="n">
        <v>3090</v>
      </c>
      <c r="BA72" s="6" t="n">
        <v>2798</v>
      </c>
      <c r="BB72" s="6" t="n">
        <v>2685</v>
      </c>
      <c r="BC72" s="6" t="n">
        <v>2610</v>
      </c>
      <c r="BD72" s="6" t="n">
        <v>2737</v>
      </c>
      <c r="BE72" s="6" t="n">
        <v>3150</v>
      </c>
      <c r="BF72" s="6" t="n">
        <v>3499</v>
      </c>
      <c r="BG72" s="6" t="n">
        <v>3390</v>
      </c>
      <c r="BH72" s="6" t="n">
        <v>3511</v>
      </c>
      <c r="BI72" s="6" t="n">
        <v>3510</v>
      </c>
      <c r="BJ72" s="6" t="n">
        <v>3711</v>
      </c>
      <c r="BK72" s="6" t="n">
        <v>3840</v>
      </c>
      <c r="BL72" s="6" t="n">
        <v>3904</v>
      </c>
      <c r="BM72" s="6" t="n">
        <v>4390</v>
      </c>
      <c r="BN72" s="6" t="n">
        <v>6000</v>
      </c>
      <c r="BO72" s="6" t="n">
        <v>10000</v>
      </c>
      <c r="BP72" s="6" t="n">
        <v>10000</v>
      </c>
      <c r="BQ72" s="6" t="n">
        <v>10000</v>
      </c>
      <c r="BR72" s="6" t="n">
        <v>10000</v>
      </c>
      <c r="BS72" s="6" t="n">
        <v>10000</v>
      </c>
      <c r="BT72" s="6" t="n">
        <v>10000</v>
      </c>
      <c r="BU72" s="6" t="n">
        <v>10000</v>
      </c>
      <c r="BV72" s="6" t="n">
        <v>10000</v>
      </c>
      <c r="BW72" s="6" t="n">
        <v>10000</v>
      </c>
      <c r="BX72" s="6" t="n">
        <v>10000</v>
      </c>
      <c r="BY72" s="6" t="n">
        <v>10000</v>
      </c>
      <c r="BZ72" s="6" t="n">
        <v>10000</v>
      </c>
      <c r="CA72" s="6" t="n">
        <v>10000</v>
      </c>
      <c r="CB72" s="6" t="n">
        <v>10000</v>
      </c>
      <c r="CC72" s="6" t="n">
        <v>10000</v>
      </c>
      <c r="CD72" s="6" t="n">
        <v>10000</v>
      </c>
      <c r="CE72" s="6" t="n">
        <v>10000</v>
      </c>
      <c r="CF72" s="6" t="n">
        <v>10000</v>
      </c>
      <c r="CG72" s="6" t="n">
        <v>10000</v>
      </c>
      <c r="CH72" s="6" t="n">
        <v>10000</v>
      </c>
      <c r="CI72" s="6" t="n">
        <v>10000</v>
      </c>
      <c r="CJ72" s="6" t="n">
        <v>10000</v>
      </c>
      <c r="CK72" s="6" t="n">
        <v>10000</v>
      </c>
      <c r="CL72" s="6" t="n">
        <v>10000</v>
      </c>
      <c r="CM72" s="6" t="n">
        <v>10000</v>
      </c>
      <c r="CN72" s="6" t="n">
        <v>10000</v>
      </c>
      <c r="CO72" s="6" t="n">
        <v>10000</v>
      </c>
      <c r="CP72" s="6" t="n">
        <v>10000</v>
      </c>
      <c r="CQ72" s="6" t="n">
        <v>10000</v>
      </c>
      <c r="CR72" s="6" t="n">
        <v>10000</v>
      </c>
      <c r="CS72" s="6" t="n">
        <v>10000</v>
      </c>
      <c r="CT72" s="6" t="n">
        <v>10000</v>
      </c>
      <c r="CU72" s="6" t="n">
        <v>10000</v>
      </c>
      <c r="CV72" s="6" t="n">
        <v>10000</v>
      </c>
      <c r="CW72" s="6" t="n">
        <v>10000</v>
      </c>
      <c r="CX72" s="6" t="n">
        <v>10000</v>
      </c>
      <c r="CY72" s="6" t="n">
        <v>10000</v>
      </c>
      <c r="CZ72" s="6" t="n">
        <v>10000</v>
      </c>
      <c r="DA72" s="6" t="n">
        <v>10000</v>
      </c>
      <c r="DB72" s="6" t="n">
        <v>10000</v>
      </c>
      <c r="DC72" s="6" t="n">
        <v>10000</v>
      </c>
      <c r="DD72" s="6" t="n">
        <v>10000</v>
      </c>
      <c r="DE72" s="6" t="n">
        <v>10000</v>
      </c>
      <c r="DF72" s="6" t="n">
        <v>10000</v>
      </c>
      <c r="DG72" s="6" t="n">
        <v>10000</v>
      </c>
      <c r="DH72" s="6" t="n">
        <v>10000</v>
      </c>
      <c r="DI72" s="6" t="n">
        <v>10000</v>
      </c>
      <c r="DJ72" s="6" t="n">
        <v>10000</v>
      </c>
      <c r="DK72" s="6" t="n">
        <v>10000</v>
      </c>
      <c r="DL72" s="6" t="n">
        <v>10000</v>
      </c>
      <c r="DM72" s="6" t="n">
        <v>10000</v>
      </c>
      <c r="DN72" s="6" t="n">
        <v>10000</v>
      </c>
      <c r="DO72" s="6" t="n">
        <v>10000</v>
      </c>
      <c r="DP72" s="6" t="n">
        <v>10000</v>
      </c>
      <c r="DQ72" s="6" t="n">
        <v>10000</v>
      </c>
      <c r="DR72" s="6" t="n">
        <v>10000</v>
      </c>
      <c r="DS72" s="6" t="n">
        <v>10000</v>
      </c>
      <c r="DT72" s="6" t="n">
        <v>10000</v>
      </c>
      <c r="DU72" s="6" t="n">
        <v>10000</v>
      </c>
      <c r="DV72" s="6" t="n">
        <v>10000</v>
      </c>
      <c r="DW72" s="6" t="n">
        <v>10000</v>
      </c>
      <c r="DX72" s="6" t="n">
        <v>10000</v>
      </c>
      <c r="DY72" s="6" t="n">
        <v>10000</v>
      </c>
      <c r="DZ72" s="6" t="n">
        <v>10000</v>
      </c>
      <c r="EA72" s="6" t="n">
        <v>10000</v>
      </c>
      <c r="EB72" s="6" t="n">
        <v>10000</v>
      </c>
      <c r="EC72" s="6" t="n">
        <v>6000</v>
      </c>
      <c r="ED72" s="6" t="n">
        <v>3570</v>
      </c>
      <c r="EE72" s="6" t="n">
        <v>3211</v>
      </c>
      <c r="EF72" s="6" t="n">
        <v>2750</v>
      </c>
      <c r="EG72" s="6" t="n">
        <v>3251</v>
      </c>
      <c r="EH72" s="6" t="n">
        <v>3249</v>
      </c>
      <c r="EI72" s="6" t="n">
        <v>3488</v>
      </c>
      <c r="EJ72" s="6" t="n">
        <v>3411</v>
      </c>
      <c r="EK72" s="6" t="n">
        <v>3500</v>
      </c>
      <c r="EL72" s="6" t="n">
        <v>3499</v>
      </c>
      <c r="EM72" s="6" t="n">
        <v>2790</v>
      </c>
      <c r="EN72" s="6" t="n">
        <v>2670</v>
      </c>
      <c r="EO72" s="6" t="n">
        <v>2710</v>
      </c>
      <c r="EP72" s="6" t="n">
        <v>2930</v>
      </c>
      <c r="EQ72" s="6" t="n">
        <v>3207</v>
      </c>
      <c r="ER72" s="6" t="n">
        <v>3090</v>
      </c>
      <c r="ES72" s="6" t="n">
        <v>2798</v>
      </c>
      <c r="ET72" s="6" t="n">
        <v>2685</v>
      </c>
      <c r="EU72" s="6" t="n">
        <v>2610</v>
      </c>
      <c r="EV72" s="6" t="n">
        <v>2737</v>
      </c>
      <c r="EW72" s="6" t="n">
        <v>3150</v>
      </c>
      <c r="EX72" s="6" t="n">
        <v>3499</v>
      </c>
      <c r="EY72" s="6" t="n">
        <v>3390</v>
      </c>
      <c r="EZ72" s="6" t="n">
        <v>3511</v>
      </c>
      <c r="FA72" s="6" t="n">
        <v>3510</v>
      </c>
      <c r="FB72" s="6" t="n">
        <v>3711</v>
      </c>
      <c r="FC72" s="6" t="n">
        <v>3840</v>
      </c>
      <c r="FD72" s="6" t="n">
        <v>3904</v>
      </c>
      <c r="FE72" s="6" t="n">
        <v>4390</v>
      </c>
      <c r="FF72" s="6" t="n">
        <v>6000</v>
      </c>
      <c r="FG72" s="6" t="n">
        <v>10000</v>
      </c>
      <c r="FH72" s="6" t="n">
        <v>10000</v>
      </c>
      <c r="FI72" s="6" t="n">
        <v>10000</v>
      </c>
      <c r="FJ72" s="6" t="n">
        <v>10000</v>
      </c>
      <c r="FK72" s="6" t="n">
        <v>10000</v>
      </c>
      <c r="FL72" s="6" t="n">
        <v>10000</v>
      </c>
      <c r="FM72" s="6" t="n">
        <v>10000</v>
      </c>
      <c r="FN72" s="6" t="n">
        <v>10000</v>
      </c>
      <c r="FO72" s="6" t="n">
        <v>10000</v>
      </c>
      <c r="FP72" s="6" t="n">
        <v>10000</v>
      </c>
      <c r="FQ72" s="6" t="n">
        <v>10000</v>
      </c>
      <c r="FR72" s="6" t="n">
        <v>10000</v>
      </c>
      <c r="FS72" s="6" t="n">
        <v>10000</v>
      </c>
      <c r="FT72" s="6" t="n">
        <v>10000</v>
      </c>
      <c r="FU72" s="6" t="n">
        <v>10000</v>
      </c>
      <c r="FV72" s="6" t="n">
        <v>10000</v>
      </c>
      <c r="FW72" s="6" t="n">
        <v>10000</v>
      </c>
      <c r="FX72" s="6" t="n">
        <v>10000</v>
      </c>
      <c r="FY72" s="6" t="n">
        <v>10000</v>
      </c>
      <c r="FZ72" s="6" t="n">
        <v>10000</v>
      </c>
      <c r="GA72" s="6" t="n">
        <v>10000</v>
      </c>
      <c r="GB72" s="6" t="n">
        <v>10000</v>
      </c>
      <c r="GC72" s="6" t="n">
        <v>10000</v>
      </c>
      <c r="GD72" s="6" t="n">
        <v>10000</v>
      </c>
      <c r="GE72" s="6" t="n">
        <v>10000</v>
      </c>
      <c r="GF72" s="6" t="n">
        <v>10000</v>
      </c>
      <c r="GG72" s="6" t="n">
        <v>10000</v>
      </c>
      <c r="GH72" s="6" t="n">
        <v>10000</v>
      </c>
      <c r="GI72" s="6" t="n">
        <v>10000</v>
      </c>
      <c r="GJ72" s="6" t="n">
        <v>10000</v>
      </c>
      <c r="GK72" s="6" t="n">
        <v>10000</v>
      </c>
      <c r="GL72" s="6" t="n">
        <v>10000</v>
      </c>
    </row>
    <row r="73">
      <c r="A73" s="6" t="inlineStr">
        <is>
          <t>RTM</t>
        </is>
      </c>
      <c r="B73" s="6" t="n">
        <v>10</v>
      </c>
      <c r="C73" s="6" t="n">
        <v>10000</v>
      </c>
      <c r="D73" s="6" t="n">
        <v>10000</v>
      </c>
      <c r="E73" s="6" t="n">
        <v>10000</v>
      </c>
      <c r="F73" s="6" t="n">
        <v>10000</v>
      </c>
      <c r="G73" s="6" t="n">
        <v>10000</v>
      </c>
      <c r="H73" s="6" t="n">
        <v>10000</v>
      </c>
      <c r="I73" s="6" t="n">
        <v>10000</v>
      </c>
      <c r="J73" s="6" t="n">
        <v>10000</v>
      </c>
      <c r="K73" s="6" t="n">
        <v>10000</v>
      </c>
      <c r="L73" s="6" t="n">
        <v>10000</v>
      </c>
      <c r="M73" s="6" t="n">
        <v>10000</v>
      </c>
      <c r="N73" s="6" t="n">
        <v>10000</v>
      </c>
      <c r="O73" s="6" t="n">
        <v>10000</v>
      </c>
      <c r="P73" s="6" t="n">
        <v>10000</v>
      </c>
      <c r="Q73" s="6" t="n">
        <v>10000</v>
      </c>
      <c r="R73" s="6" t="n">
        <v>10000</v>
      </c>
      <c r="S73" s="6" t="n">
        <v>10000</v>
      </c>
      <c r="T73" s="6" t="n">
        <v>10000</v>
      </c>
      <c r="U73" s="6" t="n">
        <v>10000</v>
      </c>
      <c r="V73" s="6" t="n">
        <v>10000</v>
      </c>
      <c r="W73" s="6" t="n">
        <v>10000</v>
      </c>
      <c r="X73" s="6" t="n">
        <v>10000</v>
      </c>
      <c r="Y73" s="6" t="n">
        <v>10000</v>
      </c>
      <c r="Z73" s="6" t="n">
        <v>10000</v>
      </c>
      <c r="AA73" s="6" t="n">
        <v>10000</v>
      </c>
      <c r="AB73" s="6" t="n">
        <v>10000</v>
      </c>
      <c r="AC73" s="6" t="n">
        <v>10000</v>
      </c>
      <c r="AD73" s="6" t="n">
        <v>10000</v>
      </c>
      <c r="AE73" s="6" t="n">
        <v>10000</v>
      </c>
      <c r="AF73" s="6" t="n">
        <v>10000</v>
      </c>
      <c r="AG73" s="6" t="n">
        <v>10000</v>
      </c>
      <c r="AH73" s="6" t="n">
        <v>10000</v>
      </c>
      <c r="AI73" s="6" t="n">
        <v>10000</v>
      </c>
      <c r="AJ73" s="6" t="n">
        <v>10000</v>
      </c>
      <c r="AK73" s="6" t="n">
        <v>3711</v>
      </c>
      <c r="AL73" s="6" t="n">
        <v>3190</v>
      </c>
      <c r="AM73" s="6" t="n">
        <v>3546</v>
      </c>
      <c r="AN73" s="6" t="n">
        <v>3194</v>
      </c>
      <c r="AO73" s="6" t="n">
        <v>3824</v>
      </c>
      <c r="AP73" s="6" t="n">
        <v>4014</v>
      </c>
      <c r="AQ73" s="6" t="n">
        <v>3195</v>
      </c>
      <c r="AR73" s="6" t="n">
        <v>3001</v>
      </c>
      <c r="AS73" s="6" t="n">
        <v>3408</v>
      </c>
      <c r="AT73" s="6" t="n">
        <v>3407</v>
      </c>
      <c r="AU73" s="6" t="n">
        <v>3420</v>
      </c>
      <c r="AV73" s="6" t="n">
        <v>3473</v>
      </c>
      <c r="AW73" s="6" t="n">
        <v>3538</v>
      </c>
      <c r="AX73" s="6" t="n">
        <v>3545</v>
      </c>
      <c r="AY73" s="6" t="n">
        <v>3300</v>
      </c>
      <c r="AZ73" s="6" t="n">
        <v>3296</v>
      </c>
      <c r="BA73" s="6" t="n">
        <v>3207</v>
      </c>
      <c r="BB73" s="6" t="n">
        <v>3000</v>
      </c>
      <c r="BC73" s="6" t="n">
        <v>2669</v>
      </c>
      <c r="BD73" s="6" t="n">
        <v>3059</v>
      </c>
      <c r="BE73" s="6" t="n">
        <v>3545</v>
      </c>
      <c r="BF73" s="6" t="n">
        <v>3711</v>
      </c>
      <c r="BG73" s="6" t="n">
        <v>4938</v>
      </c>
      <c r="BH73" s="6" t="n">
        <v>5771</v>
      </c>
      <c r="BI73" s="6" t="n">
        <v>4092</v>
      </c>
      <c r="BJ73" s="6" t="n">
        <v>4690</v>
      </c>
      <c r="BK73" s="6" t="n">
        <v>10000</v>
      </c>
      <c r="BL73" s="6" t="n">
        <v>10000</v>
      </c>
      <c r="BM73" s="6" t="n">
        <v>10000</v>
      </c>
      <c r="BN73" s="6" t="n">
        <v>10000</v>
      </c>
      <c r="BO73" s="6" t="n">
        <v>10000</v>
      </c>
      <c r="BP73" s="6" t="n">
        <v>10000</v>
      </c>
      <c r="BQ73" s="6" t="n">
        <v>10000</v>
      </c>
      <c r="BR73" s="6" t="n">
        <v>10000</v>
      </c>
      <c r="BS73" s="6" t="n">
        <v>10000</v>
      </c>
      <c r="BT73" s="6" t="n">
        <v>10000</v>
      </c>
      <c r="BU73" s="6" t="n">
        <v>10000</v>
      </c>
      <c r="BV73" s="6" t="n">
        <v>10000</v>
      </c>
      <c r="BW73" s="6" t="n">
        <v>10000</v>
      </c>
      <c r="BX73" s="6" t="n">
        <v>10000</v>
      </c>
      <c r="BY73" s="6" t="n">
        <v>10000</v>
      </c>
      <c r="BZ73" s="6" t="n">
        <v>10000</v>
      </c>
      <c r="CA73" s="6" t="n">
        <v>10000</v>
      </c>
      <c r="CB73" s="6" t="n">
        <v>10000</v>
      </c>
      <c r="CC73" s="6" t="n">
        <v>10000</v>
      </c>
      <c r="CD73" s="6" t="n">
        <v>10000</v>
      </c>
      <c r="CE73" s="6" t="n">
        <v>10000</v>
      </c>
      <c r="CF73" s="6" t="n">
        <v>10000</v>
      </c>
      <c r="CG73" s="6" t="n">
        <v>10000</v>
      </c>
      <c r="CH73" s="6" t="n">
        <v>10000</v>
      </c>
      <c r="CI73" s="6" t="n">
        <v>10000</v>
      </c>
      <c r="CJ73" s="6" t="n">
        <v>10000</v>
      </c>
      <c r="CK73" s="6" t="n">
        <v>10000</v>
      </c>
      <c r="CL73" s="6" t="n">
        <v>10000</v>
      </c>
      <c r="CM73" s="6" t="n">
        <v>10000</v>
      </c>
      <c r="CN73" s="6" t="n">
        <v>10000</v>
      </c>
      <c r="CO73" s="6" t="n">
        <v>10000</v>
      </c>
      <c r="CP73" s="6" t="n">
        <v>10000</v>
      </c>
      <c r="CQ73" s="6" t="n">
        <v>10000</v>
      </c>
      <c r="CR73" s="6" t="n">
        <v>10000</v>
      </c>
      <c r="CS73" s="6" t="n">
        <v>10000</v>
      </c>
      <c r="CT73" s="6" t="n">
        <v>10000</v>
      </c>
      <c r="CU73" s="6" t="n">
        <v>10000</v>
      </c>
      <c r="CV73" s="6" t="n">
        <v>10000</v>
      </c>
      <c r="CW73" s="6" t="n">
        <v>10000</v>
      </c>
      <c r="CX73" s="6" t="n">
        <v>10000</v>
      </c>
      <c r="CY73" s="6" t="n">
        <v>10000</v>
      </c>
      <c r="CZ73" s="6" t="n">
        <v>10000</v>
      </c>
      <c r="DA73" s="6" t="n">
        <v>10000</v>
      </c>
      <c r="DB73" s="6" t="n">
        <v>10000</v>
      </c>
      <c r="DC73" s="6" t="n">
        <v>10000</v>
      </c>
      <c r="DD73" s="6" t="n">
        <v>10000</v>
      </c>
      <c r="DE73" s="6" t="n">
        <v>10000</v>
      </c>
      <c r="DF73" s="6" t="n">
        <v>10000</v>
      </c>
      <c r="DG73" s="6" t="n">
        <v>10000</v>
      </c>
      <c r="DH73" s="6" t="n">
        <v>10000</v>
      </c>
      <c r="DI73" s="6" t="n">
        <v>10000</v>
      </c>
      <c r="DJ73" s="6" t="n">
        <v>10000</v>
      </c>
      <c r="DK73" s="6" t="n">
        <v>10000</v>
      </c>
      <c r="DL73" s="6" t="n">
        <v>10000</v>
      </c>
      <c r="DM73" s="6" t="n">
        <v>10000</v>
      </c>
      <c r="DN73" s="6" t="n">
        <v>10000</v>
      </c>
      <c r="DO73" s="6" t="n">
        <v>10000</v>
      </c>
      <c r="DP73" s="6" t="n">
        <v>10000</v>
      </c>
      <c r="DQ73" s="6" t="n">
        <v>10000</v>
      </c>
      <c r="DR73" s="6" t="n">
        <v>10000</v>
      </c>
      <c r="DS73" s="6" t="n">
        <v>10000</v>
      </c>
      <c r="DT73" s="6" t="n">
        <v>10000</v>
      </c>
      <c r="DU73" s="6" t="n">
        <v>10000</v>
      </c>
      <c r="DV73" s="6" t="n">
        <v>10000</v>
      </c>
      <c r="DW73" s="6" t="n">
        <v>10000</v>
      </c>
      <c r="DX73" s="6" t="n">
        <v>10000</v>
      </c>
      <c r="DY73" s="6" t="n">
        <v>10000</v>
      </c>
      <c r="DZ73" s="6" t="n">
        <v>10000</v>
      </c>
      <c r="EA73" s="6" t="n">
        <v>10000</v>
      </c>
      <c r="EB73" s="6" t="n">
        <v>10000</v>
      </c>
      <c r="EC73" s="6" t="n">
        <v>3711</v>
      </c>
      <c r="ED73" s="6" t="n">
        <v>3190</v>
      </c>
      <c r="EE73" s="6" t="n">
        <v>3546</v>
      </c>
      <c r="EF73" s="6" t="n">
        <v>3194</v>
      </c>
      <c r="EG73" s="6" t="n">
        <v>3824</v>
      </c>
      <c r="EH73" s="6" t="n">
        <v>4014</v>
      </c>
      <c r="EI73" s="6" t="n">
        <v>3195</v>
      </c>
      <c r="EJ73" s="6" t="n">
        <v>3001</v>
      </c>
      <c r="EK73" s="6" t="n">
        <v>3408</v>
      </c>
      <c r="EL73" s="6" t="n">
        <v>3407</v>
      </c>
      <c r="EM73" s="6" t="n">
        <v>3420</v>
      </c>
      <c r="EN73" s="6" t="n">
        <v>3473</v>
      </c>
      <c r="EO73" s="6" t="n">
        <v>3538</v>
      </c>
      <c r="EP73" s="6" t="n">
        <v>3545</v>
      </c>
      <c r="EQ73" s="6" t="n">
        <v>3300</v>
      </c>
      <c r="ER73" s="6" t="n">
        <v>3296</v>
      </c>
      <c r="ES73" s="6" t="n">
        <v>3207</v>
      </c>
      <c r="ET73" s="6" t="n">
        <v>3000</v>
      </c>
      <c r="EU73" s="6" t="n">
        <v>2669</v>
      </c>
      <c r="EV73" s="6" t="n">
        <v>3059</v>
      </c>
      <c r="EW73" s="6" t="n">
        <v>3545</v>
      </c>
      <c r="EX73" s="6" t="n">
        <v>3711</v>
      </c>
      <c r="EY73" s="6" t="n">
        <v>4938</v>
      </c>
      <c r="EZ73" s="6" t="n">
        <v>5771</v>
      </c>
      <c r="FA73" s="6" t="n">
        <v>4092</v>
      </c>
      <c r="FB73" s="6" t="n">
        <v>4690</v>
      </c>
      <c r="FC73" s="6" t="n">
        <v>10000</v>
      </c>
      <c r="FD73" s="6" t="n">
        <v>10000</v>
      </c>
      <c r="FE73" s="6" t="n">
        <v>10000</v>
      </c>
      <c r="FF73" s="6" t="n">
        <v>10000</v>
      </c>
      <c r="FG73" s="6" t="n">
        <v>10000</v>
      </c>
      <c r="FH73" s="6" t="n">
        <v>10000</v>
      </c>
      <c r="FI73" s="6" t="n">
        <v>10000</v>
      </c>
      <c r="FJ73" s="6" t="n">
        <v>10000</v>
      </c>
      <c r="FK73" s="6" t="n">
        <v>10000</v>
      </c>
      <c r="FL73" s="6" t="n">
        <v>10000</v>
      </c>
      <c r="FM73" s="6" t="n">
        <v>10000</v>
      </c>
      <c r="FN73" s="6" t="n">
        <v>10000</v>
      </c>
      <c r="FO73" s="6" t="n">
        <v>10000</v>
      </c>
      <c r="FP73" s="6" t="n">
        <v>10000</v>
      </c>
      <c r="FQ73" s="6" t="n">
        <v>10000</v>
      </c>
      <c r="FR73" s="6" t="n">
        <v>10000</v>
      </c>
      <c r="FS73" s="6" t="n">
        <v>10000</v>
      </c>
      <c r="FT73" s="6" t="n">
        <v>10000</v>
      </c>
      <c r="FU73" s="6" t="n">
        <v>10000</v>
      </c>
      <c r="FV73" s="6" t="n">
        <v>10000</v>
      </c>
      <c r="FW73" s="6" t="n">
        <v>10000</v>
      </c>
      <c r="FX73" s="6" t="n">
        <v>10000</v>
      </c>
      <c r="FY73" s="6" t="n">
        <v>10000</v>
      </c>
      <c r="FZ73" s="6" t="n">
        <v>10000</v>
      </c>
      <c r="GA73" s="6" t="n">
        <v>10000</v>
      </c>
      <c r="GB73" s="6" t="n">
        <v>10000</v>
      </c>
      <c r="GC73" s="6" t="n">
        <v>10000</v>
      </c>
      <c r="GD73" s="6" t="n">
        <v>10000</v>
      </c>
      <c r="GE73" s="6" t="n">
        <v>10000</v>
      </c>
      <c r="GF73" s="6" t="n">
        <v>10000</v>
      </c>
      <c r="GG73" s="6" t="n">
        <v>10000</v>
      </c>
      <c r="GH73" s="6" t="n">
        <v>10000</v>
      </c>
      <c r="GI73" s="6" t="n">
        <v>10000</v>
      </c>
      <c r="GJ73" s="6" t="n">
        <v>10000</v>
      </c>
      <c r="GK73" s="6" t="n">
        <v>10000</v>
      </c>
      <c r="GL73" s="6" t="n">
        <v>10000</v>
      </c>
    </row>
    <row r="74">
      <c r="A74" s="6" t="inlineStr">
        <is>
          <t>RTM</t>
        </is>
      </c>
      <c r="B74" s="6" t="n">
        <v>11</v>
      </c>
      <c r="C74" s="6" t="n">
        <v>10000</v>
      </c>
      <c r="D74" s="6" t="n">
        <v>10000</v>
      </c>
      <c r="E74" s="6" t="n">
        <v>10000</v>
      </c>
      <c r="F74" s="6" t="n">
        <v>10000</v>
      </c>
      <c r="G74" s="6" t="n">
        <v>10000</v>
      </c>
      <c r="H74" s="6" t="n">
        <v>10000</v>
      </c>
      <c r="I74" s="6" t="n">
        <v>10000</v>
      </c>
      <c r="J74" s="6" t="n">
        <v>10000</v>
      </c>
      <c r="K74" s="6" t="n">
        <v>10000</v>
      </c>
      <c r="L74" s="6" t="n">
        <v>10000</v>
      </c>
      <c r="M74" s="6" t="n">
        <v>10000</v>
      </c>
      <c r="N74" s="6" t="n">
        <v>10000</v>
      </c>
      <c r="O74" s="6" t="n">
        <v>10000</v>
      </c>
      <c r="P74" s="6" t="n">
        <v>10000</v>
      </c>
      <c r="Q74" s="6" t="n">
        <v>10000</v>
      </c>
      <c r="R74" s="6" t="n">
        <v>10000</v>
      </c>
      <c r="S74" s="6" t="n">
        <v>10000</v>
      </c>
      <c r="T74" s="6" t="n">
        <v>10000</v>
      </c>
      <c r="U74" s="6" t="n">
        <v>10000</v>
      </c>
      <c r="V74" s="6" t="n">
        <v>10000</v>
      </c>
      <c r="W74" s="6" t="n">
        <v>10000</v>
      </c>
      <c r="X74" s="6" t="n">
        <v>10000</v>
      </c>
      <c r="Y74" s="6" t="n">
        <v>10000</v>
      </c>
      <c r="Z74" s="6" t="n">
        <v>10000</v>
      </c>
      <c r="AA74" s="6" t="n">
        <v>10000</v>
      </c>
      <c r="AB74" s="6" t="n">
        <v>10000</v>
      </c>
      <c r="AC74" s="6" t="n">
        <v>10000</v>
      </c>
      <c r="AD74" s="6" t="n">
        <v>10000</v>
      </c>
      <c r="AE74" s="6" t="n">
        <v>10000</v>
      </c>
      <c r="AF74" s="6" t="n">
        <v>10000</v>
      </c>
      <c r="AG74" s="6" t="n">
        <v>10000</v>
      </c>
      <c r="AH74" s="6" t="n">
        <v>10000</v>
      </c>
      <c r="AI74" s="6" t="n">
        <v>10000</v>
      </c>
      <c r="AJ74" s="6" t="n">
        <v>10000</v>
      </c>
      <c r="AK74" s="6" t="n">
        <v>10000</v>
      </c>
      <c r="AL74" s="6" t="n">
        <v>10000</v>
      </c>
      <c r="AM74" s="6" t="n">
        <v>6002</v>
      </c>
      <c r="AN74" s="6" t="n">
        <v>4500</v>
      </c>
      <c r="AO74" s="6" t="n">
        <v>4014</v>
      </c>
      <c r="AP74" s="6" t="n">
        <v>4004</v>
      </c>
      <c r="AQ74" s="6" t="n">
        <v>3973</v>
      </c>
      <c r="AR74" s="6" t="n">
        <v>3511</v>
      </c>
      <c r="AS74" s="6" t="n">
        <v>3511</v>
      </c>
      <c r="AT74" s="6" t="n">
        <v>3501</v>
      </c>
      <c r="AU74" s="6" t="n">
        <v>3511</v>
      </c>
      <c r="AV74" s="6" t="n">
        <v>3611</v>
      </c>
      <c r="AW74" s="6" t="n">
        <v>3546</v>
      </c>
      <c r="AX74" s="6" t="n">
        <v>3647</v>
      </c>
      <c r="AY74" s="6" t="n">
        <v>3648</v>
      </c>
      <c r="AZ74" s="6" t="n">
        <v>3801</v>
      </c>
      <c r="BA74" s="6" t="n">
        <v>3631</v>
      </c>
      <c r="BB74" s="6" t="n">
        <v>3546</v>
      </c>
      <c r="BC74" s="6" t="n">
        <v>3545</v>
      </c>
      <c r="BD74" s="6" t="n">
        <v>3546</v>
      </c>
      <c r="BE74" s="6" t="n">
        <v>3591</v>
      </c>
      <c r="BF74" s="6" t="n">
        <v>4091</v>
      </c>
      <c r="BG74" s="6" t="n">
        <v>4701</v>
      </c>
      <c r="BH74" s="6" t="n">
        <v>4546</v>
      </c>
      <c r="BI74" s="6" t="n">
        <v>4546</v>
      </c>
      <c r="BJ74" s="6" t="n">
        <v>5820</v>
      </c>
      <c r="BK74" s="6" t="n">
        <v>10000</v>
      </c>
      <c r="BL74" s="6" t="n">
        <v>10000</v>
      </c>
      <c r="BM74" s="6" t="n">
        <v>10000</v>
      </c>
      <c r="BN74" s="6" t="n">
        <v>10000</v>
      </c>
      <c r="BO74" s="6" t="n">
        <v>10000</v>
      </c>
      <c r="BP74" s="6" t="n">
        <v>10000</v>
      </c>
      <c r="BQ74" s="6" t="n">
        <v>10000</v>
      </c>
      <c r="BR74" s="6" t="n">
        <v>10000</v>
      </c>
      <c r="BS74" s="6" t="n">
        <v>10000</v>
      </c>
      <c r="BT74" s="6" t="n">
        <v>10000</v>
      </c>
      <c r="BU74" s="6" t="n">
        <v>10000</v>
      </c>
      <c r="BV74" s="6" t="n">
        <v>10000</v>
      </c>
      <c r="BW74" s="6" t="n">
        <v>10000</v>
      </c>
      <c r="BX74" s="6" t="n">
        <v>10000</v>
      </c>
      <c r="BY74" s="6" t="n">
        <v>10000</v>
      </c>
      <c r="BZ74" s="6" t="n">
        <v>10000</v>
      </c>
      <c r="CA74" s="6" t="n">
        <v>10000</v>
      </c>
      <c r="CB74" s="6" t="n">
        <v>10000</v>
      </c>
      <c r="CC74" s="6" t="n">
        <v>10000</v>
      </c>
      <c r="CD74" s="6" t="n">
        <v>10000</v>
      </c>
      <c r="CE74" s="6" t="n">
        <v>10000</v>
      </c>
      <c r="CF74" s="6" t="n">
        <v>10000</v>
      </c>
      <c r="CG74" s="6" t="n">
        <v>10000</v>
      </c>
      <c r="CH74" s="6" t="n">
        <v>10000</v>
      </c>
      <c r="CI74" s="6" t="n">
        <v>10000</v>
      </c>
      <c r="CJ74" s="6" t="n">
        <v>10000</v>
      </c>
      <c r="CK74" s="6" t="n">
        <v>10000</v>
      </c>
      <c r="CL74" s="6" t="n">
        <v>10000</v>
      </c>
      <c r="CM74" s="6" t="n">
        <v>10000</v>
      </c>
      <c r="CN74" s="6" t="n">
        <v>10000</v>
      </c>
      <c r="CO74" s="6" t="n">
        <v>10000</v>
      </c>
      <c r="CP74" s="6" t="n">
        <v>10000</v>
      </c>
      <c r="CQ74" s="6" t="n">
        <v>10000</v>
      </c>
      <c r="CR74" s="6" t="n">
        <v>10000</v>
      </c>
      <c r="CS74" s="6" t="n">
        <v>10000</v>
      </c>
      <c r="CT74" s="6" t="n">
        <v>10000</v>
      </c>
      <c r="CU74" s="6" t="n">
        <v>10000</v>
      </c>
      <c r="CV74" s="6" t="n">
        <v>10000</v>
      </c>
      <c r="CW74" s="6" t="n">
        <v>10000</v>
      </c>
      <c r="CX74" s="6" t="n">
        <v>10000</v>
      </c>
      <c r="CY74" s="6" t="n">
        <v>10000</v>
      </c>
      <c r="CZ74" s="6" t="n">
        <v>10000</v>
      </c>
      <c r="DA74" s="6" t="n">
        <v>10000</v>
      </c>
      <c r="DB74" s="6" t="n">
        <v>10000</v>
      </c>
      <c r="DC74" s="6" t="n">
        <v>10000</v>
      </c>
      <c r="DD74" s="6" t="n">
        <v>10000</v>
      </c>
      <c r="DE74" s="6" t="n">
        <v>10000</v>
      </c>
      <c r="DF74" s="6" t="n">
        <v>10000</v>
      </c>
      <c r="DG74" s="6" t="n">
        <v>10000</v>
      </c>
      <c r="DH74" s="6" t="n">
        <v>10000</v>
      </c>
      <c r="DI74" s="6" t="n">
        <v>10000</v>
      </c>
      <c r="DJ74" s="6" t="n">
        <v>10000</v>
      </c>
      <c r="DK74" s="6" t="n">
        <v>10000</v>
      </c>
      <c r="DL74" s="6" t="n">
        <v>10000</v>
      </c>
      <c r="DM74" s="6" t="n">
        <v>10000</v>
      </c>
      <c r="DN74" s="6" t="n">
        <v>10000</v>
      </c>
      <c r="DO74" s="6" t="n">
        <v>10000</v>
      </c>
      <c r="DP74" s="6" t="n">
        <v>10000</v>
      </c>
      <c r="DQ74" s="6" t="n">
        <v>10000</v>
      </c>
      <c r="DR74" s="6" t="n">
        <v>10000</v>
      </c>
      <c r="DS74" s="6" t="n">
        <v>10000</v>
      </c>
      <c r="DT74" s="6" t="n">
        <v>10000</v>
      </c>
      <c r="DU74" s="6" t="n">
        <v>10000</v>
      </c>
      <c r="DV74" s="6" t="n">
        <v>10000</v>
      </c>
      <c r="DW74" s="6" t="n">
        <v>10000</v>
      </c>
      <c r="DX74" s="6" t="n">
        <v>10000</v>
      </c>
      <c r="DY74" s="6" t="n">
        <v>10000</v>
      </c>
      <c r="DZ74" s="6" t="n">
        <v>10000</v>
      </c>
      <c r="EA74" s="6" t="n">
        <v>10000</v>
      </c>
      <c r="EB74" s="6" t="n">
        <v>10000</v>
      </c>
      <c r="EC74" s="6" t="n">
        <v>10000</v>
      </c>
      <c r="ED74" s="6" t="n">
        <v>10000</v>
      </c>
      <c r="EE74" s="6" t="n">
        <v>6002</v>
      </c>
      <c r="EF74" s="6" t="n">
        <v>4500</v>
      </c>
      <c r="EG74" s="6" t="n">
        <v>4014</v>
      </c>
      <c r="EH74" s="6" t="n">
        <v>4004</v>
      </c>
      <c r="EI74" s="6" t="n">
        <v>3973</v>
      </c>
      <c r="EJ74" s="6" t="n">
        <v>3511</v>
      </c>
      <c r="EK74" s="6" t="n">
        <v>3511</v>
      </c>
      <c r="EL74" s="6" t="n">
        <v>3501</v>
      </c>
      <c r="EM74" s="6" t="n">
        <v>3511</v>
      </c>
      <c r="EN74" s="6" t="n">
        <v>3611</v>
      </c>
      <c r="EO74" s="6" t="n">
        <v>3546</v>
      </c>
      <c r="EP74" s="6" t="n">
        <v>3647</v>
      </c>
      <c r="EQ74" s="6" t="n">
        <v>3648</v>
      </c>
      <c r="ER74" s="6" t="n">
        <v>3801</v>
      </c>
      <c r="ES74" s="6" t="n">
        <v>3631</v>
      </c>
      <c r="ET74" s="6" t="n">
        <v>3546</v>
      </c>
      <c r="EU74" s="6" t="n">
        <v>3545</v>
      </c>
      <c r="EV74" s="6" t="n">
        <v>3546</v>
      </c>
      <c r="EW74" s="6" t="n">
        <v>3591</v>
      </c>
      <c r="EX74" s="6" t="n">
        <v>4091</v>
      </c>
      <c r="EY74" s="6" t="n">
        <v>4701</v>
      </c>
      <c r="EZ74" s="6" t="n">
        <v>4546</v>
      </c>
      <c r="FA74" s="6" t="n">
        <v>4546</v>
      </c>
      <c r="FB74" s="6" t="n">
        <v>5820</v>
      </c>
      <c r="FC74" s="6" t="n">
        <v>10000</v>
      </c>
      <c r="FD74" s="6" t="n">
        <v>10000</v>
      </c>
      <c r="FE74" s="6" t="n">
        <v>10000</v>
      </c>
      <c r="FF74" s="6" t="n">
        <v>10000</v>
      </c>
      <c r="FG74" s="6" t="n">
        <v>10000</v>
      </c>
      <c r="FH74" s="6" t="n">
        <v>10000</v>
      </c>
      <c r="FI74" s="6" t="n">
        <v>10000</v>
      </c>
      <c r="FJ74" s="6" t="n">
        <v>10000</v>
      </c>
      <c r="FK74" s="6" t="n">
        <v>10000</v>
      </c>
      <c r="FL74" s="6" t="n">
        <v>10000</v>
      </c>
      <c r="FM74" s="6" t="n">
        <v>10000</v>
      </c>
      <c r="FN74" s="6" t="n">
        <v>10000</v>
      </c>
      <c r="FO74" s="6" t="n">
        <v>10000</v>
      </c>
      <c r="FP74" s="6" t="n">
        <v>10000</v>
      </c>
      <c r="FQ74" s="6" t="n">
        <v>10000</v>
      </c>
      <c r="FR74" s="6" t="n">
        <v>10000</v>
      </c>
      <c r="FS74" s="6" t="n">
        <v>10000</v>
      </c>
      <c r="FT74" s="6" t="n">
        <v>10000</v>
      </c>
      <c r="FU74" s="6" t="n">
        <v>10000</v>
      </c>
      <c r="FV74" s="6" t="n">
        <v>10000</v>
      </c>
      <c r="FW74" s="6" t="n">
        <v>10000</v>
      </c>
      <c r="FX74" s="6" t="n">
        <v>10000</v>
      </c>
      <c r="FY74" s="6" t="n">
        <v>10000</v>
      </c>
      <c r="FZ74" s="6" t="n">
        <v>10000</v>
      </c>
      <c r="GA74" s="6" t="n">
        <v>10000</v>
      </c>
      <c r="GB74" s="6" t="n">
        <v>10000</v>
      </c>
      <c r="GC74" s="6" t="n">
        <v>10000</v>
      </c>
      <c r="GD74" s="6" t="n">
        <v>10000</v>
      </c>
      <c r="GE74" s="6" t="n">
        <v>10000</v>
      </c>
      <c r="GF74" s="6" t="n">
        <v>10000</v>
      </c>
      <c r="GG74" s="6" t="n">
        <v>10000</v>
      </c>
      <c r="GH74" s="6" t="n">
        <v>10000</v>
      </c>
      <c r="GI74" s="6" t="n">
        <v>10000</v>
      </c>
      <c r="GJ74" s="6" t="n">
        <v>10000</v>
      </c>
      <c r="GK74" s="6" t="n">
        <v>10000</v>
      </c>
      <c r="GL74" s="6" t="n">
        <v>10000</v>
      </c>
    </row>
    <row r="75">
      <c r="A75" s="6" t="inlineStr">
        <is>
          <t>RTM</t>
        </is>
      </c>
      <c r="B75" s="6" t="n">
        <v>12</v>
      </c>
      <c r="C75" s="6" t="n">
        <v>10000</v>
      </c>
      <c r="D75" s="6" t="n">
        <v>10000</v>
      </c>
      <c r="E75" s="6" t="n">
        <v>10000</v>
      </c>
      <c r="F75" s="6" t="n">
        <v>10000</v>
      </c>
      <c r="G75" s="6" t="n">
        <v>10000</v>
      </c>
      <c r="H75" s="6" t="n">
        <v>10000</v>
      </c>
      <c r="I75" s="6" t="n">
        <v>10000</v>
      </c>
      <c r="J75" s="6" t="n">
        <v>10000</v>
      </c>
      <c r="K75" s="6" t="n">
        <v>10000</v>
      </c>
      <c r="L75" s="6" t="n">
        <v>10000</v>
      </c>
      <c r="M75" s="6" t="n">
        <v>10000</v>
      </c>
      <c r="N75" s="6" t="n">
        <v>10000</v>
      </c>
      <c r="O75" s="6" t="n">
        <v>10000</v>
      </c>
      <c r="P75" s="6" t="n">
        <v>10000</v>
      </c>
      <c r="Q75" s="6" t="n">
        <v>10000</v>
      </c>
      <c r="R75" s="6" t="n">
        <v>10000</v>
      </c>
      <c r="S75" s="6" t="n">
        <v>10000</v>
      </c>
      <c r="T75" s="6" t="n">
        <v>10000</v>
      </c>
      <c r="U75" s="6" t="n">
        <v>10000</v>
      </c>
      <c r="V75" s="6" t="n">
        <v>10000</v>
      </c>
      <c r="W75" s="6" t="n">
        <v>10000</v>
      </c>
      <c r="X75" s="6" t="n">
        <v>10000</v>
      </c>
      <c r="Y75" s="6" t="n">
        <v>10000</v>
      </c>
      <c r="Z75" s="6" t="n">
        <v>10000</v>
      </c>
      <c r="AA75" s="6" t="n">
        <v>10000</v>
      </c>
      <c r="AB75" s="6" t="n">
        <v>10000</v>
      </c>
      <c r="AC75" s="6" t="n">
        <v>10000</v>
      </c>
      <c r="AD75" s="6" t="n">
        <v>10000</v>
      </c>
      <c r="AE75" s="6" t="n">
        <v>10000</v>
      </c>
      <c r="AF75" s="6" t="n">
        <v>10000</v>
      </c>
      <c r="AG75" s="6" t="n">
        <v>10000</v>
      </c>
      <c r="AH75" s="6" t="n">
        <v>10000</v>
      </c>
      <c r="AI75" s="6" t="n">
        <v>10000</v>
      </c>
      <c r="AJ75" s="6" t="n">
        <v>10000</v>
      </c>
      <c r="AK75" s="6" t="n">
        <v>6001</v>
      </c>
      <c r="AL75" s="6" t="n">
        <v>4013</v>
      </c>
      <c r="AM75" s="6" t="n">
        <v>3600</v>
      </c>
      <c r="AN75" s="6" t="n">
        <v>3451</v>
      </c>
      <c r="AO75" s="6" t="n">
        <v>5500</v>
      </c>
      <c r="AP75" s="6" t="n">
        <v>4700</v>
      </c>
      <c r="AQ75" s="6" t="n">
        <v>5292</v>
      </c>
      <c r="AR75" s="6" t="n">
        <v>4938</v>
      </c>
      <c r="AS75" s="6" t="n">
        <v>5512</v>
      </c>
      <c r="AT75" s="6" t="n">
        <v>5512</v>
      </c>
      <c r="AU75" s="6" t="n">
        <v>4817</v>
      </c>
      <c r="AV75" s="6" t="n">
        <v>4091</v>
      </c>
      <c r="AW75" s="6" t="n">
        <v>3545</v>
      </c>
      <c r="AX75" s="6" t="n">
        <v>3545</v>
      </c>
      <c r="AY75" s="6" t="n">
        <v>3211</v>
      </c>
      <c r="AZ75" s="6" t="n">
        <v>3450</v>
      </c>
      <c r="BA75" s="6" t="n">
        <v>3200</v>
      </c>
      <c r="BB75" s="6" t="n">
        <v>3190</v>
      </c>
      <c r="BC75" s="6" t="n">
        <v>2999</v>
      </c>
      <c r="BD75" s="6" t="n">
        <v>3411</v>
      </c>
      <c r="BE75" s="6" t="n">
        <v>3546</v>
      </c>
      <c r="BF75" s="6" t="n">
        <v>3933</v>
      </c>
      <c r="BG75" s="6" t="n">
        <v>4700</v>
      </c>
      <c r="BH75" s="6" t="n">
        <v>5001</v>
      </c>
      <c r="BI75" s="6" t="n">
        <v>6095</v>
      </c>
      <c r="BJ75" s="6" t="n">
        <v>6501</v>
      </c>
      <c r="BK75" s="6" t="n">
        <v>10000</v>
      </c>
      <c r="BL75" s="6" t="n">
        <v>10000</v>
      </c>
      <c r="BM75" s="6" t="n">
        <v>10000</v>
      </c>
      <c r="BN75" s="6" t="n">
        <v>10000</v>
      </c>
      <c r="BO75" s="6" t="n">
        <v>10000</v>
      </c>
      <c r="BP75" s="6" t="n">
        <v>10000</v>
      </c>
      <c r="BQ75" s="6" t="n">
        <v>10000</v>
      </c>
      <c r="BR75" s="6" t="n">
        <v>10000</v>
      </c>
      <c r="BS75" s="6" t="n">
        <v>10000</v>
      </c>
      <c r="BT75" s="6" t="n">
        <v>10000</v>
      </c>
      <c r="BU75" s="6" t="n">
        <v>10000</v>
      </c>
      <c r="BV75" s="6" t="n">
        <v>10000</v>
      </c>
      <c r="BW75" s="6" t="n">
        <v>10000</v>
      </c>
      <c r="BX75" s="6" t="n">
        <v>10000</v>
      </c>
      <c r="BY75" s="6" t="n">
        <v>10000</v>
      </c>
      <c r="BZ75" s="6" t="n">
        <v>10000</v>
      </c>
      <c r="CA75" s="6" t="n">
        <v>10000</v>
      </c>
      <c r="CB75" s="6" t="n">
        <v>10000</v>
      </c>
      <c r="CC75" s="6" t="n">
        <v>10000</v>
      </c>
      <c r="CD75" s="6" t="n">
        <v>10000</v>
      </c>
      <c r="CE75" s="6" t="n">
        <v>10000</v>
      </c>
      <c r="CF75" s="6" t="n">
        <v>10000</v>
      </c>
      <c r="CG75" s="6" t="n">
        <v>10000</v>
      </c>
      <c r="CH75" s="6" t="n">
        <v>10000</v>
      </c>
      <c r="CI75" s="6" t="n">
        <v>10000</v>
      </c>
      <c r="CJ75" s="6" t="n">
        <v>10000</v>
      </c>
      <c r="CK75" s="6" t="n">
        <v>10000</v>
      </c>
      <c r="CL75" s="6" t="n">
        <v>10000</v>
      </c>
      <c r="CM75" s="6" t="n">
        <v>10000</v>
      </c>
      <c r="CN75" s="6" t="n">
        <v>10000</v>
      </c>
      <c r="CO75" s="6" t="n">
        <v>10000</v>
      </c>
      <c r="CP75" s="6" t="n">
        <v>10000</v>
      </c>
      <c r="CQ75" s="6" t="n">
        <v>10000</v>
      </c>
      <c r="CR75" s="6" t="n">
        <v>10000</v>
      </c>
      <c r="CS75" s="6" t="n">
        <v>10000</v>
      </c>
      <c r="CT75" s="6" t="n">
        <v>10000</v>
      </c>
      <c r="CU75" s="6" t="n">
        <v>10000</v>
      </c>
      <c r="CV75" s="6" t="n">
        <v>10000</v>
      </c>
      <c r="CW75" s="6" t="n">
        <v>10000</v>
      </c>
      <c r="CX75" s="6" t="n">
        <v>10000</v>
      </c>
      <c r="CY75" s="6" t="n">
        <v>10000</v>
      </c>
      <c r="CZ75" s="6" t="n">
        <v>10000</v>
      </c>
      <c r="DA75" s="6" t="n">
        <v>10000</v>
      </c>
      <c r="DB75" s="6" t="n">
        <v>10000</v>
      </c>
      <c r="DC75" s="6" t="n">
        <v>10000</v>
      </c>
      <c r="DD75" s="6" t="n">
        <v>10000</v>
      </c>
      <c r="DE75" s="6" t="n">
        <v>10000</v>
      </c>
      <c r="DF75" s="6" t="n">
        <v>10000</v>
      </c>
      <c r="DG75" s="6" t="n">
        <v>10000</v>
      </c>
      <c r="DH75" s="6" t="n">
        <v>10000</v>
      </c>
      <c r="DI75" s="6" t="n">
        <v>10000</v>
      </c>
      <c r="DJ75" s="6" t="n">
        <v>10000</v>
      </c>
      <c r="DK75" s="6" t="n">
        <v>10000</v>
      </c>
      <c r="DL75" s="6" t="n">
        <v>10000</v>
      </c>
      <c r="DM75" s="6" t="n">
        <v>10000</v>
      </c>
      <c r="DN75" s="6" t="n">
        <v>10000</v>
      </c>
      <c r="DO75" s="6" t="n">
        <v>10000</v>
      </c>
      <c r="DP75" s="6" t="n">
        <v>10000</v>
      </c>
      <c r="DQ75" s="6" t="n">
        <v>10000</v>
      </c>
      <c r="DR75" s="6" t="n">
        <v>10000</v>
      </c>
      <c r="DS75" s="6" t="n">
        <v>10000</v>
      </c>
      <c r="DT75" s="6" t="n">
        <v>10000</v>
      </c>
      <c r="DU75" s="6" t="n">
        <v>10000</v>
      </c>
      <c r="DV75" s="6" t="n">
        <v>10000</v>
      </c>
      <c r="DW75" s="6" t="n">
        <v>10000</v>
      </c>
      <c r="DX75" s="6" t="n">
        <v>10000</v>
      </c>
      <c r="DY75" s="6" t="n">
        <v>10000</v>
      </c>
      <c r="DZ75" s="6" t="n">
        <v>10000</v>
      </c>
      <c r="EA75" s="6" t="n">
        <v>10000</v>
      </c>
      <c r="EB75" s="6" t="n">
        <v>10000</v>
      </c>
      <c r="EC75" s="6" t="n">
        <v>6001</v>
      </c>
      <c r="ED75" s="6" t="n">
        <v>4013</v>
      </c>
      <c r="EE75" s="6" t="n">
        <v>3600</v>
      </c>
      <c r="EF75" s="6" t="n">
        <v>3451</v>
      </c>
      <c r="EG75" s="6" t="n">
        <v>5500</v>
      </c>
      <c r="EH75" s="6" t="n">
        <v>4700</v>
      </c>
      <c r="EI75" s="6" t="n">
        <v>5292</v>
      </c>
      <c r="EJ75" s="6" t="n">
        <v>4938</v>
      </c>
      <c r="EK75" s="6" t="n">
        <v>5512</v>
      </c>
      <c r="EL75" s="6" t="n">
        <v>5512</v>
      </c>
      <c r="EM75" s="6" t="n">
        <v>4817</v>
      </c>
      <c r="EN75" s="6" t="n">
        <v>4091</v>
      </c>
      <c r="EO75" s="6" t="n">
        <v>3545</v>
      </c>
      <c r="EP75" s="6" t="n">
        <v>3545</v>
      </c>
      <c r="EQ75" s="6" t="n">
        <v>3211</v>
      </c>
      <c r="ER75" s="6" t="n">
        <v>3450</v>
      </c>
      <c r="ES75" s="6" t="n">
        <v>3200</v>
      </c>
      <c r="ET75" s="6" t="n">
        <v>3190</v>
      </c>
      <c r="EU75" s="6" t="n">
        <v>2999</v>
      </c>
      <c r="EV75" s="6" t="n">
        <v>3411</v>
      </c>
      <c r="EW75" s="6" t="n">
        <v>3546</v>
      </c>
      <c r="EX75" s="6" t="n">
        <v>3933</v>
      </c>
      <c r="EY75" s="6" t="n">
        <v>4700</v>
      </c>
      <c r="EZ75" s="6" t="n">
        <v>5001</v>
      </c>
      <c r="FA75" s="6" t="n">
        <v>6095</v>
      </c>
      <c r="FB75" s="6" t="n">
        <v>6501</v>
      </c>
      <c r="FC75" s="6" t="n">
        <v>10000</v>
      </c>
      <c r="FD75" s="6" t="n">
        <v>10000</v>
      </c>
      <c r="FE75" s="6" t="n">
        <v>10000</v>
      </c>
      <c r="FF75" s="6" t="n">
        <v>10000</v>
      </c>
      <c r="FG75" s="6" t="n">
        <v>10000</v>
      </c>
      <c r="FH75" s="6" t="n">
        <v>10000</v>
      </c>
      <c r="FI75" s="6" t="n">
        <v>10000</v>
      </c>
      <c r="FJ75" s="6" t="n">
        <v>10000</v>
      </c>
      <c r="FK75" s="6" t="n">
        <v>10000</v>
      </c>
      <c r="FL75" s="6" t="n">
        <v>10000</v>
      </c>
      <c r="FM75" s="6" t="n">
        <v>10000</v>
      </c>
      <c r="FN75" s="6" t="n">
        <v>10000</v>
      </c>
      <c r="FO75" s="6" t="n">
        <v>10000</v>
      </c>
      <c r="FP75" s="6" t="n">
        <v>10000</v>
      </c>
      <c r="FQ75" s="6" t="n">
        <v>10000</v>
      </c>
      <c r="FR75" s="6" t="n">
        <v>10000</v>
      </c>
      <c r="FS75" s="6" t="n">
        <v>10000</v>
      </c>
      <c r="FT75" s="6" t="n">
        <v>10000</v>
      </c>
      <c r="FU75" s="6" t="n">
        <v>10000</v>
      </c>
      <c r="FV75" s="6" t="n">
        <v>10000</v>
      </c>
      <c r="FW75" s="6" t="n">
        <v>10000</v>
      </c>
      <c r="FX75" s="6" t="n">
        <v>10000</v>
      </c>
      <c r="FY75" s="6" t="n">
        <v>10000</v>
      </c>
      <c r="FZ75" s="6" t="n">
        <v>10000</v>
      </c>
      <c r="GA75" s="6" t="n">
        <v>10000</v>
      </c>
      <c r="GB75" s="6" t="n">
        <v>10000</v>
      </c>
      <c r="GC75" s="6" t="n">
        <v>10000</v>
      </c>
      <c r="GD75" s="6" t="n">
        <v>10000</v>
      </c>
      <c r="GE75" s="6" t="n">
        <v>10000</v>
      </c>
      <c r="GF75" s="6" t="n">
        <v>10000</v>
      </c>
      <c r="GG75" s="6" t="n">
        <v>10000</v>
      </c>
      <c r="GH75" s="6" t="n">
        <v>10000</v>
      </c>
      <c r="GI75" s="6" t="n">
        <v>10000</v>
      </c>
      <c r="GJ75" s="6" t="n">
        <v>10000</v>
      </c>
      <c r="GK75" s="6" t="n">
        <v>10000</v>
      </c>
      <c r="GL75" s="6" t="n">
        <v>10000</v>
      </c>
    </row>
    <row r="76">
      <c r="A76" s="6" t="inlineStr">
        <is>
          <t>RTM</t>
        </is>
      </c>
      <c r="B76" s="6" t="n">
        <v>13</v>
      </c>
      <c r="C76" s="6" t="n">
        <v>10000</v>
      </c>
      <c r="D76" s="6" t="n">
        <v>10000</v>
      </c>
      <c r="E76" s="6" t="n">
        <v>10000</v>
      </c>
      <c r="F76" s="6" t="n">
        <v>10000</v>
      </c>
      <c r="G76" s="6" t="n">
        <v>10000</v>
      </c>
      <c r="H76" s="6" t="n">
        <v>10000</v>
      </c>
      <c r="I76" s="6" t="n">
        <v>10000</v>
      </c>
      <c r="J76" s="6" t="n">
        <v>10000</v>
      </c>
      <c r="K76" s="6" t="n">
        <v>10000</v>
      </c>
      <c r="L76" s="6" t="n">
        <v>10000</v>
      </c>
      <c r="M76" s="6" t="n">
        <v>10000</v>
      </c>
      <c r="N76" s="6" t="n">
        <v>10000</v>
      </c>
      <c r="O76" s="6" t="n">
        <v>10000</v>
      </c>
      <c r="P76" s="6" t="n">
        <v>10000</v>
      </c>
      <c r="Q76" s="6" t="n">
        <v>10000</v>
      </c>
      <c r="R76" s="6" t="n">
        <v>10000</v>
      </c>
      <c r="S76" s="6" t="n">
        <v>10000</v>
      </c>
      <c r="T76" s="6" t="n">
        <v>10000</v>
      </c>
      <c r="U76" s="6" t="n">
        <v>10000</v>
      </c>
      <c r="V76" s="6" t="n">
        <v>10000</v>
      </c>
      <c r="W76" s="6" t="n">
        <v>10000</v>
      </c>
      <c r="X76" s="6" t="n">
        <v>10000</v>
      </c>
      <c r="Y76" s="6" t="n">
        <v>10000</v>
      </c>
      <c r="Z76" s="6" t="n">
        <v>10000</v>
      </c>
      <c r="AA76" s="6" t="n">
        <v>10000</v>
      </c>
      <c r="AB76" s="6" t="n">
        <v>10000</v>
      </c>
      <c r="AC76" s="6" t="n">
        <v>10000</v>
      </c>
      <c r="AD76" s="6" t="n">
        <v>10000</v>
      </c>
      <c r="AE76" s="6" t="n">
        <v>10000</v>
      </c>
      <c r="AF76" s="6" t="n">
        <v>10000</v>
      </c>
      <c r="AG76" s="6" t="n">
        <v>10000</v>
      </c>
      <c r="AH76" s="6" t="n">
        <v>10000</v>
      </c>
      <c r="AI76" s="6" t="n">
        <v>10000</v>
      </c>
      <c r="AJ76" s="6" t="n">
        <v>6600</v>
      </c>
      <c r="AK76" s="6" t="n">
        <v>2766</v>
      </c>
      <c r="AL76" s="6" t="n">
        <v>2810</v>
      </c>
      <c r="AM76" s="6" t="n">
        <v>2169</v>
      </c>
      <c r="AN76" s="6" t="n">
        <v>900</v>
      </c>
      <c r="AO76" s="6" t="n">
        <v>2766</v>
      </c>
      <c r="AP76" s="6" t="n">
        <v>2765</v>
      </c>
      <c r="AQ76" s="6" t="n">
        <v>2765</v>
      </c>
      <c r="AR76" s="6" t="n">
        <v>2745</v>
      </c>
      <c r="AS76" s="6" t="n">
        <v>2513</v>
      </c>
      <c r="AT76" s="6" t="n">
        <v>2050</v>
      </c>
      <c r="AU76" s="6" t="n">
        <v>2071</v>
      </c>
      <c r="AV76" s="6" t="n">
        <v>2050</v>
      </c>
      <c r="AW76" s="6" t="n">
        <v>2351</v>
      </c>
      <c r="AX76" s="6" t="n">
        <v>2171</v>
      </c>
      <c r="AY76" s="6" t="n">
        <v>2068</v>
      </c>
      <c r="AZ76" s="6" t="n">
        <v>2138</v>
      </c>
      <c r="BA76" s="6" t="n">
        <v>2301</v>
      </c>
      <c r="BB76" s="6" t="n">
        <v>2409</v>
      </c>
      <c r="BC76" s="6" t="n">
        <v>2049</v>
      </c>
      <c r="BD76" s="6" t="n">
        <v>2049</v>
      </c>
      <c r="BE76" s="6" t="n">
        <v>2610</v>
      </c>
      <c r="BF76" s="6" t="n">
        <v>2670</v>
      </c>
      <c r="BG76" s="6" t="n">
        <v>2612</v>
      </c>
      <c r="BH76" s="6" t="n">
        <v>2681</v>
      </c>
      <c r="BI76" s="6" t="n">
        <v>2898</v>
      </c>
      <c r="BJ76" s="6" t="n">
        <v>2765</v>
      </c>
      <c r="BK76" s="6" t="n">
        <v>2430</v>
      </c>
      <c r="BL76" s="6" t="n">
        <v>2566</v>
      </c>
      <c r="BM76" s="6" t="n">
        <v>2766</v>
      </c>
      <c r="BN76" s="6" t="n">
        <v>3200</v>
      </c>
      <c r="BO76" s="6" t="n">
        <v>3190</v>
      </c>
      <c r="BP76" s="6" t="n">
        <v>3582</v>
      </c>
      <c r="BQ76" s="6" t="n">
        <v>3839</v>
      </c>
      <c r="BR76" s="6" t="n">
        <v>4184</v>
      </c>
      <c r="BS76" s="6" t="n">
        <v>7391</v>
      </c>
      <c r="BT76" s="6" t="n">
        <v>9999</v>
      </c>
      <c r="BU76" s="6" t="n">
        <v>10000</v>
      </c>
      <c r="BV76" s="6" t="n">
        <v>10000</v>
      </c>
      <c r="BW76" s="6" t="n">
        <v>10000</v>
      </c>
      <c r="BX76" s="6" t="n">
        <v>10000</v>
      </c>
      <c r="BY76" s="6" t="n">
        <v>10000</v>
      </c>
      <c r="BZ76" s="6" t="n">
        <v>10000</v>
      </c>
      <c r="CA76" s="6" t="n">
        <v>10000</v>
      </c>
      <c r="CB76" s="6" t="n">
        <v>10000</v>
      </c>
      <c r="CC76" s="6" t="n">
        <v>10000</v>
      </c>
      <c r="CD76" s="6" t="n">
        <v>10000</v>
      </c>
      <c r="CE76" s="6" t="n">
        <v>10000</v>
      </c>
      <c r="CF76" s="6" t="n">
        <v>10000</v>
      </c>
      <c r="CG76" s="6" t="n">
        <v>10000</v>
      </c>
      <c r="CH76" s="6" t="n">
        <v>10000</v>
      </c>
      <c r="CI76" s="6" t="n">
        <v>10000</v>
      </c>
      <c r="CJ76" s="6" t="n">
        <v>10000</v>
      </c>
      <c r="CK76" s="6" t="n">
        <v>10000</v>
      </c>
      <c r="CL76" s="6" t="n">
        <v>10000</v>
      </c>
      <c r="CM76" s="6" t="n">
        <v>10000</v>
      </c>
      <c r="CN76" s="6" t="n">
        <v>10000</v>
      </c>
      <c r="CO76" s="6" t="n">
        <v>10000</v>
      </c>
      <c r="CP76" s="6" t="n">
        <v>10000</v>
      </c>
      <c r="CQ76" s="6" t="n">
        <v>10000</v>
      </c>
      <c r="CR76" s="6" t="n">
        <v>10000</v>
      </c>
      <c r="CS76" s="6" t="n">
        <v>10000</v>
      </c>
      <c r="CT76" s="6" t="n">
        <v>10000</v>
      </c>
      <c r="CU76" s="6" t="n">
        <v>10000</v>
      </c>
      <c r="CV76" s="6" t="n">
        <v>10000</v>
      </c>
      <c r="CW76" s="6" t="n">
        <v>10000</v>
      </c>
      <c r="CX76" s="6" t="n">
        <v>10000</v>
      </c>
      <c r="CY76" s="6" t="n">
        <v>10000</v>
      </c>
      <c r="CZ76" s="6" t="n">
        <v>10000</v>
      </c>
      <c r="DA76" s="6" t="n">
        <v>10000</v>
      </c>
      <c r="DB76" s="6" t="n">
        <v>10000</v>
      </c>
      <c r="DC76" s="6" t="n">
        <v>10000</v>
      </c>
      <c r="DD76" s="6" t="n">
        <v>10000</v>
      </c>
      <c r="DE76" s="6" t="n">
        <v>10000</v>
      </c>
      <c r="DF76" s="6" t="n">
        <v>10000</v>
      </c>
      <c r="DG76" s="6" t="n">
        <v>10000</v>
      </c>
      <c r="DH76" s="6" t="n">
        <v>10000</v>
      </c>
      <c r="DI76" s="6" t="n">
        <v>10000</v>
      </c>
      <c r="DJ76" s="6" t="n">
        <v>10000</v>
      </c>
      <c r="DK76" s="6" t="n">
        <v>10000</v>
      </c>
      <c r="DL76" s="6" t="n">
        <v>10000</v>
      </c>
      <c r="DM76" s="6" t="n">
        <v>10000</v>
      </c>
      <c r="DN76" s="6" t="n">
        <v>10000</v>
      </c>
      <c r="DO76" s="6" t="n">
        <v>10000</v>
      </c>
      <c r="DP76" s="6" t="n">
        <v>10000</v>
      </c>
      <c r="DQ76" s="6" t="n">
        <v>10000</v>
      </c>
      <c r="DR76" s="6" t="n">
        <v>10000</v>
      </c>
      <c r="DS76" s="6" t="n">
        <v>10000</v>
      </c>
      <c r="DT76" s="6" t="n">
        <v>10000</v>
      </c>
      <c r="DU76" s="6" t="n">
        <v>10000</v>
      </c>
      <c r="DV76" s="6" t="n">
        <v>10000</v>
      </c>
      <c r="DW76" s="6" t="n">
        <v>10000</v>
      </c>
      <c r="DX76" s="6" t="n">
        <v>10000</v>
      </c>
      <c r="DY76" s="6" t="n">
        <v>10000</v>
      </c>
      <c r="DZ76" s="6" t="n">
        <v>10000</v>
      </c>
      <c r="EA76" s="6" t="n">
        <v>10000</v>
      </c>
      <c r="EB76" s="6" t="n">
        <v>6600</v>
      </c>
      <c r="EC76" s="6" t="n">
        <v>2766</v>
      </c>
      <c r="ED76" s="6" t="n">
        <v>2810</v>
      </c>
      <c r="EE76" s="6" t="n">
        <v>2169</v>
      </c>
      <c r="EF76" s="6" t="n">
        <v>900</v>
      </c>
      <c r="EG76" s="6" t="n">
        <v>2766</v>
      </c>
      <c r="EH76" s="6" t="n">
        <v>2765</v>
      </c>
      <c r="EI76" s="6" t="n">
        <v>2765</v>
      </c>
      <c r="EJ76" s="6" t="n">
        <v>2745</v>
      </c>
      <c r="EK76" s="6" t="n">
        <v>2513</v>
      </c>
      <c r="EL76" s="6" t="n">
        <v>2050</v>
      </c>
      <c r="EM76" s="6" t="n">
        <v>2071</v>
      </c>
      <c r="EN76" s="6" t="n">
        <v>2050</v>
      </c>
      <c r="EO76" s="6" t="n">
        <v>2351</v>
      </c>
      <c r="EP76" s="6" t="n">
        <v>2171</v>
      </c>
      <c r="EQ76" s="6" t="n">
        <v>2068</v>
      </c>
      <c r="ER76" s="6" t="n">
        <v>2138</v>
      </c>
      <c r="ES76" s="6" t="n">
        <v>2301</v>
      </c>
      <c r="ET76" s="6" t="n">
        <v>2409</v>
      </c>
      <c r="EU76" s="6" t="n">
        <v>2049</v>
      </c>
      <c r="EV76" s="6" t="n">
        <v>2049</v>
      </c>
      <c r="EW76" s="6" t="n">
        <v>2610</v>
      </c>
      <c r="EX76" s="6" t="n">
        <v>2670</v>
      </c>
      <c r="EY76" s="6" t="n">
        <v>2612</v>
      </c>
      <c r="EZ76" s="6" t="n">
        <v>2681</v>
      </c>
      <c r="FA76" s="6" t="n">
        <v>2898</v>
      </c>
      <c r="FB76" s="6" t="n">
        <v>2765</v>
      </c>
      <c r="FC76" s="6" t="n">
        <v>2430</v>
      </c>
      <c r="FD76" s="6" t="n">
        <v>2566</v>
      </c>
      <c r="FE76" s="6" t="n">
        <v>2766</v>
      </c>
      <c r="FF76" s="6" t="n">
        <v>3200</v>
      </c>
      <c r="FG76" s="6" t="n">
        <v>3190</v>
      </c>
      <c r="FH76" s="6" t="n">
        <v>3582</v>
      </c>
      <c r="FI76" s="6" t="n">
        <v>3839</v>
      </c>
      <c r="FJ76" s="6" t="n">
        <v>4184</v>
      </c>
      <c r="FK76" s="6" t="n">
        <v>7391</v>
      </c>
      <c r="FL76" s="6" t="n">
        <v>9999</v>
      </c>
      <c r="FM76" s="6" t="n">
        <v>10000</v>
      </c>
      <c r="FN76" s="6" t="n">
        <v>10000</v>
      </c>
      <c r="FO76" s="6" t="n">
        <v>10000</v>
      </c>
      <c r="FP76" s="6" t="n">
        <v>10000</v>
      </c>
      <c r="FQ76" s="6" t="n">
        <v>10000</v>
      </c>
      <c r="FR76" s="6" t="n">
        <v>10000</v>
      </c>
      <c r="FS76" s="6" t="n">
        <v>10000</v>
      </c>
      <c r="FT76" s="6" t="n">
        <v>10000</v>
      </c>
      <c r="FU76" s="6" t="n">
        <v>10000</v>
      </c>
      <c r="FV76" s="6" t="n">
        <v>10000</v>
      </c>
      <c r="FW76" s="6" t="n">
        <v>10000</v>
      </c>
      <c r="FX76" s="6" t="n">
        <v>10000</v>
      </c>
      <c r="FY76" s="6" t="n">
        <v>10000</v>
      </c>
      <c r="FZ76" s="6" t="n">
        <v>10000</v>
      </c>
      <c r="GA76" s="6" t="n">
        <v>10000</v>
      </c>
      <c r="GB76" s="6" t="n">
        <v>10000</v>
      </c>
      <c r="GC76" s="6" t="n">
        <v>10000</v>
      </c>
      <c r="GD76" s="6" t="n">
        <v>10000</v>
      </c>
      <c r="GE76" s="6" t="n">
        <v>10000</v>
      </c>
      <c r="GF76" s="6" t="n">
        <v>10000</v>
      </c>
      <c r="GG76" s="6" t="n">
        <v>10000</v>
      </c>
      <c r="GH76" s="6" t="n">
        <v>10000</v>
      </c>
      <c r="GI76" s="6" t="n">
        <v>10000</v>
      </c>
      <c r="GJ76" s="6" t="n">
        <v>10000</v>
      </c>
      <c r="GK76" s="6" t="n">
        <v>10000</v>
      </c>
      <c r="GL76" s="6" t="n">
        <v>10000</v>
      </c>
    </row>
    <row r="77">
      <c r="A77" s="6" t="inlineStr">
        <is>
          <t>RTM</t>
        </is>
      </c>
      <c r="B77" s="6" t="n">
        <v>14</v>
      </c>
      <c r="C77" s="6" t="n">
        <v>10000</v>
      </c>
      <c r="D77" s="6" t="n">
        <v>10000</v>
      </c>
      <c r="E77" s="6" t="n">
        <v>10000</v>
      </c>
      <c r="F77" s="6" t="n">
        <v>10000</v>
      </c>
      <c r="G77" s="6" t="n">
        <v>10000</v>
      </c>
      <c r="H77" s="6" t="n">
        <v>10000</v>
      </c>
      <c r="I77" s="6" t="n">
        <v>10000</v>
      </c>
      <c r="J77" s="6" t="n">
        <v>10000</v>
      </c>
      <c r="K77" s="6" t="n">
        <v>10000</v>
      </c>
      <c r="L77" s="6" t="n">
        <v>10000</v>
      </c>
      <c r="M77" s="6" t="n">
        <v>10000</v>
      </c>
      <c r="N77" s="6" t="n">
        <v>10000</v>
      </c>
      <c r="O77" s="6" t="n">
        <v>10000</v>
      </c>
      <c r="P77" s="6" t="n">
        <v>10000</v>
      </c>
      <c r="Q77" s="6" t="n">
        <v>10000</v>
      </c>
      <c r="R77" s="6" t="n">
        <v>10000</v>
      </c>
      <c r="S77" s="6" t="n">
        <v>10000</v>
      </c>
      <c r="T77" s="6" t="n">
        <v>10000</v>
      </c>
      <c r="U77" s="6" t="n">
        <v>10000</v>
      </c>
      <c r="V77" s="6" t="n">
        <v>10000</v>
      </c>
      <c r="W77" s="6" t="n">
        <v>10000</v>
      </c>
      <c r="X77" s="6" t="n">
        <v>10000</v>
      </c>
      <c r="Y77" s="6" t="n">
        <v>10000</v>
      </c>
      <c r="Z77" s="6" t="n">
        <v>10000</v>
      </c>
      <c r="AA77" s="6" t="n">
        <v>10000</v>
      </c>
      <c r="AB77" s="6" t="n">
        <v>10000</v>
      </c>
      <c r="AC77" s="6" t="n">
        <v>10000</v>
      </c>
      <c r="AD77" s="6" t="n">
        <v>10000</v>
      </c>
      <c r="AE77" s="6" t="n">
        <v>10000</v>
      </c>
      <c r="AF77" s="6" t="n">
        <v>10000</v>
      </c>
      <c r="AG77" s="6" t="n">
        <v>10000</v>
      </c>
      <c r="AH77" s="6" t="n">
        <v>10000</v>
      </c>
      <c r="AI77" s="6" t="n">
        <v>10000</v>
      </c>
      <c r="AJ77" s="6" t="n">
        <v>10000</v>
      </c>
      <c r="AK77" s="6" t="n">
        <v>3630</v>
      </c>
      <c r="AL77" s="6" t="n">
        <v>2800</v>
      </c>
      <c r="AM77" s="6" t="n">
        <v>3648</v>
      </c>
      <c r="AN77" s="6" t="n">
        <v>3710</v>
      </c>
      <c r="AO77" s="6" t="n">
        <v>3967</v>
      </c>
      <c r="AP77" s="6" t="n">
        <v>3648</v>
      </c>
      <c r="AQ77" s="6" t="n">
        <v>3551</v>
      </c>
      <c r="AR77" s="6" t="n">
        <v>3501</v>
      </c>
      <c r="AS77" s="6" t="n">
        <v>2712</v>
      </c>
      <c r="AT77" s="6" t="n">
        <v>2669</v>
      </c>
      <c r="AU77" s="6" t="n">
        <v>2400</v>
      </c>
      <c r="AV77" s="6" t="n">
        <v>2669</v>
      </c>
      <c r="AW77" s="6" t="n">
        <v>2746</v>
      </c>
      <c r="AX77" s="6" t="n">
        <v>2745</v>
      </c>
      <c r="AY77" s="6" t="n">
        <v>3000</v>
      </c>
      <c r="AZ77" s="6" t="n">
        <v>2999</v>
      </c>
      <c r="BA77" s="6" t="n">
        <v>3000</v>
      </c>
      <c r="BB77" s="6" t="n">
        <v>3000</v>
      </c>
      <c r="BC77" s="6" t="n">
        <v>2611</v>
      </c>
      <c r="BD77" s="6" t="n">
        <v>2738</v>
      </c>
      <c r="BE77" s="6" t="n">
        <v>3200</v>
      </c>
      <c r="BF77" s="6" t="n">
        <v>3401</v>
      </c>
      <c r="BG77" s="6" t="n">
        <v>3450</v>
      </c>
      <c r="BH77" s="6" t="n">
        <v>3500</v>
      </c>
      <c r="BI77" s="6" t="n">
        <v>3510</v>
      </c>
      <c r="BJ77" s="6" t="n">
        <v>3648</v>
      </c>
      <c r="BK77" s="6" t="n">
        <v>3500</v>
      </c>
      <c r="BL77" s="6" t="n">
        <v>3500</v>
      </c>
      <c r="BM77" s="6" t="n">
        <v>3799</v>
      </c>
      <c r="BN77" s="6" t="n">
        <v>4679</v>
      </c>
      <c r="BO77" s="6" t="n">
        <v>8000</v>
      </c>
      <c r="BP77" s="6" t="n">
        <v>10000</v>
      </c>
      <c r="BQ77" s="6" t="n">
        <v>10000</v>
      </c>
      <c r="BR77" s="6" t="n">
        <v>10000</v>
      </c>
      <c r="BS77" s="6" t="n">
        <v>10000</v>
      </c>
      <c r="BT77" s="6" t="n">
        <v>10000</v>
      </c>
      <c r="BU77" s="6" t="n">
        <v>10000</v>
      </c>
      <c r="BV77" s="6" t="n">
        <v>10000</v>
      </c>
      <c r="BW77" s="6" t="n">
        <v>10000</v>
      </c>
      <c r="BX77" s="6" t="n">
        <v>10000</v>
      </c>
      <c r="BY77" s="6" t="n">
        <v>10000</v>
      </c>
      <c r="BZ77" s="6" t="n">
        <v>10000</v>
      </c>
      <c r="CA77" s="6" t="n">
        <v>10000</v>
      </c>
      <c r="CB77" s="6" t="n">
        <v>10000</v>
      </c>
      <c r="CC77" s="6" t="n">
        <v>10000</v>
      </c>
      <c r="CD77" s="6" t="n">
        <v>10000</v>
      </c>
      <c r="CE77" s="6" t="n">
        <v>10000</v>
      </c>
      <c r="CF77" s="6" t="n">
        <v>10000</v>
      </c>
      <c r="CG77" s="6" t="n">
        <v>10000</v>
      </c>
      <c r="CH77" s="6" t="n">
        <v>10000</v>
      </c>
      <c r="CI77" s="6" t="n">
        <v>10000</v>
      </c>
      <c r="CJ77" s="6" t="n">
        <v>10000</v>
      </c>
      <c r="CK77" s="6" t="n">
        <v>10000</v>
      </c>
      <c r="CL77" s="6" t="n">
        <v>10000</v>
      </c>
      <c r="CM77" s="6" t="n">
        <v>10000</v>
      </c>
      <c r="CN77" s="6" t="n">
        <v>10000</v>
      </c>
      <c r="CO77" s="6" t="n">
        <v>10000</v>
      </c>
      <c r="CP77" s="6" t="n">
        <v>10000</v>
      </c>
      <c r="CQ77" s="6" t="n">
        <v>10000</v>
      </c>
      <c r="CR77" s="6" t="n">
        <v>10000</v>
      </c>
      <c r="CS77" s="6" t="n">
        <v>10000</v>
      </c>
      <c r="CT77" s="6" t="n">
        <v>10000</v>
      </c>
      <c r="CU77" s="6" t="n">
        <v>10000</v>
      </c>
      <c r="CV77" s="6" t="n">
        <v>10000</v>
      </c>
      <c r="CW77" s="6" t="n">
        <v>10000</v>
      </c>
      <c r="CX77" s="6" t="n">
        <v>10000</v>
      </c>
      <c r="CY77" s="6" t="n">
        <v>10000</v>
      </c>
      <c r="CZ77" s="6" t="n">
        <v>10000</v>
      </c>
      <c r="DA77" s="6" t="n">
        <v>10000</v>
      </c>
      <c r="DB77" s="6" t="n">
        <v>10000</v>
      </c>
      <c r="DC77" s="6" t="n">
        <v>10000</v>
      </c>
      <c r="DD77" s="6" t="n">
        <v>10000</v>
      </c>
      <c r="DE77" s="6" t="n">
        <v>10000</v>
      </c>
      <c r="DF77" s="6" t="n">
        <v>10000</v>
      </c>
      <c r="DG77" s="6" t="n">
        <v>10000</v>
      </c>
      <c r="DH77" s="6" t="n">
        <v>10000</v>
      </c>
      <c r="DI77" s="6" t="n">
        <v>10000</v>
      </c>
      <c r="DJ77" s="6" t="n">
        <v>10000</v>
      </c>
      <c r="DK77" s="6" t="n">
        <v>10000</v>
      </c>
      <c r="DL77" s="6" t="n">
        <v>10000</v>
      </c>
      <c r="DM77" s="6" t="n">
        <v>10000</v>
      </c>
      <c r="DN77" s="6" t="n">
        <v>10000</v>
      </c>
      <c r="DO77" s="6" t="n">
        <v>10000</v>
      </c>
      <c r="DP77" s="6" t="n">
        <v>10000</v>
      </c>
      <c r="DQ77" s="6" t="n">
        <v>10000</v>
      </c>
      <c r="DR77" s="6" t="n">
        <v>10000</v>
      </c>
      <c r="DS77" s="6" t="n">
        <v>10000</v>
      </c>
      <c r="DT77" s="6" t="n">
        <v>10000</v>
      </c>
      <c r="DU77" s="6" t="n">
        <v>10000</v>
      </c>
      <c r="DV77" s="6" t="n">
        <v>10000</v>
      </c>
      <c r="DW77" s="6" t="n">
        <v>10000</v>
      </c>
      <c r="DX77" s="6" t="n">
        <v>10000</v>
      </c>
      <c r="DY77" s="6" t="n">
        <v>10000</v>
      </c>
      <c r="DZ77" s="6" t="n">
        <v>10000</v>
      </c>
      <c r="EA77" s="6" t="n">
        <v>10000</v>
      </c>
      <c r="EB77" s="6" t="n">
        <v>10000</v>
      </c>
      <c r="EC77" s="6" t="n">
        <v>3630</v>
      </c>
      <c r="ED77" s="6" t="n">
        <v>2800</v>
      </c>
      <c r="EE77" s="6" t="n">
        <v>3648</v>
      </c>
      <c r="EF77" s="6" t="n">
        <v>3710</v>
      </c>
      <c r="EG77" s="6" t="n">
        <v>3967</v>
      </c>
      <c r="EH77" s="6" t="n">
        <v>3648</v>
      </c>
      <c r="EI77" s="6" t="n">
        <v>3551</v>
      </c>
      <c r="EJ77" s="6" t="n">
        <v>3501</v>
      </c>
      <c r="EK77" s="6" t="n">
        <v>2712</v>
      </c>
      <c r="EL77" s="6" t="n">
        <v>2669</v>
      </c>
      <c r="EM77" s="6" t="n">
        <v>2400</v>
      </c>
      <c r="EN77" s="6" t="n">
        <v>2669</v>
      </c>
      <c r="EO77" s="6" t="n">
        <v>2746</v>
      </c>
      <c r="EP77" s="6" t="n">
        <v>2745</v>
      </c>
      <c r="EQ77" s="6" t="n">
        <v>3000</v>
      </c>
      <c r="ER77" s="6" t="n">
        <v>2999</v>
      </c>
      <c r="ES77" s="6" t="n">
        <v>3000</v>
      </c>
      <c r="ET77" s="6" t="n">
        <v>3000</v>
      </c>
      <c r="EU77" s="6" t="n">
        <v>2611</v>
      </c>
      <c r="EV77" s="6" t="n">
        <v>2738</v>
      </c>
      <c r="EW77" s="6" t="n">
        <v>3200</v>
      </c>
      <c r="EX77" s="6" t="n">
        <v>3401</v>
      </c>
      <c r="EY77" s="6" t="n">
        <v>3450</v>
      </c>
      <c r="EZ77" s="6" t="n">
        <v>3500</v>
      </c>
      <c r="FA77" s="6" t="n">
        <v>3510</v>
      </c>
      <c r="FB77" s="6" t="n">
        <v>3648</v>
      </c>
      <c r="FC77" s="6" t="n">
        <v>3500</v>
      </c>
      <c r="FD77" s="6" t="n">
        <v>3500</v>
      </c>
      <c r="FE77" s="6" t="n">
        <v>3799</v>
      </c>
      <c r="FF77" s="6" t="n">
        <v>4679</v>
      </c>
      <c r="FG77" s="6" t="n">
        <v>8000</v>
      </c>
      <c r="FH77" s="6" t="n">
        <v>10000</v>
      </c>
      <c r="FI77" s="6" t="n">
        <v>10000</v>
      </c>
      <c r="FJ77" s="6" t="n">
        <v>10000</v>
      </c>
      <c r="FK77" s="6" t="n">
        <v>10000</v>
      </c>
      <c r="FL77" s="6" t="n">
        <v>10000</v>
      </c>
      <c r="FM77" s="6" t="n">
        <v>10000</v>
      </c>
      <c r="FN77" s="6" t="n">
        <v>10000</v>
      </c>
      <c r="FO77" s="6" t="n">
        <v>10000</v>
      </c>
      <c r="FP77" s="6" t="n">
        <v>10000</v>
      </c>
      <c r="FQ77" s="6" t="n">
        <v>10000</v>
      </c>
      <c r="FR77" s="6" t="n">
        <v>10000</v>
      </c>
      <c r="FS77" s="6" t="n">
        <v>10000</v>
      </c>
      <c r="FT77" s="6" t="n">
        <v>10000</v>
      </c>
      <c r="FU77" s="6" t="n">
        <v>10000</v>
      </c>
      <c r="FV77" s="6" t="n">
        <v>10000</v>
      </c>
      <c r="FW77" s="6" t="n">
        <v>10000</v>
      </c>
      <c r="FX77" s="6" t="n">
        <v>10000</v>
      </c>
      <c r="FY77" s="6" t="n">
        <v>10000</v>
      </c>
      <c r="FZ77" s="6" t="n">
        <v>10000</v>
      </c>
      <c r="GA77" s="6" t="n">
        <v>10000</v>
      </c>
      <c r="GB77" s="6" t="n">
        <v>10000</v>
      </c>
      <c r="GC77" s="6" t="n">
        <v>10000</v>
      </c>
      <c r="GD77" s="6" t="n">
        <v>10000</v>
      </c>
      <c r="GE77" s="6" t="n">
        <v>10000</v>
      </c>
      <c r="GF77" s="6" t="n">
        <v>10000</v>
      </c>
      <c r="GG77" s="6" t="n">
        <v>10000</v>
      </c>
      <c r="GH77" s="6" t="n">
        <v>10000</v>
      </c>
      <c r="GI77" s="6" t="n">
        <v>10000</v>
      </c>
      <c r="GJ77" s="6" t="n">
        <v>10000</v>
      </c>
      <c r="GK77" s="6" t="n">
        <v>10000</v>
      </c>
      <c r="GL77" s="6" t="n">
        <v>10000</v>
      </c>
    </row>
    <row r="78">
      <c r="A78" s="6" t="inlineStr">
        <is>
          <t>RTM</t>
        </is>
      </c>
      <c r="B78" s="6" t="n">
        <v>15</v>
      </c>
      <c r="C78" s="6" t="n">
        <v>10000</v>
      </c>
      <c r="D78" s="6" t="n">
        <v>10000</v>
      </c>
      <c r="E78" s="6" t="n">
        <v>10000</v>
      </c>
      <c r="F78" s="6" t="n">
        <v>10000</v>
      </c>
      <c r="G78" s="6" t="n">
        <v>10000</v>
      </c>
      <c r="H78" s="6" t="n">
        <v>10000</v>
      </c>
      <c r="I78" s="6" t="n">
        <v>10000</v>
      </c>
      <c r="J78" s="6" t="n">
        <v>10000</v>
      </c>
      <c r="K78" s="6" t="n">
        <v>10000</v>
      </c>
      <c r="L78" s="6" t="n">
        <v>10000</v>
      </c>
      <c r="M78" s="6" t="n">
        <v>10000</v>
      </c>
      <c r="N78" s="6" t="n">
        <v>10000</v>
      </c>
      <c r="O78" s="6" t="n">
        <v>10000</v>
      </c>
      <c r="P78" s="6" t="n">
        <v>10000</v>
      </c>
      <c r="Q78" s="6" t="n">
        <v>10000</v>
      </c>
      <c r="R78" s="6" t="n">
        <v>10000</v>
      </c>
      <c r="S78" s="6" t="n">
        <v>10000</v>
      </c>
      <c r="T78" s="6" t="n">
        <v>10000</v>
      </c>
      <c r="U78" s="6" t="n">
        <v>10000</v>
      </c>
      <c r="V78" s="6" t="n">
        <v>10000</v>
      </c>
      <c r="W78" s="6" t="n">
        <v>10000</v>
      </c>
      <c r="X78" s="6" t="n">
        <v>10000</v>
      </c>
      <c r="Y78" s="6" t="n">
        <v>10000</v>
      </c>
      <c r="Z78" s="6" t="n">
        <v>10000</v>
      </c>
      <c r="AA78" s="6" t="n">
        <v>10000</v>
      </c>
      <c r="AB78" s="6" t="n">
        <v>10000</v>
      </c>
      <c r="AC78" s="6" t="n">
        <v>10000</v>
      </c>
      <c r="AD78" s="6" t="n">
        <v>10000</v>
      </c>
      <c r="AE78" s="6" t="n">
        <v>10000</v>
      </c>
      <c r="AF78" s="6" t="n">
        <v>10000</v>
      </c>
      <c r="AG78" s="6" t="n">
        <v>10000</v>
      </c>
      <c r="AH78" s="6" t="n">
        <v>10000</v>
      </c>
      <c r="AI78" s="6" t="n">
        <v>10000</v>
      </c>
      <c r="AJ78" s="6" t="n">
        <v>10000</v>
      </c>
      <c r="AK78" s="6" t="n">
        <v>7391</v>
      </c>
      <c r="AL78" s="6" t="n">
        <v>5882</v>
      </c>
      <c r="AM78" s="6" t="n">
        <v>5490</v>
      </c>
      <c r="AN78" s="6" t="n">
        <v>4299</v>
      </c>
      <c r="AO78" s="6" t="n">
        <v>4700</v>
      </c>
      <c r="AP78" s="6" t="n">
        <v>4010</v>
      </c>
      <c r="AQ78" s="6" t="n">
        <v>3311</v>
      </c>
      <c r="AR78" s="6" t="n">
        <v>3311</v>
      </c>
      <c r="AS78" s="6" t="n">
        <v>2999</v>
      </c>
      <c r="AT78" s="6" t="n">
        <v>3000</v>
      </c>
      <c r="AU78" s="6" t="n">
        <v>2999</v>
      </c>
      <c r="AV78" s="6" t="n">
        <v>2999</v>
      </c>
      <c r="AW78" s="6" t="n">
        <v>3207</v>
      </c>
      <c r="AX78" s="6" t="n">
        <v>3407</v>
      </c>
      <c r="AY78" s="6" t="n">
        <v>3403</v>
      </c>
      <c r="AZ78" s="6" t="n">
        <v>3407</v>
      </c>
      <c r="BA78" s="6" t="n">
        <v>3199</v>
      </c>
      <c r="BB78" s="6" t="n">
        <v>2900</v>
      </c>
      <c r="BC78" s="6" t="n">
        <v>2899</v>
      </c>
      <c r="BD78" s="6" t="n">
        <v>2959</v>
      </c>
      <c r="BE78" s="6" t="n">
        <v>3200</v>
      </c>
      <c r="BF78" s="6" t="n">
        <v>3330</v>
      </c>
      <c r="BG78" s="6" t="n">
        <v>3824</v>
      </c>
      <c r="BH78" s="6" t="n">
        <v>3999</v>
      </c>
      <c r="BI78" s="6" t="n">
        <v>5001</v>
      </c>
      <c r="BJ78" s="6" t="n">
        <v>5201</v>
      </c>
      <c r="BK78" s="6" t="n">
        <v>10000</v>
      </c>
      <c r="BL78" s="6" t="n">
        <v>10000</v>
      </c>
      <c r="BM78" s="6" t="n">
        <v>10000</v>
      </c>
      <c r="BN78" s="6" t="n">
        <v>10000</v>
      </c>
      <c r="BO78" s="6" t="n">
        <v>10000</v>
      </c>
      <c r="BP78" s="6" t="n">
        <v>10000</v>
      </c>
      <c r="BQ78" s="6" t="n">
        <v>10000</v>
      </c>
      <c r="BR78" s="6" t="n">
        <v>10000</v>
      </c>
      <c r="BS78" s="6" t="n">
        <v>10000</v>
      </c>
      <c r="BT78" s="6" t="n">
        <v>10000</v>
      </c>
      <c r="BU78" s="6" t="n">
        <v>10000</v>
      </c>
      <c r="BV78" s="6" t="n">
        <v>10000</v>
      </c>
      <c r="BW78" s="6" t="n">
        <v>10000</v>
      </c>
      <c r="BX78" s="6" t="n">
        <v>10000</v>
      </c>
      <c r="BY78" s="6" t="n">
        <v>10000</v>
      </c>
      <c r="BZ78" s="6" t="n">
        <v>10000</v>
      </c>
      <c r="CA78" s="6" t="n">
        <v>10000</v>
      </c>
      <c r="CB78" s="6" t="n">
        <v>10000</v>
      </c>
      <c r="CC78" s="6" t="n">
        <v>10000</v>
      </c>
      <c r="CD78" s="6" t="n">
        <v>10000</v>
      </c>
      <c r="CE78" s="6" t="n">
        <v>10000</v>
      </c>
      <c r="CF78" s="6" t="n">
        <v>10000</v>
      </c>
      <c r="CG78" s="6" t="n">
        <v>10000</v>
      </c>
      <c r="CH78" s="6" t="n">
        <v>10000</v>
      </c>
      <c r="CI78" s="6" t="n">
        <v>10000</v>
      </c>
      <c r="CJ78" s="6" t="n">
        <v>10000</v>
      </c>
      <c r="CK78" s="6" t="n">
        <v>10000</v>
      </c>
      <c r="CL78" s="6" t="n">
        <v>10000</v>
      </c>
      <c r="CM78" s="6" t="n">
        <v>10000</v>
      </c>
      <c r="CN78" s="6" t="n">
        <v>10000</v>
      </c>
      <c r="CO78" s="6" t="n">
        <v>10000</v>
      </c>
      <c r="CP78" s="6" t="n">
        <v>10000</v>
      </c>
      <c r="CQ78" s="6" t="n">
        <v>10000</v>
      </c>
      <c r="CR78" s="6" t="n">
        <v>10000</v>
      </c>
      <c r="CS78" s="6" t="n">
        <v>10000</v>
      </c>
      <c r="CT78" s="6" t="n">
        <v>10000</v>
      </c>
      <c r="CU78" s="6" t="n">
        <v>10000</v>
      </c>
      <c r="CV78" s="6" t="n">
        <v>10000</v>
      </c>
      <c r="CW78" s="6" t="n">
        <v>10000</v>
      </c>
      <c r="CX78" s="6" t="n">
        <v>10000</v>
      </c>
      <c r="CY78" s="6" t="n">
        <v>10000</v>
      </c>
      <c r="CZ78" s="6" t="n">
        <v>10000</v>
      </c>
      <c r="DA78" s="6" t="n">
        <v>10000</v>
      </c>
      <c r="DB78" s="6" t="n">
        <v>10000</v>
      </c>
      <c r="DC78" s="6" t="n">
        <v>10000</v>
      </c>
      <c r="DD78" s="6" t="n">
        <v>10000</v>
      </c>
      <c r="DE78" s="6" t="n">
        <v>10000</v>
      </c>
      <c r="DF78" s="6" t="n">
        <v>10000</v>
      </c>
      <c r="DG78" s="6" t="n">
        <v>10000</v>
      </c>
      <c r="DH78" s="6" t="n">
        <v>10000</v>
      </c>
      <c r="DI78" s="6" t="n">
        <v>10000</v>
      </c>
      <c r="DJ78" s="6" t="n">
        <v>10000</v>
      </c>
      <c r="DK78" s="6" t="n">
        <v>10000</v>
      </c>
      <c r="DL78" s="6" t="n">
        <v>10000</v>
      </c>
      <c r="DM78" s="6" t="n">
        <v>10000</v>
      </c>
      <c r="DN78" s="6" t="n">
        <v>10000</v>
      </c>
      <c r="DO78" s="6" t="n">
        <v>10000</v>
      </c>
      <c r="DP78" s="6" t="n">
        <v>10000</v>
      </c>
      <c r="DQ78" s="6" t="n">
        <v>10000</v>
      </c>
      <c r="DR78" s="6" t="n">
        <v>10000</v>
      </c>
      <c r="DS78" s="6" t="n">
        <v>10000</v>
      </c>
      <c r="DT78" s="6" t="n">
        <v>10000</v>
      </c>
      <c r="DU78" s="6" t="n">
        <v>10000</v>
      </c>
      <c r="DV78" s="6" t="n">
        <v>10000</v>
      </c>
      <c r="DW78" s="6" t="n">
        <v>10000</v>
      </c>
      <c r="DX78" s="6" t="n">
        <v>10000</v>
      </c>
      <c r="DY78" s="6" t="n">
        <v>10000</v>
      </c>
      <c r="DZ78" s="6" t="n">
        <v>10000</v>
      </c>
      <c r="EA78" s="6" t="n">
        <v>10000</v>
      </c>
      <c r="EB78" s="6" t="n">
        <v>10000</v>
      </c>
      <c r="EC78" s="6" t="n">
        <v>7391</v>
      </c>
      <c r="ED78" s="6" t="n">
        <v>5882</v>
      </c>
      <c r="EE78" s="6" t="n">
        <v>5490</v>
      </c>
      <c r="EF78" s="6" t="n">
        <v>4299</v>
      </c>
      <c r="EG78" s="6" t="n">
        <v>4700</v>
      </c>
      <c r="EH78" s="6" t="n">
        <v>4010</v>
      </c>
      <c r="EI78" s="6" t="n">
        <v>3311</v>
      </c>
      <c r="EJ78" s="6" t="n">
        <v>3311</v>
      </c>
      <c r="EK78" s="6" t="n">
        <v>2999</v>
      </c>
      <c r="EL78" s="6" t="n">
        <v>3000</v>
      </c>
      <c r="EM78" s="6" t="n">
        <v>2999</v>
      </c>
      <c r="EN78" s="6" t="n">
        <v>2999</v>
      </c>
      <c r="EO78" s="6" t="n">
        <v>3207</v>
      </c>
      <c r="EP78" s="6" t="n">
        <v>3407</v>
      </c>
      <c r="EQ78" s="6" t="n">
        <v>3403</v>
      </c>
      <c r="ER78" s="6" t="n">
        <v>3407</v>
      </c>
      <c r="ES78" s="6" t="n">
        <v>3199</v>
      </c>
      <c r="ET78" s="6" t="n">
        <v>2900</v>
      </c>
      <c r="EU78" s="6" t="n">
        <v>2899</v>
      </c>
      <c r="EV78" s="6" t="n">
        <v>2959</v>
      </c>
      <c r="EW78" s="6" t="n">
        <v>3200</v>
      </c>
      <c r="EX78" s="6" t="n">
        <v>3330</v>
      </c>
      <c r="EY78" s="6" t="n">
        <v>3824</v>
      </c>
      <c r="EZ78" s="6" t="n">
        <v>3999</v>
      </c>
      <c r="FA78" s="6" t="n">
        <v>5001</v>
      </c>
      <c r="FB78" s="6" t="n">
        <v>5201</v>
      </c>
      <c r="FC78" s="6" t="n">
        <v>10000</v>
      </c>
      <c r="FD78" s="6" t="n">
        <v>10000</v>
      </c>
      <c r="FE78" s="6" t="n">
        <v>10000</v>
      </c>
      <c r="FF78" s="6" t="n">
        <v>10000</v>
      </c>
      <c r="FG78" s="6" t="n">
        <v>10000</v>
      </c>
      <c r="FH78" s="6" t="n">
        <v>10000</v>
      </c>
      <c r="FI78" s="6" t="n">
        <v>10000</v>
      </c>
      <c r="FJ78" s="6" t="n">
        <v>10000</v>
      </c>
      <c r="FK78" s="6" t="n">
        <v>10000</v>
      </c>
      <c r="FL78" s="6" t="n">
        <v>10000</v>
      </c>
      <c r="FM78" s="6" t="n">
        <v>10000</v>
      </c>
      <c r="FN78" s="6" t="n">
        <v>10000</v>
      </c>
      <c r="FO78" s="6" t="n">
        <v>10000</v>
      </c>
      <c r="FP78" s="6" t="n">
        <v>10000</v>
      </c>
      <c r="FQ78" s="6" t="n">
        <v>10000</v>
      </c>
      <c r="FR78" s="6" t="n">
        <v>10000</v>
      </c>
      <c r="FS78" s="6" t="n">
        <v>10000</v>
      </c>
      <c r="FT78" s="6" t="n">
        <v>10000</v>
      </c>
      <c r="FU78" s="6" t="n">
        <v>10000</v>
      </c>
      <c r="FV78" s="6" t="n">
        <v>10000</v>
      </c>
      <c r="FW78" s="6" t="n">
        <v>10000</v>
      </c>
      <c r="FX78" s="6" t="n">
        <v>10000</v>
      </c>
      <c r="FY78" s="6" t="n">
        <v>10000</v>
      </c>
      <c r="FZ78" s="6" t="n">
        <v>10000</v>
      </c>
      <c r="GA78" s="6" t="n">
        <v>10000</v>
      </c>
      <c r="GB78" s="6" t="n">
        <v>10000</v>
      </c>
      <c r="GC78" s="6" t="n">
        <v>10000</v>
      </c>
      <c r="GD78" s="6" t="n">
        <v>10000</v>
      </c>
      <c r="GE78" s="6" t="n">
        <v>10000</v>
      </c>
      <c r="GF78" s="6" t="n">
        <v>10000</v>
      </c>
      <c r="GG78" s="6" t="n">
        <v>10000</v>
      </c>
      <c r="GH78" s="6" t="n">
        <v>10000</v>
      </c>
      <c r="GI78" s="6" t="n">
        <v>10000</v>
      </c>
      <c r="GJ78" s="6" t="n">
        <v>10000</v>
      </c>
      <c r="GK78" s="6" t="n">
        <v>10000</v>
      </c>
      <c r="GL78" s="6" t="n">
        <v>10000</v>
      </c>
    </row>
    <row r="79">
      <c r="A79" s="6" t="inlineStr">
        <is>
          <t>RTM</t>
        </is>
      </c>
      <c r="B79" s="6" t="n">
        <v>16</v>
      </c>
      <c r="C79" s="6" t="n">
        <v>10000</v>
      </c>
      <c r="D79" s="6" t="n">
        <v>10000</v>
      </c>
      <c r="E79" s="6" t="n">
        <v>10000</v>
      </c>
      <c r="F79" s="6" t="n">
        <v>10000</v>
      </c>
      <c r="G79" s="6" t="n">
        <v>10000</v>
      </c>
      <c r="H79" s="6" t="n">
        <v>10000</v>
      </c>
      <c r="I79" s="6" t="n">
        <v>10000</v>
      </c>
      <c r="J79" s="6" t="n">
        <v>10000</v>
      </c>
      <c r="K79" s="6" t="n">
        <v>10000</v>
      </c>
      <c r="L79" s="6" t="n">
        <v>10000</v>
      </c>
      <c r="M79" s="6" t="n">
        <v>10000</v>
      </c>
      <c r="N79" s="6" t="n">
        <v>10000</v>
      </c>
      <c r="O79" s="6" t="n">
        <v>10000</v>
      </c>
      <c r="P79" s="6" t="n">
        <v>10000</v>
      </c>
      <c r="Q79" s="6" t="n">
        <v>10000</v>
      </c>
      <c r="R79" s="6" t="n">
        <v>10000</v>
      </c>
      <c r="S79" s="6" t="n">
        <v>10000</v>
      </c>
      <c r="T79" s="6" t="n">
        <v>10000</v>
      </c>
      <c r="U79" s="6" t="n">
        <v>10000</v>
      </c>
      <c r="V79" s="6" t="n">
        <v>10000</v>
      </c>
      <c r="W79" s="6" t="n">
        <v>10000</v>
      </c>
      <c r="X79" s="6" t="n">
        <v>10000</v>
      </c>
      <c r="Y79" s="6" t="n">
        <v>10000</v>
      </c>
      <c r="Z79" s="6" t="n">
        <v>10000</v>
      </c>
      <c r="AA79" s="6" t="n">
        <v>10000</v>
      </c>
      <c r="AB79" s="6" t="n">
        <v>10000</v>
      </c>
      <c r="AC79" s="6" t="n">
        <v>10000</v>
      </c>
      <c r="AD79" s="6" t="n">
        <v>10000</v>
      </c>
      <c r="AE79" s="6" t="n">
        <v>10000</v>
      </c>
      <c r="AF79" s="6" t="n">
        <v>10000</v>
      </c>
      <c r="AG79" s="6" t="n">
        <v>10000</v>
      </c>
      <c r="AH79" s="6" t="n">
        <v>10000</v>
      </c>
      <c r="AI79" s="6" t="n">
        <v>10000</v>
      </c>
      <c r="AJ79" s="6" t="n">
        <v>10000</v>
      </c>
      <c r="AK79" s="6" t="n">
        <v>10000</v>
      </c>
      <c r="AL79" s="6" t="n">
        <v>9000</v>
      </c>
      <c r="AM79" s="6" t="n">
        <v>4690</v>
      </c>
      <c r="AN79" s="6" t="n">
        <v>4251</v>
      </c>
      <c r="AO79" s="6" t="n">
        <v>3545</v>
      </c>
      <c r="AP79" s="6" t="n">
        <v>3421</v>
      </c>
      <c r="AQ79" s="6" t="n">
        <v>3290</v>
      </c>
      <c r="AR79" s="6" t="n">
        <v>3451</v>
      </c>
      <c r="AS79" s="6" t="n">
        <v>3710</v>
      </c>
      <c r="AT79" s="6" t="n">
        <v>3720</v>
      </c>
      <c r="AU79" s="6" t="n">
        <v>3934</v>
      </c>
      <c r="AV79" s="6" t="n">
        <v>3934</v>
      </c>
      <c r="AW79" s="6" t="n">
        <v>5230</v>
      </c>
      <c r="AX79" s="6" t="n">
        <v>5509</v>
      </c>
      <c r="AY79" s="6" t="n">
        <v>4063</v>
      </c>
      <c r="AZ79" s="6" t="n">
        <v>4000</v>
      </c>
      <c r="BA79" s="6" t="n">
        <v>3934</v>
      </c>
      <c r="BB79" s="6" t="n">
        <v>3909</v>
      </c>
      <c r="BC79" s="6" t="n">
        <v>3901</v>
      </c>
      <c r="BD79" s="6" t="n">
        <v>3967</v>
      </c>
      <c r="BE79" s="6" t="n">
        <v>4063</v>
      </c>
      <c r="BF79" s="6" t="n">
        <v>5229</v>
      </c>
      <c r="BG79" s="6" t="n">
        <v>5570</v>
      </c>
      <c r="BH79" s="6" t="n">
        <v>5883</v>
      </c>
      <c r="BI79" s="6" t="n">
        <v>8001</v>
      </c>
      <c r="BJ79" s="6" t="n">
        <v>10000</v>
      </c>
      <c r="BK79" s="6" t="n">
        <v>10000</v>
      </c>
      <c r="BL79" s="6" t="n">
        <v>10000</v>
      </c>
      <c r="BM79" s="6" t="n">
        <v>10000</v>
      </c>
      <c r="BN79" s="6" t="n">
        <v>10000</v>
      </c>
      <c r="BO79" s="6" t="n">
        <v>10000</v>
      </c>
      <c r="BP79" s="6" t="n">
        <v>10000</v>
      </c>
      <c r="BQ79" s="6" t="n">
        <v>10000</v>
      </c>
      <c r="BR79" s="6" t="n">
        <v>10000</v>
      </c>
      <c r="BS79" s="6" t="n">
        <v>10000</v>
      </c>
      <c r="BT79" s="6" t="n">
        <v>10000</v>
      </c>
      <c r="BU79" s="6" t="n">
        <v>10000</v>
      </c>
      <c r="BV79" s="6" t="n">
        <v>10000</v>
      </c>
      <c r="BW79" s="6" t="n">
        <v>10000</v>
      </c>
      <c r="BX79" s="6" t="n">
        <v>10000</v>
      </c>
      <c r="BY79" s="6" t="n">
        <v>10000</v>
      </c>
      <c r="BZ79" s="6" t="n">
        <v>10000</v>
      </c>
      <c r="CA79" s="6" t="n">
        <v>10000</v>
      </c>
      <c r="CB79" s="6" t="n">
        <v>10000</v>
      </c>
      <c r="CC79" s="6" t="n">
        <v>10000</v>
      </c>
      <c r="CD79" s="6" t="n">
        <v>10000</v>
      </c>
      <c r="CE79" s="6" t="n">
        <v>10000</v>
      </c>
      <c r="CF79" s="6" t="n">
        <v>10000</v>
      </c>
      <c r="CG79" s="6" t="n">
        <v>10000</v>
      </c>
      <c r="CH79" s="6" t="n">
        <v>10000</v>
      </c>
      <c r="CI79" s="6" t="n">
        <v>10000</v>
      </c>
      <c r="CJ79" s="6" t="n">
        <v>10000</v>
      </c>
      <c r="CK79" s="6" t="n">
        <v>10000</v>
      </c>
      <c r="CL79" s="6" t="n">
        <v>10000</v>
      </c>
      <c r="CM79" s="6" t="n">
        <v>10000</v>
      </c>
      <c r="CN79" s="6" t="n">
        <v>10000</v>
      </c>
      <c r="CO79" s="6" t="n">
        <v>10000</v>
      </c>
      <c r="CP79" s="6" t="n">
        <v>10000</v>
      </c>
      <c r="CQ79" s="6" t="n">
        <v>10000</v>
      </c>
      <c r="CR79" s="6" t="n">
        <v>10000</v>
      </c>
      <c r="CS79" s="6" t="n">
        <v>10000</v>
      </c>
      <c r="CT79" s="6" t="n">
        <v>10000</v>
      </c>
      <c r="CU79" s="6" t="n">
        <v>10000</v>
      </c>
      <c r="CV79" s="6" t="n">
        <v>10000</v>
      </c>
      <c r="CW79" s="6" t="n">
        <v>10000</v>
      </c>
      <c r="CX79" s="6" t="n">
        <v>10000</v>
      </c>
      <c r="CY79" s="6" t="n">
        <v>10000</v>
      </c>
      <c r="CZ79" s="6" t="n">
        <v>10000</v>
      </c>
      <c r="DA79" s="6" t="n">
        <v>10000</v>
      </c>
      <c r="DB79" s="6" t="n">
        <v>10000</v>
      </c>
      <c r="DC79" s="6" t="n">
        <v>10000</v>
      </c>
      <c r="DD79" s="6" t="n">
        <v>10000</v>
      </c>
      <c r="DE79" s="6" t="n">
        <v>10000</v>
      </c>
      <c r="DF79" s="6" t="n">
        <v>10000</v>
      </c>
      <c r="DG79" s="6" t="n">
        <v>10000</v>
      </c>
      <c r="DH79" s="6" t="n">
        <v>10000</v>
      </c>
      <c r="DI79" s="6" t="n">
        <v>10000</v>
      </c>
      <c r="DJ79" s="6" t="n">
        <v>10000</v>
      </c>
      <c r="DK79" s="6" t="n">
        <v>10000</v>
      </c>
      <c r="DL79" s="6" t="n">
        <v>10000</v>
      </c>
      <c r="DM79" s="6" t="n">
        <v>10000</v>
      </c>
      <c r="DN79" s="6" t="n">
        <v>10000</v>
      </c>
      <c r="DO79" s="6" t="n">
        <v>10000</v>
      </c>
      <c r="DP79" s="6" t="n">
        <v>10000</v>
      </c>
      <c r="DQ79" s="6" t="n">
        <v>10000</v>
      </c>
      <c r="DR79" s="6" t="n">
        <v>10000</v>
      </c>
      <c r="DS79" s="6" t="n">
        <v>10000</v>
      </c>
      <c r="DT79" s="6" t="n">
        <v>10000</v>
      </c>
      <c r="DU79" s="6" t="n">
        <v>10000</v>
      </c>
      <c r="DV79" s="6" t="n">
        <v>10000</v>
      </c>
      <c r="DW79" s="6" t="n">
        <v>10000</v>
      </c>
      <c r="DX79" s="6" t="n">
        <v>10000</v>
      </c>
      <c r="DY79" s="6" t="n">
        <v>10000</v>
      </c>
      <c r="DZ79" s="6" t="n">
        <v>10000</v>
      </c>
      <c r="EA79" s="6" t="n">
        <v>10000</v>
      </c>
      <c r="EB79" s="6" t="n">
        <v>10000</v>
      </c>
      <c r="EC79" s="6" t="n">
        <v>10000</v>
      </c>
      <c r="ED79" s="6" t="n">
        <v>9000</v>
      </c>
      <c r="EE79" s="6" t="n">
        <v>4690</v>
      </c>
      <c r="EF79" s="6" t="n">
        <v>4251</v>
      </c>
      <c r="EG79" s="6" t="n">
        <v>3545</v>
      </c>
      <c r="EH79" s="6" t="n">
        <v>3421</v>
      </c>
      <c r="EI79" s="6" t="n">
        <v>3290</v>
      </c>
      <c r="EJ79" s="6" t="n">
        <v>3451</v>
      </c>
      <c r="EK79" s="6" t="n">
        <v>3710</v>
      </c>
      <c r="EL79" s="6" t="n">
        <v>3720</v>
      </c>
      <c r="EM79" s="6" t="n">
        <v>3934</v>
      </c>
      <c r="EN79" s="6" t="n">
        <v>3934</v>
      </c>
      <c r="EO79" s="6" t="n">
        <v>5230</v>
      </c>
      <c r="EP79" s="6" t="n">
        <v>5509</v>
      </c>
      <c r="EQ79" s="6" t="n">
        <v>4063</v>
      </c>
      <c r="ER79" s="6" t="n">
        <v>4000</v>
      </c>
      <c r="ES79" s="6" t="n">
        <v>3934</v>
      </c>
      <c r="ET79" s="6" t="n">
        <v>3909</v>
      </c>
      <c r="EU79" s="6" t="n">
        <v>3901</v>
      </c>
      <c r="EV79" s="6" t="n">
        <v>3967</v>
      </c>
      <c r="EW79" s="6" t="n">
        <v>4063</v>
      </c>
      <c r="EX79" s="6" t="n">
        <v>5229</v>
      </c>
      <c r="EY79" s="6" t="n">
        <v>5570</v>
      </c>
      <c r="EZ79" s="6" t="n">
        <v>5883</v>
      </c>
      <c r="FA79" s="6" t="n">
        <v>8001</v>
      </c>
      <c r="FB79" s="6" t="n">
        <v>10000</v>
      </c>
      <c r="FC79" s="6" t="n">
        <v>10000</v>
      </c>
      <c r="FD79" s="6" t="n">
        <v>10000</v>
      </c>
      <c r="FE79" s="6" t="n">
        <v>10000</v>
      </c>
      <c r="FF79" s="6" t="n">
        <v>10000</v>
      </c>
      <c r="FG79" s="6" t="n">
        <v>10000</v>
      </c>
      <c r="FH79" s="6" t="n">
        <v>10000</v>
      </c>
      <c r="FI79" s="6" t="n">
        <v>10000</v>
      </c>
      <c r="FJ79" s="6" t="n">
        <v>10000</v>
      </c>
      <c r="FK79" s="6" t="n">
        <v>10000</v>
      </c>
      <c r="FL79" s="6" t="n">
        <v>10000</v>
      </c>
      <c r="FM79" s="6" t="n">
        <v>10000</v>
      </c>
      <c r="FN79" s="6" t="n">
        <v>10000</v>
      </c>
      <c r="FO79" s="6" t="n">
        <v>10000</v>
      </c>
      <c r="FP79" s="6" t="n">
        <v>10000</v>
      </c>
      <c r="FQ79" s="6" t="n">
        <v>10000</v>
      </c>
      <c r="FR79" s="6" t="n">
        <v>10000</v>
      </c>
      <c r="FS79" s="6" t="n">
        <v>10000</v>
      </c>
      <c r="FT79" s="6" t="n">
        <v>10000</v>
      </c>
      <c r="FU79" s="6" t="n">
        <v>10000</v>
      </c>
      <c r="FV79" s="6" t="n">
        <v>10000</v>
      </c>
      <c r="FW79" s="6" t="n">
        <v>10000</v>
      </c>
      <c r="FX79" s="6" t="n">
        <v>10000</v>
      </c>
      <c r="FY79" s="6" t="n">
        <v>10000</v>
      </c>
      <c r="FZ79" s="6" t="n">
        <v>10000</v>
      </c>
      <c r="GA79" s="6" t="n">
        <v>10000</v>
      </c>
      <c r="GB79" s="6" t="n">
        <v>10000</v>
      </c>
      <c r="GC79" s="6" t="n">
        <v>10000</v>
      </c>
      <c r="GD79" s="6" t="n">
        <v>10000</v>
      </c>
      <c r="GE79" s="6" t="n">
        <v>10000</v>
      </c>
      <c r="GF79" s="6" t="n">
        <v>10000</v>
      </c>
      <c r="GG79" s="6" t="n">
        <v>10000</v>
      </c>
      <c r="GH79" s="6" t="n">
        <v>10000</v>
      </c>
      <c r="GI79" s="6" t="n">
        <v>10000</v>
      </c>
      <c r="GJ79" s="6" t="n">
        <v>10000</v>
      </c>
      <c r="GK79" s="6" t="n">
        <v>10000</v>
      </c>
      <c r="GL79" s="6" t="n">
        <v>10000</v>
      </c>
    </row>
    <row r="80">
      <c r="A80" s="6" t="inlineStr">
        <is>
          <t>RTM</t>
        </is>
      </c>
      <c r="B80" s="6" t="n">
        <v>17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9999</v>
      </c>
      <c r="AH80" s="6" t="n">
        <v>5000</v>
      </c>
      <c r="AI80" s="6" t="n">
        <v>3520</v>
      </c>
      <c r="AJ80" s="6" t="n">
        <v>3200</v>
      </c>
      <c r="AK80" s="6" t="n">
        <v>2000</v>
      </c>
      <c r="AL80" s="6" t="n">
        <v>1399</v>
      </c>
      <c r="AM80" s="6" t="n">
        <v>2770</v>
      </c>
      <c r="AN80" s="6" t="n">
        <v>2669</v>
      </c>
      <c r="AO80" s="6" t="n">
        <v>3101</v>
      </c>
      <c r="AP80" s="6" t="n">
        <v>3121</v>
      </c>
      <c r="AQ80" s="6" t="n">
        <v>2670</v>
      </c>
      <c r="AR80" s="6" t="n">
        <v>2682</v>
      </c>
      <c r="AS80" s="6" t="n">
        <v>3200</v>
      </c>
      <c r="AT80" s="6" t="n">
        <v>3201</v>
      </c>
      <c r="AU80" s="6" t="n">
        <v>2700</v>
      </c>
      <c r="AV80" s="6" t="n">
        <v>2789</v>
      </c>
      <c r="AW80" s="6" t="n">
        <v>3259</v>
      </c>
      <c r="AX80" s="6" t="n">
        <v>3400</v>
      </c>
      <c r="AY80" s="6" t="n">
        <v>2860</v>
      </c>
      <c r="AZ80" s="6" t="n">
        <v>2700</v>
      </c>
      <c r="BA80" s="6" t="n">
        <v>1897</v>
      </c>
      <c r="BB80" s="6" t="n">
        <v>1999</v>
      </c>
      <c r="BC80" s="6" t="n">
        <v>1799</v>
      </c>
      <c r="BD80" s="6" t="n">
        <v>2098</v>
      </c>
      <c r="BE80" s="6" t="n">
        <v>2746</v>
      </c>
      <c r="BF80" s="6" t="n">
        <v>2784</v>
      </c>
      <c r="BG80" s="6" t="n">
        <v>3510</v>
      </c>
      <c r="BH80" s="6" t="n">
        <v>3569</v>
      </c>
      <c r="BI80" s="6" t="n">
        <v>4845</v>
      </c>
      <c r="BJ80" s="6" t="n">
        <v>6001</v>
      </c>
      <c r="BK80" s="6" t="n">
        <v>3999</v>
      </c>
      <c r="BL80" s="6" t="n">
        <v>4999</v>
      </c>
      <c r="BM80" s="6" t="n">
        <v>5882</v>
      </c>
      <c r="BN80" s="6" t="n">
        <v>7803</v>
      </c>
      <c r="BO80" s="6" t="n">
        <v>8001</v>
      </c>
      <c r="BP80" s="6" t="n">
        <v>10000</v>
      </c>
      <c r="BQ80" s="6" t="n">
        <v>10000</v>
      </c>
      <c r="BR80" s="6" t="n">
        <v>10000</v>
      </c>
      <c r="BS80" s="6" t="n">
        <v>10000</v>
      </c>
      <c r="BT80" s="6" t="n">
        <v>10000</v>
      </c>
      <c r="BU80" s="6" t="n">
        <v>10000</v>
      </c>
      <c r="BV80" s="6" t="n">
        <v>10000</v>
      </c>
      <c r="BW80" s="6" t="n">
        <v>10000</v>
      </c>
      <c r="BX80" s="6" t="n">
        <v>10000</v>
      </c>
      <c r="BY80" s="6" t="n">
        <v>10000</v>
      </c>
      <c r="BZ80" s="6" t="n">
        <v>10000</v>
      </c>
      <c r="CA80" s="6" t="n">
        <v>10000</v>
      </c>
      <c r="CB80" s="6" t="n">
        <v>10000</v>
      </c>
      <c r="CC80" s="6" t="n">
        <v>10000</v>
      </c>
      <c r="CD80" s="6" t="n">
        <v>10000</v>
      </c>
      <c r="CE80" s="6" t="n">
        <v>10000</v>
      </c>
      <c r="CF80" s="6" t="n">
        <v>10000</v>
      </c>
      <c r="CG80" s="6" t="n">
        <v>10000</v>
      </c>
      <c r="CH80" s="6" t="n">
        <v>10000</v>
      </c>
      <c r="CI80" s="6" t="n">
        <v>10000</v>
      </c>
      <c r="CJ80" s="6" t="n">
        <v>10000</v>
      </c>
      <c r="CK80" s="6" t="n">
        <v>10000</v>
      </c>
      <c r="CL80" s="6" t="n">
        <v>10000</v>
      </c>
      <c r="CM80" s="6" t="n">
        <v>10000</v>
      </c>
      <c r="CN80" s="6" t="n">
        <v>10000</v>
      </c>
      <c r="CO80" s="6" t="n">
        <v>10000</v>
      </c>
      <c r="CP80" s="6" t="n">
        <v>10000</v>
      </c>
      <c r="CQ80" s="6" t="n">
        <v>10000</v>
      </c>
      <c r="CR80" s="6" t="n">
        <v>10000</v>
      </c>
      <c r="CS80" s="6" t="n">
        <v>10000</v>
      </c>
      <c r="CT80" s="6" t="n">
        <v>10000</v>
      </c>
      <c r="CU80" s="6" t="n">
        <v>10000</v>
      </c>
      <c r="CV80" s="6" t="n">
        <v>10000</v>
      </c>
      <c r="CW80" s="6" t="n">
        <v>10000</v>
      </c>
      <c r="CX80" s="6" t="n">
        <v>10000</v>
      </c>
      <c r="CY80" s="6" t="n">
        <v>10000</v>
      </c>
      <c r="CZ80" s="6" t="n">
        <v>10000</v>
      </c>
      <c r="DA80" s="6" t="n">
        <v>10000</v>
      </c>
      <c r="DB80" s="6" t="n">
        <v>10000</v>
      </c>
      <c r="DC80" s="6" t="n">
        <v>10000</v>
      </c>
      <c r="DD80" s="6" t="n">
        <v>10000</v>
      </c>
      <c r="DE80" s="6" t="n">
        <v>10000</v>
      </c>
      <c r="DF80" s="6" t="n">
        <v>10000</v>
      </c>
      <c r="DG80" s="6" t="n">
        <v>10000</v>
      </c>
      <c r="DH80" s="6" t="n">
        <v>10000</v>
      </c>
      <c r="DI80" s="6" t="n">
        <v>10000</v>
      </c>
      <c r="DJ80" s="6" t="n">
        <v>10000</v>
      </c>
      <c r="DK80" s="6" t="n">
        <v>10000</v>
      </c>
      <c r="DL80" s="6" t="n">
        <v>10000</v>
      </c>
      <c r="DM80" s="6" t="n">
        <v>10000</v>
      </c>
      <c r="DN80" s="6" t="n">
        <v>10000</v>
      </c>
      <c r="DO80" s="6" t="n">
        <v>10000</v>
      </c>
      <c r="DP80" s="6" t="n">
        <v>10000</v>
      </c>
      <c r="DQ80" s="6" t="n">
        <v>10000</v>
      </c>
      <c r="DR80" s="6" t="n">
        <v>10000</v>
      </c>
      <c r="DS80" s="6" t="n">
        <v>10000</v>
      </c>
      <c r="DT80" s="6" t="n">
        <v>10000</v>
      </c>
      <c r="DU80" s="6" t="n">
        <v>10000</v>
      </c>
      <c r="DV80" s="6" t="n">
        <v>10000</v>
      </c>
      <c r="DW80" s="6" t="n">
        <v>10000</v>
      </c>
      <c r="DX80" s="6" t="n">
        <v>10000</v>
      </c>
      <c r="DY80" s="6" t="n">
        <v>9999</v>
      </c>
      <c r="DZ80" s="6" t="n">
        <v>5000</v>
      </c>
      <c r="EA80" s="6" t="n">
        <v>3520</v>
      </c>
      <c r="EB80" s="6" t="n">
        <v>3200</v>
      </c>
      <c r="EC80" s="6" t="n">
        <v>2000</v>
      </c>
      <c r="ED80" s="6" t="n">
        <v>1399</v>
      </c>
      <c r="EE80" s="6" t="n">
        <v>2770</v>
      </c>
      <c r="EF80" s="6" t="n">
        <v>2669</v>
      </c>
      <c r="EG80" s="6" t="n">
        <v>3101</v>
      </c>
      <c r="EH80" s="6" t="n">
        <v>3121</v>
      </c>
      <c r="EI80" s="6" t="n">
        <v>2670</v>
      </c>
      <c r="EJ80" s="6" t="n">
        <v>2682</v>
      </c>
      <c r="EK80" s="6" t="n">
        <v>3200</v>
      </c>
      <c r="EL80" s="6" t="n">
        <v>3201</v>
      </c>
      <c r="EM80" s="6" t="n">
        <v>2700</v>
      </c>
      <c r="EN80" s="6" t="n">
        <v>2789</v>
      </c>
      <c r="EO80" s="6" t="n">
        <v>3259</v>
      </c>
      <c r="EP80" s="6" t="n">
        <v>3400</v>
      </c>
      <c r="EQ80" s="6" t="n">
        <v>2860</v>
      </c>
      <c r="ER80" s="6" t="n">
        <v>2700</v>
      </c>
      <c r="ES80" s="6" t="n">
        <v>1897</v>
      </c>
      <c r="ET80" s="6" t="n">
        <v>1999</v>
      </c>
      <c r="EU80" s="6" t="n">
        <v>1799</v>
      </c>
      <c r="EV80" s="6" t="n">
        <v>2098</v>
      </c>
      <c r="EW80" s="6" t="n">
        <v>2746</v>
      </c>
      <c r="EX80" s="6" t="n">
        <v>2784</v>
      </c>
      <c r="EY80" s="6" t="n">
        <v>3510</v>
      </c>
      <c r="EZ80" s="6" t="n">
        <v>3569</v>
      </c>
      <c r="FA80" s="6" t="n">
        <v>4845</v>
      </c>
      <c r="FB80" s="6" t="n">
        <v>6001</v>
      </c>
      <c r="FC80" s="6" t="n">
        <v>3999</v>
      </c>
      <c r="FD80" s="6" t="n">
        <v>4999</v>
      </c>
      <c r="FE80" s="6" t="n">
        <v>5882</v>
      </c>
      <c r="FF80" s="6" t="n">
        <v>7803</v>
      </c>
      <c r="FG80" s="6" t="n">
        <v>8001</v>
      </c>
      <c r="FH80" s="6" t="n">
        <v>10000</v>
      </c>
      <c r="FI80" s="6" t="n">
        <v>10000</v>
      </c>
      <c r="FJ80" s="6" t="n">
        <v>10000</v>
      </c>
      <c r="FK80" s="6" t="n">
        <v>10000</v>
      </c>
      <c r="FL80" s="6" t="n">
        <v>10000</v>
      </c>
      <c r="FM80" s="6" t="n">
        <v>10000</v>
      </c>
      <c r="FN80" s="6" t="n">
        <v>10000</v>
      </c>
      <c r="FO80" s="6" t="n">
        <v>10000</v>
      </c>
      <c r="FP80" s="6" t="n">
        <v>10000</v>
      </c>
      <c r="FQ80" s="6" t="n">
        <v>10000</v>
      </c>
      <c r="FR80" s="6" t="n">
        <v>10000</v>
      </c>
      <c r="FS80" s="6" t="n">
        <v>10000</v>
      </c>
      <c r="FT80" s="6" t="n">
        <v>10000</v>
      </c>
      <c r="FU80" s="6" t="n">
        <v>10000</v>
      </c>
      <c r="FV80" s="6" t="n">
        <v>10000</v>
      </c>
      <c r="FW80" s="6" t="n">
        <v>10000</v>
      </c>
      <c r="FX80" s="6" t="n">
        <v>10000</v>
      </c>
      <c r="FY80" s="6" t="n">
        <v>10000</v>
      </c>
      <c r="FZ80" s="6" t="n">
        <v>10000</v>
      </c>
      <c r="GA80" s="6" t="n">
        <v>10000</v>
      </c>
      <c r="GB80" s="6" t="n">
        <v>10000</v>
      </c>
      <c r="GC80" s="6" t="n">
        <v>10000</v>
      </c>
      <c r="GD80" s="6" t="n">
        <v>10000</v>
      </c>
      <c r="GE80" s="6" t="n">
        <v>10000</v>
      </c>
      <c r="GF80" s="6" t="n">
        <v>10000</v>
      </c>
      <c r="GG80" s="6" t="n">
        <v>10000</v>
      </c>
      <c r="GH80" s="6" t="n">
        <v>10000</v>
      </c>
      <c r="GI80" s="6" t="n">
        <v>10000</v>
      </c>
      <c r="GJ80" s="6" t="n">
        <v>10000</v>
      </c>
      <c r="GK80" s="6" t="n">
        <v>10000</v>
      </c>
      <c r="GL80" s="6" t="n">
        <v>10000</v>
      </c>
    </row>
    <row r="81">
      <c r="A81" s="6" t="inlineStr">
        <is>
          <t>RTM</t>
        </is>
      </c>
      <c r="B81" s="6" t="n">
        <v>18</v>
      </c>
      <c r="C81" s="6" t="n">
        <v>10000</v>
      </c>
      <c r="D81" s="6" t="n">
        <v>10000</v>
      </c>
      <c r="E81" s="6" t="n">
        <v>10000</v>
      </c>
      <c r="F81" s="6" t="n">
        <v>10000</v>
      </c>
      <c r="G81" s="6" t="n">
        <v>10000</v>
      </c>
      <c r="H81" s="6" t="n">
        <v>10000</v>
      </c>
      <c r="I81" s="6" t="n">
        <v>10000</v>
      </c>
      <c r="J81" s="6" t="n">
        <v>10000</v>
      </c>
      <c r="K81" s="6" t="n">
        <v>10000</v>
      </c>
      <c r="L81" s="6" t="n">
        <v>10000</v>
      </c>
      <c r="M81" s="6" t="n">
        <v>10000</v>
      </c>
      <c r="N81" s="6" t="n">
        <v>10000</v>
      </c>
      <c r="O81" s="6" t="n">
        <v>10000</v>
      </c>
      <c r="P81" s="6" t="n">
        <v>10000</v>
      </c>
      <c r="Q81" s="6" t="n">
        <v>10000</v>
      </c>
      <c r="R81" s="6" t="n">
        <v>10000</v>
      </c>
      <c r="S81" s="6" t="n">
        <v>9999</v>
      </c>
      <c r="T81" s="6" t="n">
        <v>10000</v>
      </c>
      <c r="U81" s="6" t="n">
        <v>7858</v>
      </c>
      <c r="V81" s="6" t="n">
        <v>9325</v>
      </c>
      <c r="W81" s="6" t="n">
        <v>10000</v>
      </c>
      <c r="X81" s="6" t="n">
        <v>10000</v>
      </c>
      <c r="Y81" s="6" t="n">
        <v>10000</v>
      </c>
      <c r="Z81" s="6" t="n">
        <v>10000</v>
      </c>
      <c r="AA81" s="6" t="n">
        <v>10000</v>
      </c>
      <c r="AB81" s="6" t="n">
        <v>10000</v>
      </c>
      <c r="AC81" s="6" t="n">
        <v>10000</v>
      </c>
      <c r="AD81" s="6" t="n">
        <v>10000</v>
      </c>
      <c r="AE81" s="6" t="n">
        <v>10000</v>
      </c>
      <c r="AF81" s="6" t="n">
        <v>10000</v>
      </c>
      <c r="AG81" s="6" t="n">
        <v>4570</v>
      </c>
      <c r="AH81" s="6" t="n">
        <v>3999</v>
      </c>
      <c r="AI81" s="6" t="n">
        <v>2000</v>
      </c>
      <c r="AJ81" s="6" t="n">
        <v>2901</v>
      </c>
      <c r="AK81" s="6" t="n">
        <v>3411</v>
      </c>
      <c r="AL81" s="6" t="n">
        <v>3412</v>
      </c>
      <c r="AM81" s="6" t="n">
        <v>3412</v>
      </c>
      <c r="AN81" s="6" t="n">
        <v>3000</v>
      </c>
      <c r="AO81" s="6" t="n">
        <v>3104</v>
      </c>
      <c r="AP81" s="6" t="n">
        <v>3104</v>
      </c>
      <c r="AQ81" s="6" t="n">
        <v>1999</v>
      </c>
      <c r="AR81" s="6" t="n">
        <v>2000</v>
      </c>
      <c r="AS81" s="6" t="n">
        <v>637</v>
      </c>
      <c r="AT81" s="6" t="n">
        <v>1000</v>
      </c>
      <c r="AU81" s="6" t="n">
        <v>2191</v>
      </c>
      <c r="AV81" s="6" t="n">
        <v>2500</v>
      </c>
      <c r="AW81" s="6" t="n">
        <v>2199</v>
      </c>
      <c r="AX81" s="6" t="n">
        <v>2477</v>
      </c>
      <c r="AY81" s="6" t="n">
        <v>2381</v>
      </c>
      <c r="AZ81" s="6" t="n">
        <v>2534</v>
      </c>
      <c r="BA81" s="6" t="n">
        <v>2605</v>
      </c>
      <c r="BB81" s="6" t="n">
        <v>2541</v>
      </c>
      <c r="BC81" s="6" t="n">
        <v>2670</v>
      </c>
      <c r="BD81" s="6" t="n">
        <v>2738</v>
      </c>
      <c r="BE81" s="6" t="n">
        <v>2810</v>
      </c>
      <c r="BF81" s="6" t="n">
        <v>3200</v>
      </c>
      <c r="BG81" s="6" t="n">
        <v>3474</v>
      </c>
      <c r="BH81" s="6" t="n">
        <v>3511</v>
      </c>
      <c r="BI81" s="6" t="n">
        <v>3547</v>
      </c>
      <c r="BJ81" s="6" t="n">
        <v>3550</v>
      </c>
      <c r="BK81" s="6" t="n">
        <v>3570</v>
      </c>
      <c r="BL81" s="6" t="n">
        <v>3500</v>
      </c>
      <c r="BM81" s="6" t="n">
        <v>3510</v>
      </c>
      <c r="BN81" s="6" t="n">
        <v>4880</v>
      </c>
      <c r="BO81" s="6" t="n">
        <v>4308</v>
      </c>
      <c r="BP81" s="6" t="n">
        <v>9000</v>
      </c>
      <c r="BQ81" s="6" t="n">
        <v>10000</v>
      </c>
      <c r="BR81" s="6" t="n">
        <v>10000</v>
      </c>
      <c r="BS81" s="6" t="n">
        <v>10000</v>
      </c>
      <c r="BT81" s="6" t="n">
        <v>10000</v>
      </c>
      <c r="BU81" s="6" t="n">
        <v>10000</v>
      </c>
      <c r="BV81" s="6" t="n">
        <v>10000</v>
      </c>
      <c r="BW81" s="6" t="n">
        <v>10000</v>
      </c>
      <c r="BX81" s="6" t="n">
        <v>10000</v>
      </c>
      <c r="BY81" s="6" t="n">
        <v>10000</v>
      </c>
      <c r="BZ81" s="6" t="n">
        <v>10000</v>
      </c>
      <c r="CA81" s="6" t="n">
        <v>10000</v>
      </c>
      <c r="CB81" s="6" t="n">
        <v>10000</v>
      </c>
      <c r="CC81" s="6" t="n">
        <v>10000</v>
      </c>
      <c r="CD81" s="6" t="n">
        <v>10000</v>
      </c>
      <c r="CE81" s="6" t="n">
        <v>10000</v>
      </c>
      <c r="CF81" s="6" t="n">
        <v>10000</v>
      </c>
      <c r="CG81" s="6" t="n">
        <v>10000</v>
      </c>
      <c r="CH81" s="6" t="n">
        <v>10000</v>
      </c>
      <c r="CI81" s="6" t="n">
        <v>10000</v>
      </c>
      <c r="CJ81" s="6" t="n">
        <v>10000</v>
      </c>
      <c r="CK81" s="6" t="n">
        <v>10000</v>
      </c>
      <c r="CL81" s="6" t="n">
        <v>10000</v>
      </c>
      <c r="CM81" s="6" t="n">
        <v>10000</v>
      </c>
      <c r="CN81" s="6" t="n">
        <v>10000</v>
      </c>
      <c r="CO81" s="6" t="n">
        <v>10000</v>
      </c>
      <c r="CP81" s="6" t="n">
        <v>10000</v>
      </c>
      <c r="CQ81" s="6" t="n">
        <v>10000</v>
      </c>
      <c r="CR81" s="6" t="n">
        <v>10000</v>
      </c>
      <c r="CS81" s="6" t="n">
        <v>10000</v>
      </c>
      <c r="CT81" s="6" t="n">
        <v>10000</v>
      </c>
      <c r="CU81" s="6" t="n">
        <v>10000</v>
      </c>
      <c r="CV81" s="6" t="n">
        <v>10000</v>
      </c>
      <c r="CW81" s="6" t="n">
        <v>10000</v>
      </c>
      <c r="CX81" s="6" t="n">
        <v>10000</v>
      </c>
      <c r="CY81" s="6" t="n">
        <v>10000</v>
      </c>
      <c r="CZ81" s="6" t="n">
        <v>10000</v>
      </c>
      <c r="DA81" s="6" t="n">
        <v>10000</v>
      </c>
      <c r="DB81" s="6" t="n">
        <v>10000</v>
      </c>
      <c r="DC81" s="6" t="n">
        <v>10000</v>
      </c>
      <c r="DD81" s="6" t="n">
        <v>10000</v>
      </c>
      <c r="DE81" s="6" t="n">
        <v>10000</v>
      </c>
      <c r="DF81" s="6" t="n">
        <v>10000</v>
      </c>
      <c r="DG81" s="6" t="n">
        <v>10000</v>
      </c>
      <c r="DH81" s="6" t="n">
        <v>10000</v>
      </c>
      <c r="DI81" s="6" t="n">
        <v>10000</v>
      </c>
      <c r="DJ81" s="6" t="n">
        <v>10000</v>
      </c>
      <c r="DK81" s="6" t="n">
        <v>9999</v>
      </c>
      <c r="DL81" s="6" t="n">
        <v>10000</v>
      </c>
      <c r="DM81" s="6" t="n">
        <v>7858</v>
      </c>
      <c r="DN81" s="6" t="n">
        <v>9325</v>
      </c>
      <c r="DO81" s="6" t="n">
        <v>10000</v>
      </c>
      <c r="DP81" s="6" t="n">
        <v>10000</v>
      </c>
      <c r="DQ81" s="6" t="n">
        <v>10000</v>
      </c>
      <c r="DR81" s="6" t="n">
        <v>10000</v>
      </c>
      <c r="DS81" s="6" t="n">
        <v>10000</v>
      </c>
      <c r="DT81" s="6" t="n">
        <v>10000</v>
      </c>
      <c r="DU81" s="6" t="n">
        <v>10000</v>
      </c>
      <c r="DV81" s="6" t="n">
        <v>10000</v>
      </c>
      <c r="DW81" s="6" t="n">
        <v>10000</v>
      </c>
      <c r="DX81" s="6" t="n">
        <v>10000</v>
      </c>
      <c r="DY81" s="6" t="n">
        <v>4570</v>
      </c>
      <c r="DZ81" s="6" t="n">
        <v>3999</v>
      </c>
      <c r="EA81" s="6" t="n">
        <v>2000</v>
      </c>
      <c r="EB81" s="6" t="n">
        <v>2901</v>
      </c>
      <c r="EC81" s="6" t="n">
        <v>3411</v>
      </c>
      <c r="ED81" s="6" t="n">
        <v>3412</v>
      </c>
      <c r="EE81" s="6" t="n">
        <v>3412</v>
      </c>
      <c r="EF81" s="6" t="n">
        <v>3000</v>
      </c>
      <c r="EG81" s="6" t="n">
        <v>3104</v>
      </c>
      <c r="EH81" s="6" t="n">
        <v>3104</v>
      </c>
      <c r="EI81" s="6" t="n">
        <v>1999</v>
      </c>
      <c r="EJ81" s="6" t="n">
        <v>2000</v>
      </c>
      <c r="EK81" s="6" t="n">
        <v>637</v>
      </c>
      <c r="EL81" s="6" t="n">
        <v>1000</v>
      </c>
      <c r="EM81" s="6" t="n">
        <v>2191</v>
      </c>
      <c r="EN81" s="6" t="n">
        <v>2500</v>
      </c>
      <c r="EO81" s="6" t="n">
        <v>2199</v>
      </c>
      <c r="EP81" s="6" t="n">
        <v>2477</v>
      </c>
      <c r="EQ81" s="6" t="n">
        <v>2381</v>
      </c>
      <c r="ER81" s="6" t="n">
        <v>2534</v>
      </c>
      <c r="ES81" s="6" t="n">
        <v>2605</v>
      </c>
      <c r="ET81" s="6" t="n">
        <v>2541</v>
      </c>
      <c r="EU81" s="6" t="n">
        <v>2670</v>
      </c>
      <c r="EV81" s="6" t="n">
        <v>2738</v>
      </c>
      <c r="EW81" s="6" t="n">
        <v>2810</v>
      </c>
      <c r="EX81" s="6" t="n">
        <v>3200</v>
      </c>
      <c r="EY81" s="6" t="n">
        <v>3474</v>
      </c>
      <c r="EZ81" s="6" t="n">
        <v>3511</v>
      </c>
      <c r="FA81" s="6" t="n">
        <v>3547</v>
      </c>
      <c r="FB81" s="6" t="n">
        <v>3550</v>
      </c>
      <c r="FC81" s="6" t="n">
        <v>3570</v>
      </c>
      <c r="FD81" s="6" t="n">
        <v>3500</v>
      </c>
      <c r="FE81" s="6" t="n">
        <v>3510</v>
      </c>
      <c r="FF81" s="6" t="n">
        <v>4880</v>
      </c>
      <c r="FG81" s="6" t="n">
        <v>4308</v>
      </c>
      <c r="FH81" s="6" t="n">
        <v>9000</v>
      </c>
      <c r="FI81" s="6" t="n">
        <v>10000</v>
      </c>
      <c r="FJ81" s="6" t="n">
        <v>10000</v>
      </c>
      <c r="FK81" s="6" t="n">
        <v>10000</v>
      </c>
      <c r="FL81" s="6" t="n">
        <v>10000</v>
      </c>
      <c r="FM81" s="6" t="n">
        <v>10000</v>
      </c>
      <c r="FN81" s="6" t="n">
        <v>10000</v>
      </c>
      <c r="FO81" s="6" t="n">
        <v>10000</v>
      </c>
      <c r="FP81" s="6" t="n">
        <v>10000</v>
      </c>
      <c r="FQ81" s="6" t="n">
        <v>10000</v>
      </c>
      <c r="FR81" s="6" t="n">
        <v>10000</v>
      </c>
      <c r="FS81" s="6" t="n">
        <v>10000</v>
      </c>
      <c r="FT81" s="6" t="n">
        <v>10000</v>
      </c>
      <c r="FU81" s="6" t="n">
        <v>10000</v>
      </c>
      <c r="FV81" s="6" t="n">
        <v>10000</v>
      </c>
      <c r="FW81" s="6" t="n">
        <v>10000</v>
      </c>
      <c r="FX81" s="6" t="n">
        <v>10000</v>
      </c>
      <c r="FY81" s="6" t="n">
        <v>10000</v>
      </c>
      <c r="FZ81" s="6" t="n">
        <v>10000</v>
      </c>
      <c r="GA81" s="6" t="n">
        <v>10000</v>
      </c>
      <c r="GB81" s="6" t="n">
        <v>10000</v>
      </c>
      <c r="GC81" s="6" t="n">
        <v>10000</v>
      </c>
      <c r="GD81" s="6" t="n">
        <v>10000</v>
      </c>
      <c r="GE81" s="6" t="n">
        <v>10000</v>
      </c>
      <c r="GF81" s="6" t="n">
        <v>10000</v>
      </c>
      <c r="GG81" s="6" t="n">
        <v>10000</v>
      </c>
      <c r="GH81" s="6" t="n">
        <v>10000</v>
      </c>
      <c r="GI81" s="6" t="n">
        <v>10000</v>
      </c>
      <c r="GJ81" s="6" t="n">
        <v>10000</v>
      </c>
      <c r="GK81" s="6" t="n">
        <v>10000</v>
      </c>
      <c r="GL81" s="6" t="n">
        <v>10000</v>
      </c>
    </row>
    <row r="82">
      <c r="A82" s="6" t="inlineStr">
        <is>
          <t>RTM</t>
        </is>
      </c>
      <c r="B82" s="6" t="n">
        <v>19</v>
      </c>
      <c r="C82" s="6" t="n">
        <v>10000</v>
      </c>
      <c r="D82" s="6" t="n">
        <v>10000</v>
      </c>
      <c r="E82" s="6" t="n">
        <v>10000</v>
      </c>
      <c r="F82" s="6" t="n">
        <v>10000</v>
      </c>
      <c r="G82" s="6" t="n">
        <v>10000</v>
      </c>
      <c r="H82" s="6" t="n">
        <v>10000</v>
      </c>
      <c r="I82" s="6" t="n">
        <v>10000</v>
      </c>
      <c r="J82" s="6" t="n">
        <v>10000</v>
      </c>
      <c r="K82" s="6" t="n">
        <v>10000</v>
      </c>
      <c r="L82" s="6" t="n">
        <v>10000</v>
      </c>
      <c r="M82" s="6" t="n">
        <v>10000</v>
      </c>
      <c r="N82" s="6" t="n">
        <v>10000</v>
      </c>
      <c r="O82" s="6" t="n">
        <v>10000</v>
      </c>
      <c r="P82" s="6" t="n">
        <v>10000</v>
      </c>
      <c r="Q82" s="6" t="n">
        <v>10000</v>
      </c>
      <c r="R82" s="6" t="n">
        <v>10000</v>
      </c>
      <c r="S82" s="6" t="n">
        <v>10000</v>
      </c>
      <c r="T82" s="6" t="n">
        <v>10000</v>
      </c>
      <c r="U82" s="6" t="n">
        <v>10000</v>
      </c>
      <c r="V82" s="6" t="n">
        <v>10000</v>
      </c>
      <c r="W82" s="6" t="n">
        <v>10000</v>
      </c>
      <c r="X82" s="6" t="n">
        <v>10000</v>
      </c>
      <c r="Y82" s="6" t="n">
        <v>10000</v>
      </c>
      <c r="Z82" s="6" t="n">
        <v>10000</v>
      </c>
      <c r="AA82" s="6" t="n">
        <v>10000</v>
      </c>
      <c r="AB82" s="6" t="n">
        <v>10000</v>
      </c>
      <c r="AC82" s="6" t="n">
        <v>10000</v>
      </c>
      <c r="AD82" s="6" t="n">
        <v>10000</v>
      </c>
      <c r="AE82" s="6" t="n">
        <v>10000</v>
      </c>
      <c r="AF82" s="6" t="n">
        <v>10000</v>
      </c>
      <c r="AG82" s="6" t="n">
        <v>10000</v>
      </c>
      <c r="AH82" s="6" t="n">
        <v>10000</v>
      </c>
      <c r="AI82" s="6" t="n">
        <v>4870</v>
      </c>
      <c r="AJ82" s="6" t="n">
        <v>3700</v>
      </c>
      <c r="AK82" s="6" t="n">
        <v>2820</v>
      </c>
      <c r="AL82" s="6" t="n">
        <v>2500</v>
      </c>
      <c r="AM82" s="6" t="n">
        <v>2900</v>
      </c>
      <c r="AN82" s="6" t="n">
        <v>3452</v>
      </c>
      <c r="AO82" s="6" t="n">
        <v>2755</v>
      </c>
      <c r="AP82" s="6" t="n">
        <v>2789</v>
      </c>
      <c r="AQ82" s="6" t="n">
        <v>3217</v>
      </c>
      <c r="AR82" s="6" t="n">
        <v>3303</v>
      </c>
      <c r="AS82" s="6" t="n">
        <v>2799</v>
      </c>
      <c r="AT82" s="6" t="n">
        <v>3209</v>
      </c>
      <c r="AU82" s="6" t="n">
        <v>2799</v>
      </c>
      <c r="AV82" s="6" t="n">
        <v>2940</v>
      </c>
      <c r="AW82" s="6" t="n">
        <v>2792</v>
      </c>
      <c r="AX82" s="6" t="n">
        <v>3206</v>
      </c>
      <c r="AY82" s="6" t="n">
        <v>2755</v>
      </c>
      <c r="AZ82" s="6" t="n">
        <v>2754</v>
      </c>
      <c r="BA82" s="6" t="n">
        <v>2610</v>
      </c>
      <c r="BB82" s="6" t="n">
        <v>2642</v>
      </c>
      <c r="BC82" s="6" t="n">
        <v>2994</v>
      </c>
      <c r="BD82" s="6" t="n">
        <v>3296</v>
      </c>
      <c r="BE82" s="6" t="n">
        <v>3511</v>
      </c>
      <c r="BF82" s="6" t="n">
        <v>3511</v>
      </c>
      <c r="BG82" s="6" t="n">
        <v>3569</v>
      </c>
      <c r="BH82" s="6" t="n">
        <v>3810</v>
      </c>
      <c r="BI82" s="6" t="n">
        <v>3966</v>
      </c>
      <c r="BJ82" s="6" t="n">
        <v>5230</v>
      </c>
      <c r="BK82" s="6" t="n">
        <v>6000</v>
      </c>
      <c r="BL82" s="6" t="n">
        <v>5570</v>
      </c>
      <c r="BM82" s="6" t="n">
        <v>4251</v>
      </c>
      <c r="BN82" s="6" t="n">
        <v>4451</v>
      </c>
      <c r="BO82" s="6" t="n">
        <v>9501</v>
      </c>
      <c r="BP82" s="6" t="n">
        <v>10000</v>
      </c>
      <c r="BQ82" s="6" t="n">
        <v>10000</v>
      </c>
      <c r="BR82" s="6" t="n">
        <v>10000</v>
      </c>
      <c r="BS82" s="6" t="n">
        <v>10000</v>
      </c>
      <c r="BT82" s="6" t="n">
        <v>10000</v>
      </c>
      <c r="BU82" s="6" t="n">
        <v>10000</v>
      </c>
      <c r="BV82" s="6" t="n">
        <v>10000</v>
      </c>
      <c r="BW82" s="6" t="n">
        <v>10000</v>
      </c>
      <c r="BX82" s="6" t="n">
        <v>10000</v>
      </c>
      <c r="BY82" s="6" t="n">
        <v>10000</v>
      </c>
      <c r="BZ82" s="6" t="n">
        <v>10000</v>
      </c>
      <c r="CA82" s="6" t="n">
        <v>10000</v>
      </c>
      <c r="CB82" s="6" t="n">
        <v>10000</v>
      </c>
      <c r="CC82" s="6" t="n">
        <v>10000</v>
      </c>
      <c r="CD82" s="6" t="n">
        <v>10000</v>
      </c>
      <c r="CE82" s="6" t="n">
        <v>10000</v>
      </c>
      <c r="CF82" s="6" t="n">
        <v>10000</v>
      </c>
      <c r="CG82" s="6" t="n">
        <v>10000</v>
      </c>
      <c r="CH82" s="6" t="n">
        <v>10000</v>
      </c>
      <c r="CI82" s="6" t="n">
        <v>10000</v>
      </c>
      <c r="CJ82" s="6" t="n">
        <v>10000</v>
      </c>
      <c r="CK82" s="6" t="n">
        <v>10000</v>
      </c>
      <c r="CL82" s="6" t="n">
        <v>10000</v>
      </c>
      <c r="CM82" s="6" t="n">
        <v>10000</v>
      </c>
      <c r="CN82" s="6" t="n">
        <v>10000</v>
      </c>
      <c r="CO82" s="6" t="n">
        <v>10000</v>
      </c>
      <c r="CP82" s="6" t="n">
        <v>10000</v>
      </c>
      <c r="CQ82" s="6" t="n">
        <v>10000</v>
      </c>
      <c r="CR82" s="6" t="n">
        <v>10000</v>
      </c>
      <c r="CS82" s="6" t="n">
        <v>10000</v>
      </c>
      <c r="CT82" s="6" t="n">
        <v>10000</v>
      </c>
      <c r="CU82" s="6" t="n">
        <v>10000</v>
      </c>
      <c r="CV82" s="6" t="n">
        <v>10000</v>
      </c>
      <c r="CW82" s="6" t="n">
        <v>10000</v>
      </c>
      <c r="CX82" s="6" t="n">
        <v>10000</v>
      </c>
      <c r="CY82" s="6" t="n">
        <v>10000</v>
      </c>
      <c r="CZ82" s="6" t="n">
        <v>10000</v>
      </c>
      <c r="DA82" s="6" t="n">
        <v>10000</v>
      </c>
      <c r="DB82" s="6" t="n">
        <v>10000</v>
      </c>
      <c r="DC82" s="6" t="n">
        <v>10000</v>
      </c>
      <c r="DD82" s="6" t="n">
        <v>10000</v>
      </c>
      <c r="DE82" s="6" t="n">
        <v>10000</v>
      </c>
      <c r="DF82" s="6" t="n">
        <v>10000</v>
      </c>
      <c r="DG82" s="6" t="n">
        <v>10000</v>
      </c>
      <c r="DH82" s="6" t="n">
        <v>10000</v>
      </c>
      <c r="DI82" s="6" t="n">
        <v>10000</v>
      </c>
      <c r="DJ82" s="6" t="n">
        <v>10000</v>
      </c>
      <c r="DK82" s="6" t="n">
        <v>10000</v>
      </c>
      <c r="DL82" s="6" t="n">
        <v>10000</v>
      </c>
      <c r="DM82" s="6" t="n">
        <v>10000</v>
      </c>
      <c r="DN82" s="6" t="n">
        <v>10000</v>
      </c>
      <c r="DO82" s="6" t="n">
        <v>10000</v>
      </c>
      <c r="DP82" s="6" t="n">
        <v>10000</v>
      </c>
      <c r="DQ82" s="6" t="n">
        <v>10000</v>
      </c>
      <c r="DR82" s="6" t="n">
        <v>10000</v>
      </c>
      <c r="DS82" s="6" t="n">
        <v>10000</v>
      </c>
      <c r="DT82" s="6" t="n">
        <v>10000</v>
      </c>
      <c r="DU82" s="6" t="n">
        <v>10000</v>
      </c>
      <c r="DV82" s="6" t="n">
        <v>10000</v>
      </c>
      <c r="DW82" s="6" t="n">
        <v>10000</v>
      </c>
      <c r="DX82" s="6" t="n">
        <v>10000</v>
      </c>
      <c r="DY82" s="6" t="n">
        <v>10000</v>
      </c>
      <c r="DZ82" s="6" t="n">
        <v>10000</v>
      </c>
      <c r="EA82" s="6" t="n">
        <v>4870</v>
      </c>
      <c r="EB82" s="6" t="n">
        <v>3700</v>
      </c>
      <c r="EC82" s="6" t="n">
        <v>2820</v>
      </c>
      <c r="ED82" s="6" t="n">
        <v>2500</v>
      </c>
      <c r="EE82" s="6" t="n">
        <v>2900</v>
      </c>
      <c r="EF82" s="6" t="n">
        <v>3452</v>
      </c>
      <c r="EG82" s="6" t="n">
        <v>2755</v>
      </c>
      <c r="EH82" s="6" t="n">
        <v>2789</v>
      </c>
      <c r="EI82" s="6" t="n">
        <v>3217</v>
      </c>
      <c r="EJ82" s="6" t="n">
        <v>3303</v>
      </c>
      <c r="EK82" s="6" t="n">
        <v>2799</v>
      </c>
      <c r="EL82" s="6" t="n">
        <v>3209</v>
      </c>
      <c r="EM82" s="6" t="n">
        <v>2799</v>
      </c>
      <c r="EN82" s="6" t="n">
        <v>2940</v>
      </c>
      <c r="EO82" s="6" t="n">
        <v>2792</v>
      </c>
      <c r="EP82" s="6" t="n">
        <v>3206</v>
      </c>
      <c r="EQ82" s="6" t="n">
        <v>2755</v>
      </c>
      <c r="ER82" s="6" t="n">
        <v>2754</v>
      </c>
      <c r="ES82" s="6" t="n">
        <v>2610</v>
      </c>
      <c r="ET82" s="6" t="n">
        <v>2642</v>
      </c>
      <c r="EU82" s="6" t="n">
        <v>2994</v>
      </c>
      <c r="EV82" s="6" t="n">
        <v>3296</v>
      </c>
      <c r="EW82" s="6" t="n">
        <v>3511</v>
      </c>
      <c r="EX82" s="6" t="n">
        <v>3511</v>
      </c>
      <c r="EY82" s="6" t="n">
        <v>3569</v>
      </c>
      <c r="EZ82" s="6" t="n">
        <v>3810</v>
      </c>
      <c r="FA82" s="6" t="n">
        <v>3966</v>
      </c>
      <c r="FB82" s="6" t="n">
        <v>5230</v>
      </c>
      <c r="FC82" s="6" t="n">
        <v>6000</v>
      </c>
      <c r="FD82" s="6" t="n">
        <v>5570</v>
      </c>
      <c r="FE82" s="6" t="n">
        <v>4251</v>
      </c>
      <c r="FF82" s="6" t="n">
        <v>4451</v>
      </c>
      <c r="FG82" s="6" t="n">
        <v>9501</v>
      </c>
      <c r="FH82" s="6" t="n">
        <v>10000</v>
      </c>
      <c r="FI82" s="6" t="n">
        <v>10000</v>
      </c>
      <c r="FJ82" s="6" t="n">
        <v>10000</v>
      </c>
      <c r="FK82" s="6" t="n">
        <v>10000</v>
      </c>
      <c r="FL82" s="6" t="n">
        <v>10000</v>
      </c>
      <c r="FM82" s="6" t="n">
        <v>10000</v>
      </c>
      <c r="FN82" s="6" t="n">
        <v>10000</v>
      </c>
      <c r="FO82" s="6" t="n">
        <v>10000</v>
      </c>
      <c r="FP82" s="6" t="n">
        <v>10000</v>
      </c>
      <c r="FQ82" s="6" t="n">
        <v>10000</v>
      </c>
      <c r="FR82" s="6" t="n">
        <v>10000</v>
      </c>
      <c r="FS82" s="6" t="n">
        <v>10000</v>
      </c>
      <c r="FT82" s="6" t="n">
        <v>10000</v>
      </c>
      <c r="FU82" s="6" t="n">
        <v>10000</v>
      </c>
      <c r="FV82" s="6" t="n">
        <v>10000</v>
      </c>
      <c r="FW82" s="6" t="n">
        <v>10000</v>
      </c>
      <c r="FX82" s="6" t="n">
        <v>10000</v>
      </c>
      <c r="FY82" s="6" t="n">
        <v>10000</v>
      </c>
      <c r="FZ82" s="6" t="n">
        <v>10000</v>
      </c>
      <c r="GA82" s="6" t="n">
        <v>10000</v>
      </c>
      <c r="GB82" s="6" t="n">
        <v>10000</v>
      </c>
      <c r="GC82" s="6" t="n">
        <v>10000</v>
      </c>
      <c r="GD82" s="6" t="n">
        <v>10000</v>
      </c>
      <c r="GE82" s="6" t="n">
        <v>10000</v>
      </c>
      <c r="GF82" s="6" t="n">
        <v>10000</v>
      </c>
      <c r="GG82" s="6" t="n">
        <v>10000</v>
      </c>
      <c r="GH82" s="6" t="n">
        <v>10000</v>
      </c>
      <c r="GI82" s="6" t="n">
        <v>10000</v>
      </c>
      <c r="GJ82" s="6" t="n">
        <v>10000</v>
      </c>
      <c r="GK82" s="6" t="n">
        <v>10000</v>
      </c>
      <c r="GL82" s="6" t="n">
        <v>10000</v>
      </c>
    </row>
    <row r="83">
      <c r="A83" s="6" t="inlineStr">
        <is>
          <t>RTM</t>
        </is>
      </c>
      <c r="B83" s="6" t="n">
        <v>20</v>
      </c>
      <c r="C83" s="6" t="n">
        <v>10000</v>
      </c>
      <c r="D83" s="6" t="n">
        <v>10000</v>
      </c>
      <c r="E83" s="6" t="n">
        <v>10000</v>
      </c>
      <c r="F83" s="6" t="n">
        <v>10000</v>
      </c>
      <c r="G83" s="6" t="n">
        <v>10000</v>
      </c>
      <c r="H83" s="6" t="n">
        <v>10000</v>
      </c>
      <c r="I83" s="6" t="n">
        <v>10000</v>
      </c>
      <c r="J83" s="6" t="n">
        <v>10000</v>
      </c>
      <c r="K83" s="6" t="n">
        <v>10000</v>
      </c>
      <c r="L83" s="6" t="n">
        <v>10000</v>
      </c>
      <c r="M83" s="6" t="n">
        <v>10000</v>
      </c>
      <c r="N83" s="6" t="n">
        <v>10000</v>
      </c>
      <c r="O83" s="6" t="n">
        <v>10000</v>
      </c>
      <c r="P83" s="6" t="n">
        <v>10000</v>
      </c>
      <c r="Q83" s="6" t="n">
        <v>10000</v>
      </c>
      <c r="R83" s="6" t="n">
        <v>10000</v>
      </c>
      <c r="S83" s="6" t="n">
        <v>10000</v>
      </c>
      <c r="T83" s="6" t="n">
        <v>10000</v>
      </c>
      <c r="U83" s="6" t="n">
        <v>10000</v>
      </c>
      <c r="V83" s="6" t="n">
        <v>10000</v>
      </c>
      <c r="W83" s="6" t="n">
        <v>10000</v>
      </c>
      <c r="X83" s="6" t="n">
        <v>10000</v>
      </c>
      <c r="Y83" s="6" t="n">
        <v>10000</v>
      </c>
      <c r="Z83" s="6" t="n">
        <v>10000</v>
      </c>
      <c r="AA83" s="6" t="n">
        <v>10000</v>
      </c>
      <c r="AB83" s="6" t="n">
        <v>10000</v>
      </c>
      <c r="AC83" s="6" t="n">
        <v>10000</v>
      </c>
      <c r="AD83" s="6" t="n">
        <v>10000</v>
      </c>
      <c r="AE83" s="6" t="n">
        <v>10000</v>
      </c>
      <c r="AF83" s="6" t="n">
        <v>10000</v>
      </c>
      <c r="AG83" s="6" t="n">
        <v>10000</v>
      </c>
      <c r="AH83" s="6" t="n">
        <v>10000</v>
      </c>
      <c r="AI83" s="6" t="n">
        <v>2810</v>
      </c>
      <c r="AJ83" s="6" t="n">
        <v>1562</v>
      </c>
      <c r="AK83" s="6" t="n">
        <v>2898</v>
      </c>
      <c r="AL83" s="6" t="n">
        <v>3000</v>
      </c>
      <c r="AM83" s="6" t="n">
        <v>3101</v>
      </c>
      <c r="AN83" s="6" t="n">
        <v>3000</v>
      </c>
      <c r="AO83" s="6" t="n">
        <v>2999</v>
      </c>
      <c r="AP83" s="6" t="n">
        <v>2810</v>
      </c>
      <c r="AQ83" s="6" t="n">
        <v>2799</v>
      </c>
      <c r="AR83" s="6" t="n">
        <v>2789</v>
      </c>
      <c r="AS83" s="6" t="n">
        <v>3499</v>
      </c>
      <c r="AT83" s="6" t="n">
        <v>3499</v>
      </c>
      <c r="AU83" s="6" t="n">
        <v>2790</v>
      </c>
      <c r="AV83" s="6" t="n">
        <v>2642</v>
      </c>
      <c r="AW83" s="6" t="n">
        <v>2755</v>
      </c>
      <c r="AX83" s="6" t="n">
        <v>2737</v>
      </c>
      <c r="AY83" s="6" t="n">
        <v>2100</v>
      </c>
      <c r="AZ83" s="6" t="n">
        <v>2200</v>
      </c>
      <c r="BA83" s="6" t="n">
        <v>3955</v>
      </c>
      <c r="BB83" s="6" t="n">
        <v>3934</v>
      </c>
      <c r="BC83" s="6" t="n">
        <v>1618</v>
      </c>
      <c r="BD83" s="6" t="n">
        <v>1617</v>
      </c>
      <c r="BE83" s="6" t="n">
        <v>2605</v>
      </c>
      <c r="BF83" s="6" t="n">
        <v>2993</v>
      </c>
      <c r="BG83" s="6" t="n">
        <v>3011</v>
      </c>
      <c r="BH83" s="6" t="n">
        <v>3440</v>
      </c>
      <c r="BI83" s="6" t="n">
        <v>2493</v>
      </c>
      <c r="BJ83" s="6" t="n">
        <v>2798</v>
      </c>
      <c r="BK83" s="6" t="n">
        <v>3474</v>
      </c>
      <c r="BL83" s="6" t="n">
        <v>3491</v>
      </c>
      <c r="BM83" s="6" t="n">
        <v>4001</v>
      </c>
      <c r="BN83" s="6" t="n">
        <v>4349</v>
      </c>
      <c r="BO83" s="6" t="n">
        <v>4091</v>
      </c>
      <c r="BP83" s="6" t="n">
        <v>4213</v>
      </c>
      <c r="BQ83" s="6" t="n">
        <v>4266</v>
      </c>
      <c r="BR83" s="6" t="n">
        <v>10000</v>
      </c>
      <c r="BS83" s="6" t="n">
        <v>10000</v>
      </c>
      <c r="BT83" s="6" t="n">
        <v>10000</v>
      </c>
      <c r="BU83" s="6" t="n">
        <v>10000</v>
      </c>
      <c r="BV83" s="6" t="n">
        <v>10000</v>
      </c>
      <c r="BW83" s="6" t="n">
        <v>10000</v>
      </c>
      <c r="BX83" s="6" t="n">
        <v>10000</v>
      </c>
      <c r="BY83" s="6" t="n">
        <v>10000</v>
      </c>
      <c r="BZ83" s="6" t="n">
        <v>10000</v>
      </c>
      <c r="CA83" s="6" t="n">
        <v>10000</v>
      </c>
      <c r="CB83" s="6" t="n">
        <v>10000</v>
      </c>
      <c r="CC83" s="6" t="n">
        <v>10000</v>
      </c>
      <c r="CD83" s="6" t="n">
        <v>10000</v>
      </c>
      <c r="CE83" s="6" t="n">
        <v>10000</v>
      </c>
      <c r="CF83" s="6" t="n">
        <v>10000</v>
      </c>
      <c r="CG83" s="6" t="n">
        <v>10000</v>
      </c>
      <c r="CH83" s="6" t="n">
        <v>10000</v>
      </c>
      <c r="CI83" s="6" t="n">
        <v>10000</v>
      </c>
      <c r="CJ83" s="6" t="n">
        <v>10000</v>
      </c>
      <c r="CK83" s="6" t="n">
        <v>10000</v>
      </c>
      <c r="CL83" s="6" t="n">
        <v>10000</v>
      </c>
      <c r="CM83" s="6" t="n">
        <v>10000</v>
      </c>
      <c r="CN83" s="6" t="n">
        <v>10000</v>
      </c>
      <c r="CO83" s="6" t="n">
        <v>10000</v>
      </c>
      <c r="CP83" s="6" t="n">
        <v>10000</v>
      </c>
      <c r="CQ83" s="6" t="n">
        <v>10000</v>
      </c>
      <c r="CR83" s="6" t="n">
        <v>10000</v>
      </c>
      <c r="CS83" s="6" t="n">
        <v>10000</v>
      </c>
      <c r="CT83" s="6" t="n">
        <v>10000</v>
      </c>
      <c r="CU83" s="6" t="n">
        <v>10000</v>
      </c>
      <c r="CV83" s="6" t="n">
        <v>10000</v>
      </c>
      <c r="CW83" s="6" t="n">
        <v>10000</v>
      </c>
      <c r="CX83" s="6" t="n">
        <v>10000</v>
      </c>
      <c r="CY83" s="6" t="n">
        <v>10000</v>
      </c>
      <c r="CZ83" s="6" t="n">
        <v>10000</v>
      </c>
      <c r="DA83" s="6" t="n">
        <v>10000</v>
      </c>
      <c r="DB83" s="6" t="n">
        <v>10000</v>
      </c>
      <c r="DC83" s="6" t="n">
        <v>10000</v>
      </c>
      <c r="DD83" s="6" t="n">
        <v>10000</v>
      </c>
      <c r="DE83" s="6" t="n">
        <v>10000</v>
      </c>
      <c r="DF83" s="6" t="n">
        <v>10000</v>
      </c>
      <c r="DG83" s="6" t="n">
        <v>10000</v>
      </c>
      <c r="DH83" s="6" t="n">
        <v>10000</v>
      </c>
      <c r="DI83" s="6" t="n">
        <v>10000</v>
      </c>
      <c r="DJ83" s="6" t="n">
        <v>10000</v>
      </c>
      <c r="DK83" s="6" t="n">
        <v>10000</v>
      </c>
      <c r="DL83" s="6" t="n">
        <v>10000</v>
      </c>
      <c r="DM83" s="6" t="n">
        <v>10000</v>
      </c>
      <c r="DN83" s="6" t="n">
        <v>10000</v>
      </c>
      <c r="DO83" s="6" t="n">
        <v>10000</v>
      </c>
      <c r="DP83" s="6" t="n">
        <v>10000</v>
      </c>
      <c r="DQ83" s="6" t="n">
        <v>10000</v>
      </c>
      <c r="DR83" s="6" t="n">
        <v>10000</v>
      </c>
      <c r="DS83" s="6" t="n">
        <v>10000</v>
      </c>
      <c r="DT83" s="6" t="n">
        <v>10000</v>
      </c>
      <c r="DU83" s="6" t="n">
        <v>10000</v>
      </c>
      <c r="DV83" s="6" t="n">
        <v>10000</v>
      </c>
      <c r="DW83" s="6" t="n">
        <v>10000</v>
      </c>
      <c r="DX83" s="6" t="n">
        <v>10000</v>
      </c>
      <c r="DY83" s="6" t="n">
        <v>10000</v>
      </c>
      <c r="DZ83" s="6" t="n">
        <v>10000</v>
      </c>
      <c r="EA83" s="6" t="n">
        <v>2810</v>
      </c>
      <c r="EB83" s="6" t="n">
        <v>1562</v>
      </c>
      <c r="EC83" s="6" t="n">
        <v>2898</v>
      </c>
      <c r="ED83" s="6" t="n">
        <v>3000</v>
      </c>
      <c r="EE83" s="6" t="n">
        <v>3101</v>
      </c>
      <c r="EF83" s="6" t="n">
        <v>3000</v>
      </c>
      <c r="EG83" s="6" t="n">
        <v>2999</v>
      </c>
      <c r="EH83" s="6" t="n">
        <v>2810</v>
      </c>
      <c r="EI83" s="6" t="n">
        <v>2799</v>
      </c>
      <c r="EJ83" s="6" t="n">
        <v>2789</v>
      </c>
      <c r="EK83" s="6" t="n">
        <v>3499</v>
      </c>
      <c r="EL83" s="6" t="n">
        <v>3499</v>
      </c>
      <c r="EM83" s="6" t="n">
        <v>2790</v>
      </c>
      <c r="EN83" s="6" t="n">
        <v>2642</v>
      </c>
      <c r="EO83" s="6" t="n">
        <v>2755</v>
      </c>
      <c r="EP83" s="6" t="n">
        <v>2737</v>
      </c>
      <c r="EQ83" s="6" t="n">
        <v>2100</v>
      </c>
      <c r="ER83" s="6" t="n">
        <v>2200</v>
      </c>
      <c r="ES83" s="6" t="n">
        <v>3955</v>
      </c>
      <c r="ET83" s="6" t="n">
        <v>3934</v>
      </c>
      <c r="EU83" s="6" t="n">
        <v>1618</v>
      </c>
      <c r="EV83" s="6" t="n">
        <v>1617</v>
      </c>
      <c r="EW83" s="6" t="n">
        <v>2605</v>
      </c>
      <c r="EX83" s="6" t="n">
        <v>2993</v>
      </c>
      <c r="EY83" s="6" t="n">
        <v>3011</v>
      </c>
      <c r="EZ83" s="6" t="n">
        <v>3440</v>
      </c>
      <c r="FA83" s="6" t="n">
        <v>2493</v>
      </c>
      <c r="FB83" s="6" t="n">
        <v>2798</v>
      </c>
      <c r="FC83" s="6" t="n">
        <v>3474</v>
      </c>
      <c r="FD83" s="6" t="n">
        <v>3491</v>
      </c>
      <c r="FE83" s="6" t="n">
        <v>4001</v>
      </c>
      <c r="FF83" s="6" t="n">
        <v>4349</v>
      </c>
      <c r="FG83" s="6" t="n">
        <v>4091</v>
      </c>
      <c r="FH83" s="6" t="n">
        <v>4213</v>
      </c>
      <c r="FI83" s="6" t="n">
        <v>4266</v>
      </c>
      <c r="FJ83" s="6" t="n">
        <v>10000</v>
      </c>
      <c r="FK83" s="6" t="n">
        <v>10000</v>
      </c>
      <c r="FL83" s="6" t="n">
        <v>10000</v>
      </c>
      <c r="FM83" s="6" t="n">
        <v>10000</v>
      </c>
      <c r="FN83" s="6" t="n">
        <v>10000</v>
      </c>
      <c r="FO83" s="6" t="n">
        <v>10000</v>
      </c>
      <c r="FP83" s="6" t="n">
        <v>10000</v>
      </c>
      <c r="FQ83" s="6" t="n">
        <v>10000</v>
      </c>
      <c r="FR83" s="6" t="n">
        <v>10000</v>
      </c>
      <c r="FS83" s="6" t="n">
        <v>10000</v>
      </c>
      <c r="FT83" s="6" t="n">
        <v>10000</v>
      </c>
      <c r="FU83" s="6" t="n">
        <v>10000</v>
      </c>
      <c r="FV83" s="6" t="n">
        <v>10000</v>
      </c>
      <c r="FW83" s="6" t="n">
        <v>10000</v>
      </c>
      <c r="FX83" s="6" t="n">
        <v>10000</v>
      </c>
      <c r="FY83" s="6" t="n">
        <v>10000</v>
      </c>
      <c r="FZ83" s="6" t="n">
        <v>10000</v>
      </c>
      <c r="GA83" s="6" t="n">
        <v>10000</v>
      </c>
      <c r="GB83" s="6" t="n">
        <v>10000</v>
      </c>
      <c r="GC83" s="6" t="n">
        <v>10000</v>
      </c>
      <c r="GD83" s="6" t="n">
        <v>10000</v>
      </c>
      <c r="GE83" s="6" t="n">
        <v>10000</v>
      </c>
      <c r="GF83" s="6" t="n">
        <v>10000</v>
      </c>
      <c r="GG83" s="6" t="n">
        <v>10000</v>
      </c>
      <c r="GH83" s="6" t="n">
        <v>10000</v>
      </c>
      <c r="GI83" s="6" t="n">
        <v>10000</v>
      </c>
      <c r="GJ83" s="6" t="n">
        <v>10000</v>
      </c>
      <c r="GK83" s="6" t="n">
        <v>10000</v>
      </c>
      <c r="GL83" s="6" t="n">
        <v>10000</v>
      </c>
    </row>
    <row r="84">
      <c r="A84" s="6" t="inlineStr">
        <is>
          <t>RTM</t>
        </is>
      </c>
      <c r="B84" s="6" t="n">
        <v>21</v>
      </c>
      <c r="C84" s="6" t="n">
        <v>10000</v>
      </c>
      <c r="D84" s="6" t="n">
        <v>10000</v>
      </c>
      <c r="E84" s="6" t="n">
        <v>10000</v>
      </c>
      <c r="F84" s="6" t="n">
        <v>10000</v>
      </c>
      <c r="G84" s="6" t="n">
        <v>10000</v>
      </c>
      <c r="H84" s="6" t="n">
        <v>10000</v>
      </c>
      <c r="I84" s="6" t="n">
        <v>10000</v>
      </c>
      <c r="J84" s="6" t="n">
        <v>10000</v>
      </c>
      <c r="K84" s="6" t="n">
        <v>10000</v>
      </c>
      <c r="L84" s="6" t="n">
        <v>10000</v>
      </c>
      <c r="M84" s="6" t="n">
        <v>10000</v>
      </c>
      <c r="N84" s="6" t="n">
        <v>10000</v>
      </c>
      <c r="O84" s="6" t="n">
        <v>10000</v>
      </c>
      <c r="P84" s="6" t="n">
        <v>10000</v>
      </c>
      <c r="Q84" s="6" t="n">
        <v>10000</v>
      </c>
      <c r="R84" s="6" t="n">
        <v>10000</v>
      </c>
      <c r="S84" s="6" t="n">
        <v>10000</v>
      </c>
      <c r="T84" s="6" t="n">
        <v>10000</v>
      </c>
      <c r="U84" s="6" t="n">
        <v>10000</v>
      </c>
      <c r="V84" s="6" t="n">
        <v>10000</v>
      </c>
      <c r="W84" s="6" t="n">
        <v>10000</v>
      </c>
      <c r="X84" s="6" t="n">
        <v>10000</v>
      </c>
      <c r="Y84" s="6" t="n">
        <v>10000</v>
      </c>
      <c r="Z84" s="6" t="n">
        <v>10000</v>
      </c>
      <c r="AA84" s="6" t="n">
        <v>10000</v>
      </c>
      <c r="AB84" s="6" t="n">
        <v>10000</v>
      </c>
      <c r="AC84" s="6" t="n">
        <v>10000</v>
      </c>
      <c r="AD84" s="6" t="n">
        <v>10000</v>
      </c>
      <c r="AE84" s="6" t="n">
        <v>10000</v>
      </c>
      <c r="AF84" s="6" t="n">
        <v>10000</v>
      </c>
      <c r="AG84" s="6" t="n">
        <v>10000</v>
      </c>
      <c r="AH84" s="6" t="n">
        <v>10000</v>
      </c>
      <c r="AI84" s="6" t="n">
        <v>4000</v>
      </c>
      <c r="AJ84" s="6" t="n">
        <v>3781</v>
      </c>
      <c r="AK84" s="6" t="n">
        <v>2738</v>
      </c>
      <c r="AL84" s="6" t="n">
        <v>2801</v>
      </c>
      <c r="AM84" s="6" t="n">
        <v>2870</v>
      </c>
      <c r="AN84" s="6" t="n">
        <v>2890</v>
      </c>
      <c r="AO84" s="6" t="n">
        <v>2765</v>
      </c>
      <c r="AP84" s="6" t="n">
        <v>2789</v>
      </c>
      <c r="AQ84" s="6" t="n">
        <v>2402</v>
      </c>
      <c r="AR84" s="6" t="n">
        <v>2466</v>
      </c>
      <c r="AS84" s="6" t="n">
        <v>1618</v>
      </c>
      <c r="AT84" s="6" t="n">
        <v>1618</v>
      </c>
      <c r="AU84" s="6" t="n">
        <v>2341</v>
      </c>
      <c r="AV84" s="6" t="n">
        <v>2618</v>
      </c>
      <c r="AW84" s="6" t="n">
        <v>2609</v>
      </c>
      <c r="AX84" s="6" t="n">
        <v>2605</v>
      </c>
      <c r="AY84" s="6" t="n">
        <v>2754</v>
      </c>
      <c r="AZ84" s="6" t="n">
        <v>3013</v>
      </c>
      <c r="BA84" s="6" t="n">
        <v>2971</v>
      </c>
      <c r="BB84" s="6" t="n">
        <v>2738</v>
      </c>
      <c r="BC84" s="6" t="n">
        <v>2380</v>
      </c>
      <c r="BD84" s="6" t="n">
        <v>2738</v>
      </c>
      <c r="BE84" s="6" t="n">
        <v>3498</v>
      </c>
      <c r="BF84" s="6" t="n">
        <v>3500</v>
      </c>
      <c r="BG84" s="6" t="n">
        <v>3484</v>
      </c>
      <c r="BH84" s="6" t="n">
        <v>3484</v>
      </c>
      <c r="BI84" s="6" t="n">
        <v>3311</v>
      </c>
      <c r="BJ84" s="6" t="n">
        <v>3650</v>
      </c>
      <c r="BK84" s="6" t="n">
        <v>5501</v>
      </c>
      <c r="BL84" s="6" t="n">
        <v>5882</v>
      </c>
      <c r="BM84" s="6" t="n">
        <v>9499</v>
      </c>
      <c r="BN84" s="6" t="n">
        <v>8001</v>
      </c>
      <c r="BO84" s="6" t="n">
        <v>10000</v>
      </c>
      <c r="BP84" s="6" t="n">
        <v>10000</v>
      </c>
      <c r="BQ84" s="6" t="n">
        <v>10000</v>
      </c>
      <c r="BR84" s="6" t="n">
        <v>10000</v>
      </c>
      <c r="BS84" s="6" t="n">
        <v>10000</v>
      </c>
      <c r="BT84" s="6" t="n">
        <v>10000</v>
      </c>
      <c r="BU84" s="6" t="n">
        <v>10000</v>
      </c>
      <c r="BV84" s="6" t="n">
        <v>10000</v>
      </c>
      <c r="BW84" s="6" t="n">
        <v>10000</v>
      </c>
      <c r="BX84" s="6" t="n">
        <v>10000</v>
      </c>
      <c r="BY84" s="6" t="n">
        <v>10000</v>
      </c>
      <c r="BZ84" s="6" t="n">
        <v>10000</v>
      </c>
      <c r="CA84" s="6" t="n">
        <v>10000</v>
      </c>
      <c r="CB84" s="6" t="n">
        <v>10000</v>
      </c>
      <c r="CC84" s="6" t="n">
        <v>10000</v>
      </c>
      <c r="CD84" s="6" t="n">
        <v>10000</v>
      </c>
      <c r="CE84" s="6" t="n">
        <v>10000</v>
      </c>
      <c r="CF84" s="6" t="n">
        <v>10000</v>
      </c>
      <c r="CG84" s="6" t="n">
        <v>10000</v>
      </c>
      <c r="CH84" s="6" t="n">
        <v>10000</v>
      </c>
      <c r="CI84" s="6" t="n">
        <v>10000</v>
      </c>
      <c r="CJ84" s="6" t="n">
        <v>10000</v>
      </c>
      <c r="CK84" s="6" t="n">
        <v>10000</v>
      </c>
      <c r="CL84" s="6" t="n">
        <v>10000</v>
      </c>
      <c r="CM84" s="6" t="n">
        <v>10000</v>
      </c>
      <c r="CN84" s="6" t="n">
        <v>10000</v>
      </c>
      <c r="CO84" s="6" t="n">
        <v>10000</v>
      </c>
      <c r="CP84" s="6" t="n">
        <v>10000</v>
      </c>
      <c r="CQ84" s="6" t="n">
        <v>10000</v>
      </c>
      <c r="CR84" s="6" t="n">
        <v>10000</v>
      </c>
      <c r="CS84" s="6" t="n">
        <v>10000</v>
      </c>
      <c r="CT84" s="6" t="n">
        <v>10000</v>
      </c>
      <c r="CU84" s="6" t="n">
        <v>10000</v>
      </c>
      <c r="CV84" s="6" t="n">
        <v>10000</v>
      </c>
      <c r="CW84" s="6" t="n">
        <v>10000</v>
      </c>
      <c r="CX84" s="6" t="n">
        <v>10000</v>
      </c>
      <c r="CY84" s="6" t="n">
        <v>10000</v>
      </c>
      <c r="CZ84" s="6" t="n">
        <v>10000</v>
      </c>
      <c r="DA84" s="6" t="n">
        <v>10000</v>
      </c>
      <c r="DB84" s="6" t="n">
        <v>10000</v>
      </c>
      <c r="DC84" s="6" t="n">
        <v>10000</v>
      </c>
      <c r="DD84" s="6" t="n">
        <v>10000</v>
      </c>
      <c r="DE84" s="6" t="n">
        <v>10000</v>
      </c>
      <c r="DF84" s="6" t="n">
        <v>10000</v>
      </c>
      <c r="DG84" s="6" t="n">
        <v>10000</v>
      </c>
      <c r="DH84" s="6" t="n">
        <v>10000</v>
      </c>
      <c r="DI84" s="6" t="n">
        <v>10000</v>
      </c>
      <c r="DJ84" s="6" t="n">
        <v>10000</v>
      </c>
      <c r="DK84" s="6" t="n">
        <v>10000</v>
      </c>
      <c r="DL84" s="6" t="n">
        <v>10000</v>
      </c>
      <c r="DM84" s="6" t="n">
        <v>10000</v>
      </c>
      <c r="DN84" s="6" t="n">
        <v>10000</v>
      </c>
      <c r="DO84" s="6" t="n">
        <v>10000</v>
      </c>
      <c r="DP84" s="6" t="n">
        <v>10000</v>
      </c>
      <c r="DQ84" s="6" t="n">
        <v>10000</v>
      </c>
      <c r="DR84" s="6" t="n">
        <v>10000</v>
      </c>
      <c r="DS84" s="6" t="n">
        <v>10000</v>
      </c>
      <c r="DT84" s="6" t="n">
        <v>10000</v>
      </c>
      <c r="DU84" s="6" t="n">
        <v>10000</v>
      </c>
      <c r="DV84" s="6" t="n">
        <v>10000</v>
      </c>
      <c r="DW84" s="6" t="n">
        <v>10000</v>
      </c>
      <c r="DX84" s="6" t="n">
        <v>10000</v>
      </c>
      <c r="DY84" s="6" t="n">
        <v>10000</v>
      </c>
      <c r="DZ84" s="6" t="n">
        <v>10000</v>
      </c>
      <c r="EA84" s="6" t="n">
        <v>4000</v>
      </c>
      <c r="EB84" s="6" t="n">
        <v>3781</v>
      </c>
      <c r="EC84" s="6" t="n">
        <v>2738</v>
      </c>
      <c r="ED84" s="6" t="n">
        <v>2801</v>
      </c>
      <c r="EE84" s="6" t="n">
        <v>2870</v>
      </c>
      <c r="EF84" s="6" t="n">
        <v>2890</v>
      </c>
      <c r="EG84" s="6" t="n">
        <v>2765</v>
      </c>
      <c r="EH84" s="6" t="n">
        <v>2789</v>
      </c>
      <c r="EI84" s="6" t="n">
        <v>2402</v>
      </c>
      <c r="EJ84" s="6" t="n">
        <v>2466</v>
      </c>
      <c r="EK84" s="6" t="n">
        <v>1618</v>
      </c>
      <c r="EL84" s="6" t="n">
        <v>1618</v>
      </c>
      <c r="EM84" s="6" t="n">
        <v>2341</v>
      </c>
      <c r="EN84" s="6" t="n">
        <v>2618</v>
      </c>
      <c r="EO84" s="6" t="n">
        <v>2609</v>
      </c>
      <c r="EP84" s="6" t="n">
        <v>2605</v>
      </c>
      <c r="EQ84" s="6" t="n">
        <v>2754</v>
      </c>
      <c r="ER84" s="6" t="n">
        <v>3013</v>
      </c>
      <c r="ES84" s="6" t="n">
        <v>2971</v>
      </c>
      <c r="ET84" s="6" t="n">
        <v>2738</v>
      </c>
      <c r="EU84" s="6" t="n">
        <v>2380</v>
      </c>
      <c r="EV84" s="6" t="n">
        <v>2738</v>
      </c>
      <c r="EW84" s="6" t="n">
        <v>3498</v>
      </c>
      <c r="EX84" s="6" t="n">
        <v>3500</v>
      </c>
      <c r="EY84" s="6" t="n">
        <v>3484</v>
      </c>
      <c r="EZ84" s="6" t="n">
        <v>3484</v>
      </c>
      <c r="FA84" s="6" t="n">
        <v>3311</v>
      </c>
      <c r="FB84" s="6" t="n">
        <v>3650</v>
      </c>
      <c r="FC84" s="6" t="n">
        <v>5501</v>
      </c>
      <c r="FD84" s="6" t="n">
        <v>5882</v>
      </c>
      <c r="FE84" s="6" t="n">
        <v>9499</v>
      </c>
      <c r="FF84" s="6" t="n">
        <v>8001</v>
      </c>
      <c r="FG84" s="6" t="n">
        <v>10000</v>
      </c>
      <c r="FH84" s="6" t="n">
        <v>10000</v>
      </c>
      <c r="FI84" s="6" t="n">
        <v>10000</v>
      </c>
      <c r="FJ84" s="6" t="n">
        <v>10000</v>
      </c>
      <c r="FK84" s="6" t="n">
        <v>10000</v>
      </c>
      <c r="FL84" s="6" t="n">
        <v>10000</v>
      </c>
      <c r="FM84" s="6" t="n">
        <v>10000</v>
      </c>
      <c r="FN84" s="6" t="n">
        <v>10000</v>
      </c>
      <c r="FO84" s="6" t="n">
        <v>10000</v>
      </c>
      <c r="FP84" s="6" t="n">
        <v>10000</v>
      </c>
      <c r="FQ84" s="6" t="n">
        <v>10000</v>
      </c>
      <c r="FR84" s="6" t="n">
        <v>10000</v>
      </c>
      <c r="FS84" s="6" t="n">
        <v>10000</v>
      </c>
      <c r="FT84" s="6" t="n">
        <v>10000</v>
      </c>
      <c r="FU84" s="6" t="n">
        <v>10000</v>
      </c>
      <c r="FV84" s="6" t="n">
        <v>10000</v>
      </c>
      <c r="FW84" s="6" t="n">
        <v>10000</v>
      </c>
      <c r="FX84" s="6" t="n">
        <v>10000</v>
      </c>
      <c r="FY84" s="6" t="n">
        <v>10000</v>
      </c>
      <c r="FZ84" s="6" t="n">
        <v>10000</v>
      </c>
      <c r="GA84" s="6" t="n">
        <v>10000</v>
      </c>
      <c r="GB84" s="6" t="n">
        <v>10000</v>
      </c>
      <c r="GC84" s="6" t="n">
        <v>10000</v>
      </c>
      <c r="GD84" s="6" t="n">
        <v>10000</v>
      </c>
      <c r="GE84" s="6" t="n">
        <v>10000</v>
      </c>
      <c r="GF84" s="6" t="n">
        <v>10000</v>
      </c>
      <c r="GG84" s="6" t="n">
        <v>10000</v>
      </c>
      <c r="GH84" s="6" t="n">
        <v>10000</v>
      </c>
      <c r="GI84" s="6" t="n">
        <v>10000</v>
      </c>
      <c r="GJ84" s="6" t="n">
        <v>10000</v>
      </c>
      <c r="GK84" s="6" t="n">
        <v>10000</v>
      </c>
      <c r="GL84" s="6" t="n">
        <v>10000</v>
      </c>
    </row>
    <row r="85">
      <c r="A85" s="6" t="inlineStr">
        <is>
          <t>RTM</t>
        </is>
      </c>
      <c r="B85" s="6" t="n">
        <v>22</v>
      </c>
      <c r="C85" s="6" t="n">
        <v>10000</v>
      </c>
      <c r="D85" s="6" t="n">
        <v>10000</v>
      </c>
      <c r="E85" s="6" t="n">
        <v>10000</v>
      </c>
      <c r="F85" s="6" t="n">
        <v>10000</v>
      </c>
      <c r="G85" s="6" t="n">
        <v>10000</v>
      </c>
      <c r="H85" s="6" t="n">
        <v>10000</v>
      </c>
      <c r="I85" s="6" t="n">
        <v>10000</v>
      </c>
      <c r="J85" s="6" t="n">
        <v>10000</v>
      </c>
      <c r="K85" s="6" t="n">
        <v>10000</v>
      </c>
      <c r="L85" s="6" t="n">
        <v>10000</v>
      </c>
      <c r="M85" s="6" t="n">
        <v>10000</v>
      </c>
      <c r="N85" s="6" t="n">
        <v>10000</v>
      </c>
      <c r="O85" s="6" t="n">
        <v>10000</v>
      </c>
      <c r="P85" s="6" t="n">
        <v>10000</v>
      </c>
      <c r="Q85" s="6" t="n">
        <v>10000</v>
      </c>
      <c r="R85" s="6" t="n">
        <v>10000</v>
      </c>
      <c r="S85" s="6" t="n">
        <v>10000</v>
      </c>
      <c r="T85" s="6" t="n">
        <v>10000</v>
      </c>
      <c r="U85" s="6" t="n">
        <v>10000</v>
      </c>
      <c r="V85" s="6" t="n">
        <v>10000</v>
      </c>
      <c r="W85" s="6" t="n">
        <v>10000</v>
      </c>
      <c r="X85" s="6" t="n">
        <v>10000</v>
      </c>
      <c r="Y85" s="6" t="n">
        <v>10000</v>
      </c>
      <c r="Z85" s="6" t="n">
        <v>10000</v>
      </c>
      <c r="AA85" s="6" t="n">
        <v>10000</v>
      </c>
      <c r="AB85" s="6" t="n">
        <v>10000</v>
      </c>
      <c r="AC85" s="6" t="n">
        <v>10000</v>
      </c>
      <c r="AD85" s="6" t="n">
        <v>10000</v>
      </c>
      <c r="AE85" s="6" t="n">
        <v>10000</v>
      </c>
      <c r="AF85" s="6" t="n">
        <v>10000</v>
      </c>
      <c r="AG85" s="6" t="n">
        <v>10000</v>
      </c>
      <c r="AH85" s="6" t="n">
        <v>4819</v>
      </c>
      <c r="AI85" s="6" t="n">
        <v>2521</v>
      </c>
      <c r="AJ85" s="6" t="n">
        <v>2000</v>
      </c>
      <c r="AK85" s="6" t="n">
        <v>372</v>
      </c>
      <c r="AL85" s="6" t="n">
        <v>1000</v>
      </c>
      <c r="AM85" s="6" t="n">
        <v>3446</v>
      </c>
      <c r="AN85" s="6" t="n">
        <v>3360</v>
      </c>
      <c r="AO85" s="6" t="n">
        <v>3220</v>
      </c>
      <c r="AP85" s="6" t="n">
        <v>3101</v>
      </c>
      <c r="AQ85" s="6" t="n">
        <v>2798</v>
      </c>
      <c r="AR85" s="6" t="n">
        <v>2680</v>
      </c>
      <c r="AS85" s="6" t="n">
        <v>2124</v>
      </c>
      <c r="AT85" s="6" t="n">
        <v>2049</v>
      </c>
      <c r="AU85" s="6" t="n">
        <v>2109</v>
      </c>
      <c r="AV85" s="6" t="n">
        <v>2524</v>
      </c>
      <c r="AW85" s="6" t="n">
        <v>2050</v>
      </c>
      <c r="AX85" s="6" t="n">
        <v>2124</v>
      </c>
      <c r="AY85" s="6" t="n">
        <v>1940</v>
      </c>
      <c r="AZ85" s="6" t="n">
        <v>2200</v>
      </c>
      <c r="BA85" s="6" t="n">
        <v>2201</v>
      </c>
      <c r="BB85" s="6" t="n">
        <v>2049</v>
      </c>
      <c r="BC85" s="6" t="n">
        <v>2380</v>
      </c>
      <c r="BD85" s="6" t="n">
        <v>2611</v>
      </c>
      <c r="BE85" s="6" t="n">
        <v>2601</v>
      </c>
      <c r="BF85" s="6" t="n">
        <v>3089</v>
      </c>
      <c r="BG85" s="6" t="n">
        <v>3001</v>
      </c>
      <c r="BH85" s="6" t="n">
        <v>3249</v>
      </c>
      <c r="BI85" s="6" t="n">
        <v>2621</v>
      </c>
      <c r="BJ85" s="6" t="n">
        <v>2389</v>
      </c>
      <c r="BK85" s="6" t="n">
        <v>3200</v>
      </c>
      <c r="BL85" s="6" t="n">
        <v>3051</v>
      </c>
      <c r="BM85" s="6" t="n">
        <v>3000</v>
      </c>
      <c r="BN85" s="6" t="n">
        <v>3000</v>
      </c>
      <c r="BO85" s="6" t="n">
        <v>99</v>
      </c>
      <c r="BP85" s="6" t="n">
        <v>2840</v>
      </c>
      <c r="BQ85" s="6" t="n">
        <v>4600</v>
      </c>
      <c r="BR85" s="6" t="n">
        <v>7000</v>
      </c>
      <c r="BS85" s="6" t="n">
        <v>10000</v>
      </c>
      <c r="BT85" s="6" t="n">
        <v>10000</v>
      </c>
      <c r="BU85" s="6" t="n">
        <v>10000</v>
      </c>
      <c r="BV85" s="6" t="n">
        <v>10000</v>
      </c>
      <c r="BW85" s="6" t="n">
        <v>10000</v>
      </c>
      <c r="BX85" s="6" t="n">
        <v>10000</v>
      </c>
      <c r="BY85" s="6" t="n">
        <v>10000</v>
      </c>
      <c r="BZ85" s="6" t="n">
        <v>10000</v>
      </c>
      <c r="CA85" s="6" t="n">
        <v>10000</v>
      </c>
      <c r="CB85" s="6" t="n">
        <v>10000</v>
      </c>
      <c r="CC85" s="6" t="n">
        <v>10000</v>
      </c>
      <c r="CD85" s="6" t="n">
        <v>10000</v>
      </c>
      <c r="CE85" s="6" t="n">
        <v>10000</v>
      </c>
      <c r="CF85" s="6" t="n">
        <v>10000</v>
      </c>
      <c r="CG85" s="6" t="n">
        <v>10000</v>
      </c>
      <c r="CH85" s="6" t="n">
        <v>10000</v>
      </c>
      <c r="CI85" s="6" t="n">
        <v>10000</v>
      </c>
      <c r="CJ85" s="6" t="n">
        <v>10000</v>
      </c>
      <c r="CK85" s="6" t="n">
        <v>10000</v>
      </c>
      <c r="CL85" s="6" t="n">
        <v>10000</v>
      </c>
      <c r="CM85" s="6" t="n">
        <v>10000</v>
      </c>
      <c r="CN85" s="6" t="n">
        <v>10000</v>
      </c>
      <c r="CO85" s="6" t="n">
        <v>10000</v>
      </c>
      <c r="CP85" s="6" t="n">
        <v>10000</v>
      </c>
      <c r="CQ85" s="6" t="n">
        <v>10000</v>
      </c>
      <c r="CR85" s="6" t="n">
        <v>10000</v>
      </c>
      <c r="CS85" s="6" t="n">
        <v>10000</v>
      </c>
      <c r="CT85" s="6" t="n">
        <v>10000</v>
      </c>
      <c r="CU85" s="6" t="n">
        <v>10000</v>
      </c>
      <c r="CV85" s="6" t="n">
        <v>10000</v>
      </c>
      <c r="CW85" s="6" t="n">
        <v>10000</v>
      </c>
      <c r="CX85" s="6" t="n">
        <v>10000</v>
      </c>
      <c r="CY85" s="6" t="n">
        <v>10000</v>
      </c>
      <c r="CZ85" s="6" t="n">
        <v>10000</v>
      </c>
      <c r="DA85" s="6" t="n">
        <v>10000</v>
      </c>
      <c r="DB85" s="6" t="n">
        <v>10000</v>
      </c>
      <c r="DC85" s="6" t="n">
        <v>10000</v>
      </c>
      <c r="DD85" s="6" t="n">
        <v>10000</v>
      </c>
      <c r="DE85" s="6" t="n">
        <v>10000</v>
      </c>
      <c r="DF85" s="6" t="n">
        <v>10000</v>
      </c>
      <c r="DG85" s="6" t="n">
        <v>10000</v>
      </c>
      <c r="DH85" s="6" t="n">
        <v>10000</v>
      </c>
      <c r="DI85" s="6" t="n">
        <v>10000</v>
      </c>
      <c r="DJ85" s="6" t="n">
        <v>10000</v>
      </c>
      <c r="DK85" s="6" t="n">
        <v>10000</v>
      </c>
      <c r="DL85" s="6" t="n">
        <v>10000</v>
      </c>
      <c r="DM85" s="6" t="n">
        <v>10000</v>
      </c>
      <c r="DN85" s="6" t="n">
        <v>10000</v>
      </c>
      <c r="DO85" s="6" t="n">
        <v>10000</v>
      </c>
      <c r="DP85" s="6" t="n">
        <v>10000</v>
      </c>
      <c r="DQ85" s="6" t="n">
        <v>10000</v>
      </c>
      <c r="DR85" s="6" t="n">
        <v>10000</v>
      </c>
      <c r="DS85" s="6" t="n">
        <v>10000</v>
      </c>
      <c r="DT85" s="6" t="n">
        <v>10000</v>
      </c>
      <c r="DU85" s="6" t="n">
        <v>10000</v>
      </c>
      <c r="DV85" s="6" t="n">
        <v>10000</v>
      </c>
      <c r="DW85" s="6" t="n">
        <v>10000</v>
      </c>
      <c r="DX85" s="6" t="n">
        <v>10000</v>
      </c>
      <c r="DY85" s="6" t="n">
        <v>10000</v>
      </c>
      <c r="DZ85" s="6" t="n">
        <v>4819</v>
      </c>
      <c r="EA85" s="6" t="n">
        <v>2521</v>
      </c>
      <c r="EB85" s="6" t="n">
        <v>2000</v>
      </c>
      <c r="EC85" s="6" t="n">
        <v>372</v>
      </c>
      <c r="ED85" s="6" t="n">
        <v>1000</v>
      </c>
      <c r="EE85" s="6" t="n">
        <v>3446</v>
      </c>
      <c r="EF85" s="6" t="n">
        <v>3360</v>
      </c>
      <c r="EG85" s="6" t="n">
        <v>3220</v>
      </c>
      <c r="EH85" s="6" t="n">
        <v>3101</v>
      </c>
      <c r="EI85" s="6" t="n">
        <v>2798</v>
      </c>
      <c r="EJ85" s="6" t="n">
        <v>2680</v>
      </c>
      <c r="EK85" s="6" t="n">
        <v>2124</v>
      </c>
      <c r="EL85" s="6" t="n">
        <v>2049</v>
      </c>
      <c r="EM85" s="6" t="n">
        <v>2109</v>
      </c>
      <c r="EN85" s="6" t="n">
        <v>2524</v>
      </c>
      <c r="EO85" s="6" t="n">
        <v>2050</v>
      </c>
      <c r="EP85" s="6" t="n">
        <v>2124</v>
      </c>
      <c r="EQ85" s="6" t="n">
        <v>1940</v>
      </c>
      <c r="ER85" s="6" t="n">
        <v>2200</v>
      </c>
      <c r="ES85" s="6" t="n">
        <v>2201</v>
      </c>
      <c r="ET85" s="6" t="n">
        <v>2049</v>
      </c>
      <c r="EU85" s="6" t="n">
        <v>2380</v>
      </c>
      <c r="EV85" s="6" t="n">
        <v>2611</v>
      </c>
      <c r="EW85" s="6" t="n">
        <v>2601</v>
      </c>
      <c r="EX85" s="6" t="n">
        <v>3089</v>
      </c>
      <c r="EY85" s="6" t="n">
        <v>3001</v>
      </c>
      <c r="EZ85" s="6" t="n">
        <v>3249</v>
      </c>
      <c r="FA85" s="6" t="n">
        <v>2621</v>
      </c>
      <c r="FB85" s="6" t="n">
        <v>2389</v>
      </c>
      <c r="FC85" s="6" t="n">
        <v>3200</v>
      </c>
      <c r="FD85" s="6" t="n">
        <v>3051</v>
      </c>
      <c r="FE85" s="6" t="n">
        <v>3000</v>
      </c>
      <c r="FF85" s="6" t="n">
        <v>3000</v>
      </c>
      <c r="FG85" s="6" t="n">
        <v>99</v>
      </c>
      <c r="FH85" s="6" t="n">
        <v>2840</v>
      </c>
      <c r="FI85" s="6" t="n">
        <v>4600</v>
      </c>
      <c r="FJ85" s="6" t="n">
        <v>7000</v>
      </c>
      <c r="FK85" s="6" t="n">
        <v>10000</v>
      </c>
      <c r="FL85" s="6" t="n">
        <v>10000</v>
      </c>
      <c r="FM85" s="6" t="n">
        <v>10000</v>
      </c>
      <c r="FN85" s="6" t="n">
        <v>10000</v>
      </c>
      <c r="FO85" s="6" t="n">
        <v>10000</v>
      </c>
      <c r="FP85" s="6" t="n">
        <v>10000</v>
      </c>
      <c r="FQ85" s="6" t="n">
        <v>10000</v>
      </c>
      <c r="FR85" s="6" t="n">
        <v>10000</v>
      </c>
      <c r="FS85" s="6" t="n">
        <v>10000</v>
      </c>
      <c r="FT85" s="6" t="n">
        <v>10000</v>
      </c>
      <c r="FU85" s="6" t="n">
        <v>10000</v>
      </c>
      <c r="FV85" s="6" t="n">
        <v>10000</v>
      </c>
      <c r="FW85" s="6" t="n">
        <v>10000</v>
      </c>
      <c r="FX85" s="6" t="n">
        <v>10000</v>
      </c>
      <c r="FY85" s="6" t="n">
        <v>10000</v>
      </c>
      <c r="FZ85" s="6" t="n">
        <v>10000</v>
      </c>
      <c r="GA85" s="6" t="n">
        <v>10000</v>
      </c>
      <c r="GB85" s="6" t="n">
        <v>10000</v>
      </c>
      <c r="GC85" s="6" t="n">
        <v>10000</v>
      </c>
      <c r="GD85" s="6" t="n">
        <v>10000</v>
      </c>
      <c r="GE85" s="6" t="n">
        <v>10000</v>
      </c>
      <c r="GF85" s="6" t="n">
        <v>10000</v>
      </c>
      <c r="GG85" s="6" t="n">
        <v>10000</v>
      </c>
      <c r="GH85" s="6" t="n">
        <v>10000</v>
      </c>
      <c r="GI85" s="6" t="n">
        <v>10000</v>
      </c>
      <c r="GJ85" s="6" t="n">
        <v>10000</v>
      </c>
      <c r="GK85" s="6" t="n">
        <v>10000</v>
      </c>
      <c r="GL85" s="6" t="n">
        <v>10000</v>
      </c>
    </row>
    <row r="86">
      <c r="A86" s="6" t="inlineStr">
        <is>
          <t>RTM</t>
        </is>
      </c>
      <c r="B86" s="6" t="n">
        <v>23</v>
      </c>
      <c r="C86" s="6" t="n">
        <v>10000</v>
      </c>
      <c r="D86" s="6" t="n">
        <v>10000</v>
      </c>
      <c r="E86" s="6" t="n">
        <v>10000</v>
      </c>
      <c r="F86" s="6" t="n">
        <v>10000</v>
      </c>
      <c r="G86" s="6" t="n">
        <v>10000</v>
      </c>
      <c r="H86" s="6" t="n">
        <v>10000</v>
      </c>
      <c r="I86" s="6" t="n">
        <v>10000</v>
      </c>
      <c r="J86" s="6" t="n">
        <v>10000</v>
      </c>
      <c r="K86" s="6" t="n">
        <v>10000</v>
      </c>
      <c r="L86" s="6" t="n">
        <v>10000</v>
      </c>
      <c r="M86" s="6" t="n">
        <v>10000</v>
      </c>
      <c r="N86" s="6" t="n">
        <v>10000</v>
      </c>
      <c r="O86" s="6" t="n">
        <v>10000</v>
      </c>
      <c r="P86" s="6" t="n">
        <v>10000</v>
      </c>
      <c r="Q86" s="6" t="n">
        <v>10000</v>
      </c>
      <c r="R86" s="6" t="n">
        <v>10000</v>
      </c>
      <c r="S86" s="6" t="n">
        <v>10000</v>
      </c>
      <c r="T86" s="6" t="n">
        <v>10000</v>
      </c>
      <c r="U86" s="6" t="n">
        <v>10000</v>
      </c>
      <c r="V86" s="6" t="n">
        <v>10000</v>
      </c>
      <c r="W86" s="6" t="n">
        <v>10000</v>
      </c>
      <c r="X86" s="6" t="n">
        <v>10000</v>
      </c>
      <c r="Y86" s="6" t="n">
        <v>10000</v>
      </c>
      <c r="Z86" s="6" t="n">
        <v>10000</v>
      </c>
      <c r="AA86" s="6" t="n">
        <v>10000</v>
      </c>
      <c r="AB86" s="6" t="n">
        <v>10000</v>
      </c>
      <c r="AC86" s="6" t="n">
        <v>10000</v>
      </c>
      <c r="AD86" s="6" t="n">
        <v>10000</v>
      </c>
      <c r="AE86" s="6" t="n">
        <v>10000</v>
      </c>
      <c r="AF86" s="6" t="n">
        <v>10000</v>
      </c>
      <c r="AG86" s="6" t="n">
        <v>4871</v>
      </c>
      <c r="AH86" s="6" t="n">
        <v>2013</v>
      </c>
      <c r="AI86" s="6" t="n">
        <v>50</v>
      </c>
      <c r="AJ86" s="6" t="n">
        <v>29</v>
      </c>
      <c r="AK86" s="6" t="n">
        <v>99</v>
      </c>
      <c r="AL86" s="6" t="n">
        <v>400</v>
      </c>
      <c r="AM86" s="6" t="n">
        <v>2125</v>
      </c>
      <c r="AN86" s="6" t="n">
        <v>2001</v>
      </c>
      <c r="AO86" s="6" t="n">
        <v>2236</v>
      </c>
      <c r="AP86" s="6" t="n">
        <v>2201</v>
      </c>
      <c r="AQ86" s="6" t="n">
        <v>2776</v>
      </c>
      <c r="AR86" s="6" t="n">
        <v>2776</v>
      </c>
      <c r="AS86" s="6" t="n">
        <v>2513</v>
      </c>
      <c r="AT86" s="6" t="n">
        <v>2500</v>
      </c>
      <c r="AU86" s="6" t="n">
        <v>2353</v>
      </c>
      <c r="AV86" s="6" t="n">
        <v>2339</v>
      </c>
      <c r="AW86" s="6" t="n">
        <v>2005</v>
      </c>
      <c r="AX86" s="6" t="n">
        <v>2000</v>
      </c>
      <c r="AY86" s="6" t="n">
        <v>749</v>
      </c>
      <c r="AZ86" s="6" t="n">
        <v>2005</v>
      </c>
      <c r="BA86" s="6" t="n">
        <v>2049</v>
      </c>
      <c r="BB86" s="6" t="n">
        <v>2000</v>
      </c>
      <c r="BC86" s="6" t="n">
        <v>99</v>
      </c>
      <c r="BD86" s="6" t="n">
        <v>50</v>
      </c>
      <c r="BE86" s="6" t="n">
        <v>497</v>
      </c>
      <c r="BF86" s="6" t="n">
        <v>1559</v>
      </c>
      <c r="BG86" s="6" t="n">
        <v>2049</v>
      </c>
      <c r="BH86" s="6" t="n">
        <v>2609</v>
      </c>
      <c r="BI86" s="6" t="n">
        <v>2300</v>
      </c>
      <c r="BJ86" s="6" t="n">
        <v>2401</v>
      </c>
      <c r="BK86" s="6" t="n">
        <v>99</v>
      </c>
      <c r="BL86" s="6" t="n">
        <v>50</v>
      </c>
      <c r="BM86" s="6" t="n">
        <v>10</v>
      </c>
      <c r="BN86" s="6" t="n">
        <v>100</v>
      </c>
      <c r="BO86" s="6" t="n">
        <v>1559</v>
      </c>
      <c r="BP86" s="6" t="n">
        <v>3090</v>
      </c>
      <c r="BQ86" s="6" t="n">
        <v>3842</v>
      </c>
      <c r="BR86" s="6" t="n">
        <v>6000</v>
      </c>
      <c r="BS86" s="6" t="n">
        <v>10000</v>
      </c>
      <c r="BT86" s="6" t="n">
        <v>10000</v>
      </c>
      <c r="BU86" s="6" t="n">
        <v>10000</v>
      </c>
      <c r="BV86" s="6" t="n">
        <v>10000</v>
      </c>
      <c r="BW86" s="6" t="n">
        <v>10000</v>
      </c>
      <c r="BX86" s="6" t="n">
        <v>10000</v>
      </c>
      <c r="BY86" s="6" t="n">
        <v>10000</v>
      </c>
      <c r="BZ86" s="6" t="n">
        <v>10000</v>
      </c>
      <c r="CA86" s="6" t="n">
        <v>10000</v>
      </c>
      <c r="CB86" s="6" t="n">
        <v>10000</v>
      </c>
      <c r="CC86" s="6" t="n">
        <v>10000</v>
      </c>
      <c r="CD86" s="6" t="n">
        <v>10000</v>
      </c>
      <c r="CE86" s="6" t="n">
        <v>10000</v>
      </c>
      <c r="CF86" s="6" t="n">
        <v>10000</v>
      </c>
      <c r="CG86" s="6" t="n">
        <v>10000</v>
      </c>
      <c r="CH86" s="6" t="n">
        <v>10000</v>
      </c>
      <c r="CI86" s="6" t="n">
        <v>10000</v>
      </c>
      <c r="CJ86" s="6" t="n">
        <v>10000</v>
      </c>
      <c r="CK86" s="6" t="n">
        <v>10000</v>
      </c>
      <c r="CL86" s="6" t="n">
        <v>10000</v>
      </c>
      <c r="CM86" s="6" t="n">
        <v>10000</v>
      </c>
      <c r="CN86" s="6" t="n">
        <v>10000</v>
      </c>
      <c r="CO86" s="6" t="n">
        <v>10000</v>
      </c>
      <c r="CP86" s="6" t="n">
        <v>10000</v>
      </c>
      <c r="CQ86" s="6" t="n">
        <v>10000</v>
      </c>
      <c r="CR86" s="6" t="n">
        <v>10000</v>
      </c>
      <c r="CS86" s="6" t="n">
        <v>10000</v>
      </c>
      <c r="CT86" s="6" t="n">
        <v>10000</v>
      </c>
      <c r="CU86" s="6" t="n">
        <v>10000</v>
      </c>
      <c r="CV86" s="6" t="n">
        <v>10000</v>
      </c>
      <c r="CW86" s="6" t="n">
        <v>10000</v>
      </c>
      <c r="CX86" s="6" t="n">
        <v>10000</v>
      </c>
      <c r="CY86" s="6" t="n">
        <v>10000</v>
      </c>
      <c r="CZ86" s="6" t="n">
        <v>10000</v>
      </c>
      <c r="DA86" s="6" t="n">
        <v>10000</v>
      </c>
      <c r="DB86" s="6" t="n">
        <v>10000</v>
      </c>
      <c r="DC86" s="6" t="n">
        <v>10000</v>
      </c>
      <c r="DD86" s="6" t="n">
        <v>10000</v>
      </c>
      <c r="DE86" s="6" t="n">
        <v>10000</v>
      </c>
      <c r="DF86" s="6" t="n">
        <v>10000</v>
      </c>
      <c r="DG86" s="6" t="n">
        <v>10000</v>
      </c>
      <c r="DH86" s="6" t="n">
        <v>10000</v>
      </c>
      <c r="DI86" s="6" t="n">
        <v>10000</v>
      </c>
      <c r="DJ86" s="6" t="n">
        <v>10000</v>
      </c>
      <c r="DK86" s="6" t="n">
        <v>10000</v>
      </c>
      <c r="DL86" s="6" t="n">
        <v>10000</v>
      </c>
      <c r="DM86" s="6" t="n">
        <v>10000</v>
      </c>
      <c r="DN86" s="6" t="n">
        <v>10000</v>
      </c>
      <c r="DO86" s="6" t="n">
        <v>10000</v>
      </c>
      <c r="DP86" s="6" t="n">
        <v>10000</v>
      </c>
      <c r="DQ86" s="6" t="n">
        <v>10000</v>
      </c>
      <c r="DR86" s="6" t="n">
        <v>10000</v>
      </c>
      <c r="DS86" s="6" t="n">
        <v>10000</v>
      </c>
      <c r="DT86" s="6" t="n">
        <v>10000</v>
      </c>
      <c r="DU86" s="6" t="n">
        <v>10000</v>
      </c>
      <c r="DV86" s="6" t="n">
        <v>10000</v>
      </c>
      <c r="DW86" s="6" t="n">
        <v>10000</v>
      </c>
      <c r="DX86" s="6" t="n">
        <v>10000</v>
      </c>
      <c r="DY86" s="6" t="n">
        <v>4871</v>
      </c>
      <c r="DZ86" s="6" t="n">
        <v>2013</v>
      </c>
      <c r="EA86" s="6" t="n">
        <v>50</v>
      </c>
      <c r="EB86" s="6" t="n">
        <v>29</v>
      </c>
      <c r="EC86" s="6" t="n">
        <v>99</v>
      </c>
      <c r="ED86" s="6" t="n">
        <v>400</v>
      </c>
      <c r="EE86" s="6" t="n">
        <v>2125</v>
      </c>
      <c r="EF86" s="6" t="n">
        <v>2001</v>
      </c>
      <c r="EG86" s="6" t="n">
        <v>2236</v>
      </c>
      <c r="EH86" s="6" t="n">
        <v>2201</v>
      </c>
      <c r="EI86" s="6" t="n">
        <v>2776</v>
      </c>
      <c r="EJ86" s="6" t="n">
        <v>2776</v>
      </c>
      <c r="EK86" s="6" t="n">
        <v>2513</v>
      </c>
      <c r="EL86" s="6" t="n">
        <v>2500</v>
      </c>
      <c r="EM86" s="6" t="n">
        <v>2353</v>
      </c>
      <c r="EN86" s="6" t="n">
        <v>2339</v>
      </c>
      <c r="EO86" s="6" t="n">
        <v>2005</v>
      </c>
      <c r="EP86" s="6" t="n">
        <v>2000</v>
      </c>
      <c r="EQ86" s="6" t="n">
        <v>749</v>
      </c>
      <c r="ER86" s="6" t="n">
        <v>2005</v>
      </c>
      <c r="ES86" s="6" t="n">
        <v>2049</v>
      </c>
      <c r="ET86" s="6" t="n">
        <v>2000</v>
      </c>
      <c r="EU86" s="6" t="n">
        <v>99</v>
      </c>
      <c r="EV86" s="6" t="n">
        <v>50</v>
      </c>
      <c r="EW86" s="6" t="n">
        <v>497</v>
      </c>
      <c r="EX86" s="6" t="n">
        <v>1559</v>
      </c>
      <c r="EY86" s="6" t="n">
        <v>2049</v>
      </c>
      <c r="EZ86" s="6" t="n">
        <v>2609</v>
      </c>
      <c r="FA86" s="6" t="n">
        <v>2300</v>
      </c>
      <c r="FB86" s="6" t="n">
        <v>2401</v>
      </c>
      <c r="FC86" s="6" t="n">
        <v>99</v>
      </c>
      <c r="FD86" s="6" t="n">
        <v>50</v>
      </c>
      <c r="FE86" s="6" t="n">
        <v>10</v>
      </c>
      <c r="FF86" s="6" t="n">
        <v>100</v>
      </c>
      <c r="FG86" s="6" t="n">
        <v>1559</v>
      </c>
      <c r="FH86" s="6" t="n">
        <v>3090</v>
      </c>
      <c r="FI86" s="6" t="n">
        <v>3842</v>
      </c>
      <c r="FJ86" s="6" t="n">
        <v>6000</v>
      </c>
      <c r="FK86" s="6" t="n">
        <v>10000</v>
      </c>
      <c r="FL86" s="6" t="n">
        <v>10000</v>
      </c>
      <c r="FM86" s="6" t="n">
        <v>10000</v>
      </c>
      <c r="FN86" s="6" t="n">
        <v>10000</v>
      </c>
      <c r="FO86" s="6" t="n">
        <v>10000</v>
      </c>
      <c r="FP86" s="6" t="n">
        <v>10000</v>
      </c>
      <c r="FQ86" s="6" t="n">
        <v>10000</v>
      </c>
      <c r="FR86" s="6" t="n">
        <v>10000</v>
      </c>
      <c r="FS86" s="6" t="n">
        <v>10000</v>
      </c>
      <c r="FT86" s="6" t="n">
        <v>10000</v>
      </c>
      <c r="FU86" s="6" t="n">
        <v>10000</v>
      </c>
      <c r="FV86" s="6" t="n">
        <v>10000</v>
      </c>
      <c r="FW86" s="6" t="n">
        <v>10000</v>
      </c>
      <c r="FX86" s="6" t="n">
        <v>10000</v>
      </c>
      <c r="FY86" s="6" t="n">
        <v>10000</v>
      </c>
      <c r="FZ86" s="6" t="n">
        <v>10000</v>
      </c>
      <c r="GA86" s="6" t="n">
        <v>10000</v>
      </c>
      <c r="GB86" s="6" t="n">
        <v>10000</v>
      </c>
      <c r="GC86" s="6" t="n">
        <v>10000</v>
      </c>
      <c r="GD86" s="6" t="n">
        <v>10000</v>
      </c>
      <c r="GE86" s="6" t="n">
        <v>10000</v>
      </c>
      <c r="GF86" s="6" t="n">
        <v>10000</v>
      </c>
      <c r="GG86" s="6" t="n">
        <v>10000</v>
      </c>
      <c r="GH86" s="6" t="n">
        <v>10000</v>
      </c>
      <c r="GI86" s="6" t="n">
        <v>10000</v>
      </c>
      <c r="GJ86" s="6" t="n">
        <v>10000</v>
      </c>
      <c r="GK86" s="6" t="n">
        <v>10000</v>
      </c>
      <c r="GL86" s="6" t="n">
        <v>10000</v>
      </c>
    </row>
    <row r="87">
      <c r="A87" s="6" t="inlineStr">
        <is>
          <t>RTM</t>
        </is>
      </c>
      <c r="B87" s="6" t="n">
        <v>24</v>
      </c>
      <c r="C87" s="6" t="n">
        <v>3270</v>
      </c>
      <c r="D87" s="6" t="n">
        <v>3270</v>
      </c>
      <c r="E87" s="6" t="n">
        <v>3019</v>
      </c>
      <c r="F87" s="6" t="n">
        <v>2999</v>
      </c>
      <c r="G87" s="6" t="n">
        <v>2320</v>
      </c>
      <c r="H87" s="6" t="n">
        <v>1500</v>
      </c>
      <c r="I87" s="6" t="n">
        <v>2090</v>
      </c>
      <c r="J87" s="6" t="n">
        <v>2082</v>
      </c>
      <c r="K87" s="6" t="n">
        <v>2000</v>
      </c>
      <c r="L87" s="6" t="n">
        <v>2081</v>
      </c>
      <c r="M87" s="6" t="n">
        <v>2801</v>
      </c>
      <c r="N87" s="6" t="n">
        <v>2890</v>
      </c>
      <c r="O87" s="6" t="n">
        <v>2890</v>
      </c>
      <c r="P87" s="6" t="n">
        <v>2801</v>
      </c>
      <c r="Q87" s="6" t="n">
        <v>2850</v>
      </c>
      <c r="R87" s="6" t="n">
        <v>2890</v>
      </c>
      <c r="S87" s="6" t="n">
        <v>2801</v>
      </c>
      <c r="T87" s="6" t="n">
        <v>2850</v>
      </c>
      <c r="U87" s="6" t="n">
        <v>3209</v>
      </c>
      <c r="V87" s="6" t="n">
        <v>3303</v>
      </c>
      <c r="W87" s="6" t="n">
        <v>3196</v>
      </c>
      <c r="X87" s="6" t="n">
        <v>3196</v>
      </c>
      <c r="Y87" s="6" t="n">
        <v>3139</v>
      </c>
      <c r="Z87" s="6" t="n">
        <v>3120</v>
      </c>
      <c r="AA87" s="6" t="n">
        <v>3410</v>
      </c>
      <c r="AB87" s="6" t="n">
        <v>3601</v>
      </c>
      <c r="AC87" s="6" t="n">
        <v>3668</v>
      </c>
      <c r="AD87" s="6" t="n">
        <v>3484</v>
      </c>
      <c r="AE87" s="6" t="n">
        <v>3271</v>
      </c>
      <c r="AF87" s="6" t="n">
        <v>3223</v>
      </c>
      <c r="AG87" s="6" t="n">
        <v>2950</v>
      </c>
      <c r="AH87" s="6" t="n">
        <v>2470</v>
      </c>
      <c r="AI87" s="6" t="n">
        <v>2082</v>
      </c>
      <c r="AJ87" s="6" t="n">
        <v>2116</v>
      </c>
      <c r="AK87" s="6" t="n">
        <v>2319</v>
      </c>
      <c r="AL87" s="6" t="n">
        <v>2220</v>
      </c>
      <c r="AM87" s="6" t="n">
        <v>2396</v>
      </c>
      <c r="AN87" s="6" t="n">
        <v>2472</v>
      </c>
      <c r="AO87" s="6" t="n">
        <v>2220</v>
      </c>
      <c r="AP87" s="6" t="n">
        <v>2135</v>
      </c>
      <c r="AQ87" s="6" t="n">
        <v>2003</v>
      </c>
      <c r="AR87" s="6" t="n">
        <v>2002</v>
      </c>
      <c r="AS87" s="6" t="n">
        <v>2081</v>
      </c>
      <c r="AT87" s="6" t="n">
        <v>1989</v>
      </c>
      <c r="AU87" s="6" t="n">
        <v>1950</v>
      </c>
      <c r="AV87" s="6" t="n">
        <v>1982</v>
      </c>
      <c r="AW87" s="6" t="n">
        <v>2235</v>
      </c>
      <c r="AX87" s="6" t="n">
        <v>2269</v>
      </c>
      <c r="AY87" s="6" t="n">
        <v>2136</v>
      </c>
      <c r="AZ87" s="6" t="n">
        <v>2117</v>
      </c>
      <c r="BA87" s="6" t="n">
        <v>2081</v>
      </c>
      <c r="BB87" s="6" t="n">
        <v>2081</v>
      </c>
      <c r="BC87" s="6" t="n">
        <v>1934</v>
      </c>
      <c r="BD87" s="6" t="n">
        <v>2000</v>
      </c>
      <c r="BE87" s="6" t="n">
        <v>2007</v>
      </c>
      <c r="BF87" s="6" t="n">
        <v>2010</v>
      </c>
      <c r="BG87" s="6" t="n">
        <v>2020</v>
      </c>
      <c r="BH87" s="6" t="n">
        <v>2136</v>
      </c>
      <c r="BI87" s="6" t="n">
        <v>2320</v>
      </c>
      <c r="BJ87" s="6" t="n">
        <v>2396</v>
      </c>
      <c r="BK87" s="6" t="n">
        <v>2519</v>
      </c>
      <c r="BL87" s="6" t="n">
        <v>2780</v>
      </c>
      <c r="BM87" s="6" t="n">
        <v>2720</v>
      </c>
      <c r="BN87" s="6" t="n">
        <v>2820</v>
      </c>
      <c r="BO87" s="6" t="n">
        <v>2719</v>
      </c>
      <c r="BP87" s="6" t="n">
        <v>2801</v>
      </c>
      <c r="BQ87" s="6" t="n">
        <v>2781</v>
      </c>
      <c r="BR87" s="6" t="n">
        <v>2855</v>
      </c>
      <c r="BS87" s="6" t="n">
        <v>3210</v>
      </c>
      <c r="BT87" s="6" t="n">
        <v>3270</v>
      </c>
      <c r="BU87" s="6" t="n">
        <v>3835</v>
      </c>
      <c r="BV87" s="6" t="n">
        <v>4012</v>
      </c>
      <c r="BW87" s="6" t="n">
        <v>4165</v>
      </c>
      <c r="BX87" s="6" t="n">
        <v>4700</v>
      </c>
      <c r="BY87" s="6" t="n">
        <v>5027</v>
      </c>
      <c r="BZ87" s="6" t="n">
        <v>5001</v>
      </c>
      <c r="CA87" s="6" t="n">
        <v>10000</v>
      </c>
      <c r="CB87" s="6" t="n">
        <v>6280</v>
      </c>
      <c r="CC87" s="6" t="n">
        <v>4742</v>
      </c>
      <c r="CD87" s="6" t="n">
        <v>4224</v>
      </c>
      <c r="CE87" s="6" t="n">
        <v>4301</v>
      </c>
      <c r="CF87" s="6" t="n">
        <v>4166</v>
      </c>
      <c r="CG87" s="6" t="n">
        <v>4165</v>
      </c>
      <c r="CH87" s="6" t="n">
        <v>4301</v>
      </c>
      <c r="CI87" s="6" t="n">
        <v>3810</v>
      </c>
      <c r="CJ87" s="6" t="n">
        <v>4019</v>
      </c>
      <c r="CK87" s="6" t="n">
        <v>4000</v>
      </c>
      <c r="CL87" s="6" t="n">
        <v>4032</v>
      </c>
      <c r="CM87" s="6" t="n">
        <v>3410</v>
      </c>
      <c r="CN87" s="6" t="n">
        <v>4035</v>
      </c>
      <c r="CO87" s="6" t="n">
        <v>4154</v>
      </c>
      <c r="CP87" s="6" t="n">
        <v>4154</v>
      </c>
      <c r="CQ87" s="6" t="n">
        <v>3513</v>
      </c>
      <c r="CR87" s="6" t="n">
        <v>3513</v>
      </c>
      <c r="CS87" s="6" t="n">
        <v>3511</v>
      </c>
      <c r="CT87" s="6" t="n">
        <v>3580</v>
      </c>
      <c r="CU87" s="6" t="n">
        <v>3270</v>
      </c>
      <c r="CV87" s="6" t="n">
        <v>3270</v>
      </c>
      <c r="CW87" s="6" t="n">
        <v>3019</v>
      </c>
      <c r="CX87" s="6" t="n">
        <v>2999</v>
      </c>
      <c r="CY87" s="6" t="n">
        <v>2320</v>
      </c>
      <c r="CZ87" s="6" t="n">
        <v>1500</v>
      </c>
      <c r="DA87" s="6" t="n">
        <v>2090</v>
      </c>
      <c r="DB87" s="6" t="n">
        <v>2082</v>
      </c>
      <c r="DC87" s="6" t="n">
        <v>2000</v>
      </c>
      <c r="DD87" s="6" t="n">
        <v>2081</v>
      </c>
      <c r="DE87" s="6" t="n">
        <v>2801</v>
      </c>
      <c r="DF87" s="6" t="n">
        <v>2890</v>
      </c>
      <c r="DG87" s="6" t="n">
        <v>2890</v>
      </c>
      <c r="DH87" s="6" t="n">
        <v>2801</v>
      </c>
      <c r="DI87" s="6" t="n">
        <v>2850</v>
      </c>
      <c r="DJ87" s="6" t="n">
        <v>2890</v>
      </c>
      <c r="DK87" s="6" t="n">
        <v>2801</v>
      </c>
      <c r="DL87" s="6" t="n">
        <v>2850</v>
      </c>
      <c r="DM87" s="6" t="n">
        <v>3209</v>
      </c>
      <c r="DN87" s="6" t="n">
        <v>3303</v>
      </c>
      <c r="DO87" s="6" t="n">
        <v>3196</v>
      </c>
      <c r="DP87" s="6" t="n">
        <v>3196</v>
      </c>
      <c r="DQ87" s="6" t="n">
        <v>3139</v>
      </c>
      <c r="DR87" s="6" t="n">
        <v>3120</v>
      </c>
      <c r="DS87" s="6" t="n">
        <v>3410</v>
      </c>
      <c r="DT87" s="6" t="n">
        <v>3601</v>
      </c>
      <c r="DU87" s="6" t="n">
        <v>3668</v>
      </c>
      <c r="DV87" s="6" t="n">
        <v>3484</v>
      </c>
      <c r="DW87" s="6" t="n">
        <v>3271</v>
      </c>
      <c r="DX87" s="6" t="n">
        <v>3223</v>
      </c>
      <c r="DY87" s="6" t="n">
        <v>2950</v>
      </c>
      <c r="DZ87" s="6" t="n">
        <v>2470</v>
      </c>
      <c r="EA87" s="6" t="n">
        <v>2082</v>
      </c>
      <c r="EB87" s="6" t="n">
        <v>2116</v>
      </c>
      <c r="EC87" s="6" t="n">
        <v>2319</v>
      </c>
      <c r="ED87" s="6" t="n">
        <v>2220</v>
      </c>
      <c r="EE87" s="6" t="n">
        <v>2396</v>
      </c>
      <c r="EF87" s="6" t="n">
        <v>2472</v>
      </c>
      <c r="EG87" s="6" t="n">
        <v>2220</v>
      </c>
      <c r="EH87" s="6" t="n">
        <v>2135</v>
      </c>
      <c r="EI87" s="6" t="n">
        <v>2003</v>
      </c>
      <c r="EJ87" s="6" t="n">
        <v>2002</v>
      </c>
      <c r="EK87" s="6" t="n">
        <v>2081</v>
      </c>
      <c r="EL87" s="6" t="n">
        <v>1989</v>
      </c>
      <c r="EM87" s="6" t="n">
        <v>1950</v>
      </c>
      <c r="EN87" s="6" t="n">
        <v>1982</v>
      </c>
      <c r="EO87" s="6" t="n">
        <v>2235</v>
      </c>
      <c r="EP87" s="6" t="n">
        <v>2269</v>
      </c>
      <c r="EQ87" s="6" t="n">
        <v>2136</v>
      </c>
      <c r="ER87" s="6" t="n">
        <v>2117</v>
      </c>
      <c r="ES87" s="6" t="n">
        <v>2081</v>
      </c>
      <c r="ET87" s="6" t="n">
        <v>2081</v>
      </c>
      <c r="EU87" s="6" t="n">
        <v>1934</v>
      </c>
      <c r="EV87" s="6" t="n">
        <v>2000</v>
      </c>
      <c r="EW87" s="6" t="n">
        <v>2007</v>
      </c>
      <c r="EX87" s="6" t="n">
        <v>2010</v>
      </c>
      <c r="EY87" s="6" t="n">
        <v>2020</v>
      </c>
      <c r="EZ87" s="6" t="n">
        <v>2136</v>
      </c>
      <c r="FA87" s="6" t="n">
        <v>2320</v>
      </c>
      <c r="FB87" s="6" t="n">
        <v>2396</v>
      </c>
      <c r="FC87" s="6" t="n">
        <v>2519</v>
      </c>
      <c r="FD87" s="6" t="n">
        <v>2780</v>
      </c>
      <c r="FE87" s="6" t="n">
        <v>2720</v>
      </c>
      <c r="FF87" s="6" t="n">
        <v>2820</v>
      </c>
      <c r="FG87" s="6" t="n">
        <v>2719</v>
      </c>
      <c r="FH87" s="6" t="n">
        <v>2801</v>
      </c>
      <c r="FI87" s="6" t="n">
        <v>2781</v>
      </c>
      <c r="FJ87" s="6" t="n">
        <v>2855</v>
      </c>
      <c r="FK87" s="6" t="n">
        <v>3210</v>
      </c>
      <c r="FL87" s="6" t="n">
        <v>3270</v>
      </c>
      <c r="FM87" s="6" t="n">
        <v>3835</v>
      </c>
      <c r="FN87" s="6" t="n">
        <v>4012</v>
      </c>
      <c r="FO87" s="6" t="n">
        <v>4165</v>
      </c>
      <c r="FP87" s="6" t="n">
        <v>4700</v>
      </c>
      <c r="FQ87" s="6" t="n">
        <v>5027</v>
      </c>
      <c r="FR87" s="6" t="n">
        <v>5001</v>
      </c>
      <c r="FS87" s="6" t="n">
        <v>10000</v>
      </c>
      <c r="FT87" s="6" t="n">
        <v>6280</v>
      </c>
      <c r="FU87" s="6" t="n">
        <v>4742</v>
      </c>
      <c r="FV87" s="6" t="n">
        <v>4224</v>
      </c>
      <c r="FW87" s="6" t="n">
        <v>4301</v>
      </c>
      <c r="FX87" s="6" t="n">
        <v>4166</v>
      </c>
      <c r="FY87" s="6" t="n">
        <v>4165</v>
      </c>
      <c r="FZ87" s="6" t="n">
        <v>4301</v>
      </c>
      <c r="GA87" s="6" t="n">
        <v>3810</v>
      </c>
      <c r="GB87" s="6" t="n">
        <v>4019</v>
      </c>
      <c r="GC87" s="6" t="n">
        <v>4000</v>
      </c>
      <c r="GD87" s="6" t="n">
        <v>4032</v>
      </c>
      <c r="GE87" s="6" t="n">
        <v>3410</v>
      </c>
      <c r="GF87" s="6" t="n">
        <v>4035</v>
      </c>
      <c r="GG87" s="6" t="n">
        <v>4154</v>
      </c>
      <c r="GH87" s="6" t="n">
        <v>4154</v>
      </c>
      <c r="GI87" s="6" t="n">
        <v>3513</v>
      </c>
      <c r="GJ87" s="6" t="n">
        <v>3513</v>
      </c>
      <c r="GK87" s="6" t="n">
        <v>3511</v>
      </c>
      <c r="GL87" s="6" t="n">
        <v>3580</v>
      </c>
    </row>
    <row r="88">
      <c r="A88" s="6" t="inlineStr">
        <is>
          <t>RTM</t>
        </is>
      </c>
      <c r="B88" s="6" t="n">
        <v>25</v>
      </c>
      <c r="C88" s="6" t="n">
        <v>3835</v>
      </c>
      <c r="D88" s="6" t="n">
        <v>3669</v>
      </c>
      <c r="E88" s="6" t="n">
        <v>3479</v>
      </c>
      <c r="F88" s="6" t="n">
        <v>3402</v>
      </c>
      <c r="G88" s="6" t="n">
        <v>3409</v>
      </c>
      <c r="H88" s="6" t="n">
        <v>3390</v>
      </c>
      <c r="I88" s="6" t="n">
        <v>3321</v>
      </c>
      <c r="J88" s="6" t="n">
        <v>3270</v>
      </c>
      <c r="K88" s="6" t="n">
        <v>3051</v>
      </c>
      <c r="L88" s="6" t="n">
        <v>2999</v>
      </c>
      <c r="M88" s="6" t="n">
        <v>2999</v>
      </c>
      <c r="N88" s="6" t="n">
        <v>3063</v>
      </c>
      <c r="O88" s="6" t="n">
        <v>3012</v>
      </c>
      <c r="P88" s="6" t="n">
        <v>2999</v>
      </c>
      <c r="Q88" s="6" t="n">
        <v>3160</v>
      </c>
      <c r="R88" s="6" t="n">
        <v>3170</v>
      </c>
      <c r="S88" s="6" t="n">
        <v>3102</v>
      </c>
      <c r="T88" s="6" t="n">
        <v>3196</v>
      </c>
      <c r="U88" s="6" t="n">
        <v>3259</v>
      </c>
      <c r="V88" s="6" t="n">
        <v>3321</v>
      </c>
      <c r="W88" s="6" t="n">
        <v>3210</v>
      </c>
      <c r="X88" s="6" t="n">
        <v>3271</v>
      </c>
      <c r="Y88" s="6" t="n">
        <v>3512</v>
      </c>
      <c r="Z88" s="6" t="n">
        <v>3582</v>
      </c>
      <c r="AA88" s="6" t="n">
        <v>3690</v>
      </c>
      <c r="AB88" s="6" t="n">
        <v>3840</v>
      </c>
      <c r="AC88" s="6" t="n">
        <v>3839</v>
      </c>
      <c r="AD88" s="6" t="n">
        <v>3835</v>
      </c>
      <c r="AE88" s="6" t="n">
        <v>3622</v>
      </c>
      <c r="AF88" s="6" t="n">
        <v>3232</v>
      </c>
      <c r="AG88" s="6" t="n">
        <v>2978</v>
      </c>
      <c r="AH88" s="6" t="n">
        <v>2701</v>
      </c>
      <c r="AI88" s="6" t="n">
        <v>2326</v>
      </c>
      <c r="AJ88" s="6" t="n">
        <v>2326</v>
      </c>
      <c r="AK88" s="6" t="n">
        <v>2321</v>
      </c>
      <c r="AL88" s="6" t="n">
        <v>2395</v>
      </c>
      <c r="AM88" s="6" t="n">
        <v>2472</v>
      </c>
      <c r="AN88" s="6" t="n">
        <v>2653</v>
      </c>
      <c r="AO88" s="6" t="n">
        <v>2460</v>
      </c>
      <c r="AP88" s="6" t="n">
        <v>2374</v>
      </c>
      <c r="AQ88" s="6" t="n">
        <v>1999</v>
      </c>
      <c r="AR88" s="6" t="n">
        <v>2003</v>
      </c>
      <c r="AS88" s="6" t="n">
        <v>2116</v>
      </c>
      <c r="AT88" s="6" t="n">
        <v>2007</v>
      </c>
      <c r="AU88" s="6" t="n">
        <v>2101</v>
      </c>
      <c r="AV88" s="6" t="n">
        <v>2082</v>
      </c>
      <c r="AW88" s="6" t="n">
        <v>2081</v>
      </c>
      <c r="AX88" s="6" t="n">
        <v>2116</v>
      </c>
      <c r="AY88" s="6" t="n">
        <v>2002</v>
      </c>
      <c r="AZ88" s="6" t="n">
        <v>2117</v>
      </c>
      <c r="BA88" s="6" t="n">
        <v>2119</v>
      </c>
      <c r="BB88" s="6" t="n">
        <v>2120</v>
      </c>
      <c r="BC88" s="6" t="n">
        <v>1499</v>
      </c>
      <c r="BD88" s="6" t="n">
        <v>1833</v>
      </c>
      <c r="BE88" s="6" t="n">
        <v>2120</v>
      </c>
      <c r="BF88" s="6" t="n">
        <v>2220</v>
      </c>
      <c r="BG88" s="6" t="n">
        <v>2369</v>
      </c>
      <c r="BH88" s="6" t="n">
        <v>2719</v>
      </c>
      <c r="BI88" s="6" t="n">
        <v>2781</v>
      </c>
      <c r="BJ88" s="6" t="n">
        <v>2810</v>
      </c>
      <c r="BK88" s="6" t="n">
        <v>2781</v>
      </c>
      <c r="BL88" s="6" t="n">
        <v>2750</v>
      </c>
      <c r="BM88" s="6" t="n">
        <v>2781</v>
      </c>
      <c r="BN88" s="6" t="n">
        <v>3000</v>
      </c>
      <c r="BO88" s="6" t="n">
        <v>3232</v>
      </c>
      <c r="BP88" s="6" t="n">
        <v>3404</v>
      </c>
      <c r="BQ88" s="6" t="n">
        <v>3471</v>
      </c>
      <c r="BR88" s="6" t="n">
        <v>3518</v>
      </c>
      <c r="BS88" s="6" t="n">
        <v>3743</v>
      </c>
      <c r="BT88" s="6" t="n">
        <v>3836</v>
      </c>
      <c r="BU88" s="6" t="n">
        <v>3983</v>
      </c>
      <c r="BV88" s="6" t="n">
        <v>4249</v>
      </c>
      <c r="BW88" s="6" t="n">
        <v>4502</v>
      </c>
      <c r="BX88" s="6" t="n">
        <v>5500</v>
      </c>
      <c r="BY88" s="6" t="n">
        <v>10000</v>
      </c>
      <c r="BZ88" s="6" t="n">
        <v>10000</v>
      </c>
      <c r="CA88" s="6" t="n">
        <v>10000</v>
      </c>
      <c r="CB88" s="6" t="n">
        <v>10000</v>
      </c>
      <c r="CC88" s="6" t="n">
        <v>10000</v>
      </c>
      <c r="CD88" s="6" t="n">
        <v>10000</v>
      </c>
      <c r="CE88" s="6" t="n">
        <v>10000</v>
      </c>
      <c r="CF88" s="6" t="n">
        <v>10000</v>
      </c>
      <c r="CG88" s="6" t="n">
        <v>5999</v>
      </c>
      <c r="CH88" s="6" t="n">
        <v>5900</v>
      </c>
      <c r="CI88" s="6" t="n">
        <v>4999</v>
      </c>
      <c r="CJ88" s="6" t="n">
        <v>4991</v>
      </c>
      <c r="CK88" s="6" t="n">
        <v>4853</v>
      </c>
      <c r="CL88" s="6" t="n">
        <v>4854</v>
      </c>
      <c r="CM88" s="6" t="n">
        <v>3939</v>
      </c>
      <c r="CN88" s="6" t="n">
        <v>4568</v>
      </c>
      <c r="CO88" s="6" t="n">
        <v>4741</v>
      </c>
      <c r="CP88" s="6" t="n">
        <v>4524</v>
      </c>
      <c r="CQ88" s="6" t="n">
        <v>3830</v>
      </c>
      <c r="CR88" s="6" t="n">
        <v>3744</v>
      </c>
      <c r="CS88" s="6" t="n">
        <v>3503</v>
      </c>
      <c r="CT88" s="6" t="n">
        <v>3006</v>
      </c>
      <c r="CU88" s="6" t="n">
        <v>3835</v>
      </c>
      <c r="CV88" s="6" t="n">
        <v>3669</v>
      </c>
      <c r="CW88" s="6" t="n">
        <v>3479</v>
      </c>
      <c r="CX88" s="6" t="n">
        <v>3402</v>
      </c>
      <c r="CY88" s="6" t="n">
        <v>3409</v>
      </c>
      <c r="CZ88" s="6" t="n">
        <v>3390</v>
      </c>
      <c r="DA88" s="6" t="n">
        <v>3321</v>
      </c>
      <c r="DB88" s="6" t="n">
        <v>3270</v>
      </c>
      <c r="DC88" s="6" t="n">
        <v>3051</v>
      </c>
      <c r="DD88" s="6" t="n">
        <v>2999</v>
      </c>
      <c r="DE88" s="6" t="n">
        <v>2999</v>
      </c>
      <c r="DF88" s="6" t="n">
        <v>3063</v>
      </c>
      <c r="DG88" s="6" t="n">
        <v>3012</v>
      </c>
      <c r="DH88" s="6" t="n">
        <v>2999</v>
      </c>
      <c r="DI88" s="6" t="n">
        <v>3160</v>
      </c>
      <c r="DJ88" s="6" t="n">
        <v>3170</v>
      </c>
      <c r="DK88" s="6" t="n">
        <v>3102</v>
      </c>
      <c r="DL88" s="6" t="n">
        <v>3196</v>
      </c>
      <c r="DM88" s="6" t="n">
        <v>3259</v>
      </c>
      <c r="DN88" s="6" t="n">
        <v>3321</v>
      </c>
      <c r="DO88" s="6" t="n">
        <v>3210</v>
      </c>
      <c r="DP88" s="6" t="n">
        <v>3271</v>
      </c>
      <c r="DQ88" s="6" t="n">
        <v>3512</v>
      </c>
      <c r="DR88" s="6" t="n">
        <v>3582</v>
      </c>
      <c r="DS88" s="6" t="n">
        <v>3690</v>
      </c>
      <c r="DT88" s="6" t="n">
        <v>3840</v>
      </c>
      <c r="DU88" s="6" t="n">
        <v>3839</v>
      </c>
      <c r="DV88" s="6" t="n">
        <v>3835</v>
      </c>
      <c r="DW88" s="6" t="n">
        <v>3622</v>
      </c>
      <c r="DX88" s="6" t="n">
        <v>3232</v>
      </c>
      <c r="DY88" s="6" t="n">
        <v>2978</v>
      </c>
      <c r="DZ88" s="6" t="n">
        <v>2701</v>
      </c>
      <c r="EA88" s="6" t="n">
        <v>2326</v>
      </c>
      <c r="EB88" s="6" t="n">
        <v>2326</v>
      </c>
      <c r="EC88" s="6" t="n">
        <v>2321</v>
      </c>
      <c r="ED88" s="6" t="n">
        <v>2395</v>
      </c>
      <c r="EE88" s="6" t="n">
        <v>2472</v>
      </c>
      <c r="EF88" s="6" t="n">
        <v>2653</v>
      </c>
      <c r="EG88" s="6" t="n">
        <v>2460</v>
      </c>
      <c r="EH88" s="6" t="n">
        <v>2374</v>
      </c>
      <c r="EI88" s="6" t="n">
        <v>1999</v>
      </c>
      <c r="EJ88" s="6" t="n">
        <v>2003</v>
      </c>
      <c r="EK88" s="6" t="n">
        <v>2116</v>
      </c>
      <c r="EL88" s="6" t="n">
        <v>2007</v>
      </c>
      <c r="EM88" s="6" t="n">
        <v>2101</v>
      </c>
      <c r="EN88" s="6" t="n">
        <v>2082</v>
      </c>
      <c r="EO88" s="6" t="n">
        <v>2081</v>
      </c>
      <c r="EP88" s="6" t="n">
        <v>2116</v>
      </c>
      <c r="EQ88" s="6" t="n">
        <v>2002</v>
      </c>
      <c r="ER88" s="6" t="n">
        <v>2117</v>
      </c>
      <c r="ES88" s="6" t="n">
        <v>2119</v>
      </c>
      <c r="ET88" s="6" t="n">
        <v>2120</v>
      </c>
      <c r="EU88" s="6" t="n">
        <v>1499</v>
      </c>
      <c r="EV88" s="6" t="n">
        <v>1833</v>
      </c>
      <c r="EW88" s="6" t="n">
        <v>2120</v>
      </c>
      <c r="EX88" s="6" t="n">
        <v>2220</v>
      </c>
      <c r="EY88" s="6" t="n">
        <v>2369</v>
      </c>
      <c r="EZ88" s="6" t="n">
        <v>2719</v>
      </c>
      <c r="FA88" s="6" t="n">
        <v>2781</v>
      </c>
      <c r="FB88" s="6" t="n">
        <v>2810</v>
      </c>
      <c r="FC88" s="6" t="n">
        <v>2781</v>
      </c>
      <c r="FD88" s="6" t="n">
        <v>2750</v>
      </c>
      <c r="FE88" s="6" t="n">
        <v>2781</v>
      </c>
      <c r="FF88" s="6" t="n">
        <v>3000</v>
      </c>
      <c r="FG88" s="6" t="n">
        <v>3232</v>
      </c>
      <c r="FH88" s="6" t="n">
        <v>3404</v>
      </c>
      <c r="FI88" s="6" t="n">
        <v>3471</v>
      </c>
      <c r="FJ88" s="6" t="n">
        <v>3518</v>
      </c>
      <c r="FK88" s="6" t="n">
        <v>3743</v>
      </c>
      <c r="FL88" s="6" t="n">
        <v>3836</v>
      </c>
      <c r="FM88" s="6" t="n">
        <v>3983</v>
      </c>
      <c r="FN88" s="6" t="n">
        <v>4249</v>
      </c>
      <c r="FO88" s="6" t="n">
        <v>4502</v>
      </c>
      <c r="FP88" s="6" t="n">
        <v>5500</v>
      </c>
      <c r="FQ88" s="6" t="n">
        <v>10000</v>
      </c>
      <c r="FR88" s="6" t="n">
        <v>10000</v>
      </c>
      <c r="FS88" s="6" t="n">
        <v>10000</v>
      </c>
      <c r="FT88" s="6" t="n">
        <v>10000</v>
      </c>
      <c r="FU88" s="6" t="n">
        <v>10000</v>
      </c>
      <c r="FV88" s="6" t="n">
        <v>10000</v>
      </c>
      <c r="FW88" s="6" t="n">
        <v>10000</v>
      </c>
      <c r="FX88" s="6" t="n">
        <v>10000</v>
      </c>
      <c r="FY88" s="6" t="n">
        <v>5999</v>
      </c>
      <c r="FZ88" s="6" t="n">
        <v>5900</v>
      </c>
      <c r="GA88" s="6" t="n">
        <v>4999</v>
      </c>
      <c r="GB88" s="6" t="n">
        <v>4991</v>
      </c>
      <c r="GC88" s="6" t="n">
        <v>4853</v>
      </c>
      <c r="GD88" s="6" t="n">
        <v>4854</v>
      </c>
      <c r="GE88" s="6" t="n">
        <v>3939</v>
      </c>
      <c r="GF88" s="6" t="n">
        <v>4568</v>
      </c>
      <c r="GG88" s="6" t="n">
        <v>4741</v>
      </c>
      <c r="GH88" s="6" t="n">
        <v>4524</v>
      </c>
      <c r="GI88" s="6" t="n">
        <v>3830</v>
      </c>
      <c r="GJ88" s="6" t="n">
        <v>3744</v>
      </c>
      <c r="GK88" s="6" t="n">
        <v>3503</v>
      </c>
      <c r="GL88" s="6" t="n">
        <v>3006</v>
      </c>
    </row>
    <row r="89">
      <c r="A89" s="6" t="inlineStr">
        <is>
          <t>RTM</t>
        </is>
      </c>
      <c r="B89" s="6" t="n">
        <v>26</v>
      </c>
      <c r="C89" s="6" t="n">
        <v>3910</v>
      </c>
      <c r="D89" s="6" t="n">
        <v>3900</v>
      </c>
      <c r="E89" s="6" t="n">
        <v>3800</v>
      </c>
      <c r="F89" s="6" t="n">
        <v>3512</v>
      </c>
      <c r="G89" s="6" t="n">
        <v>3196</v>
      </c>
      <c r="H89" s="6" t="n">
        <v>3000</v>
      </c>
      <c r="I89" s="6" t="n">
        <v>3409</v>
      </c>
      <c r="J89" s="6" t="n">
        <v>3403</v>
      </c>
      <c r="K89" s="6" t="n">
        <v>3409</v>
      </c>
      <c r="L89" s="6" t="n">
        <v>3516</v>
      </c>
      <c r="M89" s="6" t="n">
        <v>3319</v>
      </c>
      <c r="N89" s="6" t="n">
        <v>3320</v>
      </c>
      <c r="O89" s="6" t="n">
        <v>3000</v>
      </c>
      <c r="P89" s="6" t="n">
        <v>2801</v>
      </c>
      <c r="Q89" s="6" t="n">
        <v>2971</v>
      </c>
      <c r="R89" s="6" t="n">
        <v>3161</v>
      </c>
      <c r="S89" s="6" t="n">
        <v>3210</v>
      </c>
      <c r="T89" s="6" t="n">
        <v>3210</v>
      </c>
      <c r="U89" s="6" t="n">
        <v>3254</v>
      </c>
      <c r="V89" s="6" t="n">
        <v>3351</v>
      </c>
      <c r="W89" s="6" t="n">
        <v>3260</v>
      </c>
      <c r="X89" s="6" t="n">
        <v>3271</v>
      </c>
      <c r="Y89" s="6" t="n">
        <v>3320</v>
      </c>
      <c r="Z89" s="6" t="n">
        <v>3210</v>
      </c>
      <c r="AA89" s="6" t="n">
        <v>3744</v>
      </c>
      <c r="AB89" s="6" t="n">
        <v>3873</v>
      </c>
      <c r="AC89" s="6" t="n">
        <v>3945</v>
      </c>
      <c r="AD89" s="6" t="n">
        <v>3840</v>
      </c>
      <c r="AE89" s="6" t="n">
        <v>3835</v>
      </c>
      <c r="AF89" s="6" t="n">
        <v>3390</v>
      </c>
      <c r="AG89" s="6" t="n">
        <v>3048</v>
      </c>
      <c r="AH89" s="6" t="n">
        <v>2269</v>
      </c>
      <c r="AI89" s="6" t="n">
        <v>1313</v>
      </c>
      <c r="AJ89" s="6" t="n">
        <v>989</v>
      </c>
      <c r="AK89" s="6" t="n">
        <v>2136</v>
      </c>
      <c r="AL89" s="6" t="n">
        <v>2135</v>
      </c>
      <c r="AM89" s="6" t="n">
        <v>2306</v>
      </c>
      <c r="AN89" s="6" t="n">
        <v>2375</v>
      </c>
      <c r="AO89" s="6" t="n">
        <v>2552</v>
      </c>
      <c r="AP89" s="6" t="n">
        <v>2520</v>
      </c>
      <c r="AQ89" s="6" t="n">
        <v>2461</v>
      </c>
      <c r="AR89" s="6" t="n">
        <v>2467</v>
      </c>
      <c r="AS89" s="6" t="n">
        <v>2500</v>
      </c>
      <c r="AT89" s="6" t="n">
        <v>2469</v>
      </c>
      <c r="AU89" s="6" t="n">
        <v>2099</v>
      </c>
      <c r="AV89" s="6" t="n">
        <v>2050</v>
      </c>
      <c r="AW89" s="6" t="n">
        <v>2005</v>
      </c>
      <c r="AX89" s="6" t="n">
        <v>1834</v>
      </c>
      <c r="AY89" s="6" t="n">
        <v>1846</v>
      </c>
      <c r="AZ89" s="6" t="n">
        <v>2092</v>
      </c>
      <c r="BA89" s="6" t="n">
        <v>1671</v>
      </c>
      <c r="BB89" s="6" t="n">
        <v>1772</v>
      </c>
      <c r="BC89" s="6" t="n">
        <v>1324</v>
      </c>
      <c r="BD89" s="6" t="n">
        <v>1771</v>
      </c>
      <c r="BE89" s="6" t="n">
        <v>2081</v>
      </c>
      <c r="BF89" s="6" t="n">
        <v>2135</v>
      </c>
      <c r="BG89" s="6" t="n">
        <v>2269</v>
      </c>
      <c r="BH89" s="6" t="n">
        <v>2460</v>
      </c>
      <c r="BI89" s="6" t="n">
        <v>2295</v>
      </c>
      <c r="BJ89" s="6" t="n">
        <v>2410</v>
      </c>
      <c r="BK89" s="6" t="n">
        <v>2370</v>
      </c>
      <c r="BL89" s="6" t="n">
        <v>2372</v>
      </c>
      <c r="BM89" s="6" t="n">
        <v>2471</v>
      </c>
      <c r="BN89" s="6" t="n">
        <v>2899</v>
      </c>
      <c r="BO89" s="6" t="n">
        <v>2970</v>
      </c>
      <c r="BP89" s="6" t="n">
        <v>3019</v>
      </c>
      <c r="BQ89" s="6" t="n">
        <v>3410</v>
      </c>
      <c r="BR89" s="6" t="n">
        <v>3501</v>
      </c>
      <c r="BS89" s="6" t="n">
        <v>3511</v>
      </c>
      <c r="BT89" s="6" t="n">
        <v>3510</v>
      </c>
      <c r="BU89" s="6" t="n">
        <v>3669</v>
      </c>
      <c r="BV89" s="6" t="n">
        <v>4204</v>
      </c>
      <c r="BW89" s="6" t="n">
        <v>4001</v>
      </c>
      <c r="BX89" s="6" t="n">
        <v>5026</v>
      </c>
      <c r="BY89" s="6" t="n">
        <v>4035</v>
      </c>
      <c r="BZ89" s="6" t="n">
        <v>4500</v>
      </c>
      <c r="CA89" s="6" t="n">
        <v>10000</v>
      </c>
      <c r="CB89" s="6" t="n">
        <v>10000</v>
      </c>
      <c r="CC89" s="6" t="n">
        <v>10000</v>
      </c>
      <c r="CD89" s="6" t="n">
        <v>6001</v>
      </c>
      <c r="CE89" s="6" t="n">
        <v>3660</v>
      </c>
      <c r="CF89" s="6" t="n">
        <v>2899</v>
      </c>
      <c r="CG89" s="6" t="n">
        <v>3062</v>
      </c>
      <c r="CH89" s="6" t="n">
        <v>3421</v>
      </c>
      <c r="CI89" s="6" t="n">
        <v>4121</v>
      </c>
      <c r="CJ89" s="6" t="n">
        <v>4853</v>
      </c>
      <c r="CK89" s="6" t="n">
        <v>3623</v>
      </c>
      <c r="CL89" s="6" t="n">
        <v>3630</v>
      </c>
      <c r="CM89" s="6" t="n">
        <v>3420</v>
      </c>
      <c r="CN89" s="6" t="n">
        <v>3519</v>
      </c>
      <c r="CO89" s="6" t="n">
        <v>3810</v>
      </c>
      <c r="CP89" s="6" t="n">
        <v>3898</v>
      </c>
      <c r="CQ89" s="6" t="n">
        <v>3410</v>
      </c>
      <c r="CR89" s="6" t="n">
        <v>3118</v>
      </c>
      <c r="CS89" s="6" t="n">
        <v>3118</v>
      </c>
      <c r="CT89" s="6" t="n">
        <v>3019</v>
      </c>
      <c r="CU89" s="6" t="n">
        <v>3910</v>
      </c>
      <c r="CV89" s="6" t="n">
        <v>3900</v>
      </c>
      <c r="CW89" s="6" t="n">
        <v>3800</v>
      </c>
      <c r="CX89" s="6" t="n">
        <v>3512</v>
      </c>
      <c r="CY89" s="6" t="n">
        <v>3196</v>
      </c>
      <c r="CZ89" s="6" t="n">
        <v>3000</v>
      </c>
      <c r="DA89" s="6" t="n">
        <v>3409</v>
      </c>
      <c r="DB89" s="6" t="n">
        <v>3403</v>
      </c>
      <c r="DC89" s="6" t="n">
        <v>3409</v>
      </c>
      <c r="DD89" s="6" t="n">
        <v>3516</v>
      </c>
      <c r="DE89" s="6" t="n">
        <v>3319</v>
      </c>
      <c r="DF89" s="6" t="n">
        <v>3320</v>
      </c>
      <c r="DG89" s="6" t="n">
        <v>3000</v>
      </c>
      <c r="DH89" s="6" t="n">
        <v>2801</v>
      </c>
      <c r="DI89" s="6" t="n">
        <v>2971</v>
      </c>
      <c r="DJ89" s="6" t="n">
        <v>3161</v>
      </c>
      <c r="DK89" s="6" t="n">
        <v>3210</v>
      </c>
      <c r="DL89" s="6" t="n">
        <v>3210</v>
      </c>
      <c r="DM89" s="6" t="n">
        <v>3254</v>
      </c>
      <c r="DN89" s="6" t="n">
        <v>3351</v>
      </c>
      <c r="DO89" s="6" t="n">
        <v>3260</v>
      </c>
      <c r="DP89" s="6" t="n">
        <v>3271</v>
      </c>
      <c r="DQ89" s="6" t="n">
        <v>3320</v>
      </c>
      <c r="DR89" s="6" t="n">
        <v>3210</v>
      </c>
      <c r="DS89" s="6" t="n">
        <v>3744</v>
      </c>
      <c r="DT89" s="6" t="n">
        <v>3873</v>
      </c>
      <c r="DU89" s="6" t="n">
        <v>3945</v>
      </c>
      <c r="DV89" s="6" t="n">
        <v>3840</v>
      </c>
      <c r="DW89" s="6" t="n">
        <v>3835</v>
      </c>
      <c r="DX89" s="6" t="n">
        <v>3390</v>
      </c>
      <c r="DY89" s="6" t="n">
        <v>3048</v>
      </c>
      <c r="DZ89" s="6" t="n">
        <v>2269</v>
      </c>
      <c r="EA89" s="6" t="n">
        <v>1313</v>
      </c>
      <c r="EB89" s="6" t="n">
        <v>989</v>
      </c>
      <c r="EC89" s="6" t="n">
        <v>2136</v>
      </c>
      <c r="ED89" s="6" t="n">
        <v>2135</v>
      </c>
      <c r="EE89" s="6" t="n">
        <v>2306</v>
      </c>
      <c r="EF89" s="6" t="n">
        <v>2375</v>
      </c>
      <c r="EG89" s="6" t="n">
        <v>2552</v>
      </c>
      <c r="EH89" s="6" t="n">
        <v>2520</v>
      </c>
      <c r="EI89" s="6" t="n">
        <v>2461</v>
      </c>
      <c r="EJ89" s="6" t="n">
        <v>2467</v>
      </c>
      <c r="EK89" s="6" t="n">
        <v>2500</v>
      </c>
      <c r="EL89" s="6" t="n">
        <v>2469</v>
      </c>
      <c r="EM89" s="6" t="n">
        <v>2099</v>
      </c>
      <c r="EN89" s="6" t="n">
        <v>2050</v>
      </c>
      <c r="EO89" s="6" t="n">
        <v>2005</v>
      </c>
      <c r="EP89" s="6" t="n">
        <v>1834</v>
      </c>
      <c r="EQ89" s="6" t="n">
        <v>1846</v>
      </c>
      <c r="ER89" s="6" t="n">
        <v>2092</v>
      </c>
      <c r="ES89" s="6" t="n">
        <v>1671</v>
      </c>
      <c r="ET89" s="6" t="n">
        <v>1772</v>
      </c>
      <c r="EU89" s="6" t="n">
        <v>1324</v>
      </c>
      <c r="EV89" s="6" t="n">
        <v>1771</v>
      </c>
      <c r="EW89" s="6" t="n">
        <v>2081</v>
      </c>
      <c r="EX89" s="6" t="n">
        <v>2135</v>
      </c>
      <c r="EY89" s="6" t="n">
        <v>2269</v>
      </c>
      <c r="EZ89" s="6" t="n">
        <v>2460</v>
      </c>
      <c r="FA89" s="6" t="n">
        <v>2295</v>
      </c>
      <c r="FB89" s="6" t="n">
        <v>2410</v>
      </c>
      <c r="FC89" s="6" t="n">
        <v>2370</v>
      </c>
      <c r="FD89" s="6" t="n">
        <v>2372</v>
      </c>
      <c r="FE89" s="6" t="n">
        <v>2471</v>
      </c>
      <c r="FF89" s="6" t="n">
        <v>2899</v>
      </c>
      <c r="FG89" s="6" t="n">
        <v>2970</v>
      </c>
      <c r="FH89" s="6" t="n">
        <v>3019</v>
      </c>
      <c r="FI89" s="6" t="n">
        <v>3410</v>
      </c>
      <c r="FJ89" s="6" t="n">
        <v>3501</v>
      </c>
      <c r="FK89" s="6" t="n">
        <v>3511</v>
      </c>
      <c r="FL89" s="6" t="n">
        <v>3510</v>
      </c>
      <c r="FM89" s="6" t="n">
        <v>3669</v>
      </c>
      <c r="FN89" s="6" t="n">
        <v>4204</v>
      </c>
      <c r="FO89" s="6" t="n">
        <v>4001</v>
      </c>
      <c r="FP89" s="6" t="n">
        <v>5026</v>
      </c>
      <c r="FQ89" s="6" t="n">
        <v>4035</v>
      </c>
      <c r="FR89" s="6" t="n">
        <v>4500</v>
      </c>
      <c r="FS89" s="6" t="n">
        <v>10000</v>
      </c>
      <c r="FT89" s="6" t="n">
        <v>10000</v>
      </c>
      <c r="FU89" s="6" t="n">
        <v>10000</v>
      </c>
      <c r="FV89" s="6" t="n">
        <v>6001</v>
      </c>
      <c r="FW89" s="6" t="n">
        <v>3660</v>
      </c>
      <c r="FX89" s="6" t="n">
        <v>2899</v>
      </c>
      <c r="FY89" s="6" t="n">
        <v>3062</v>
      </c>
      <c r="FZ89" s="6" t="n">
        <v>3421</v>
      </c>
      <c r="GA89" s="6" t="n">
        <v>4121</v>
      </c>
      <c r="GB89" s="6" t="n">
        <v>4853</v>
      </c>
      <c r="GC89" s="6" t="n">
        <v>3623</v>
      </c>
      <c r="GD89" s="6" t="n">
        <v>3630</v>
      </c>
      <c r="GE89" s="6" t="n">
        <v>3420</v>
      </c>
      <c r="GF89" s="6" t="n">
        <v>3519</v>
      </c>
      <c r="GG89" s="6" t="n">
        <v>3810</v>
      </c>
      <c r="GH89" s="6" t="n">
        <v>3898</v>
      </c>
      <c r="GI89" s="6" t="n">
        <v>3410</v>
      </c>
      <c r="GJ89" s="6" t="n">
        <v>3118</v>
      </c>
      <c r="GK89" s="6" t="n">
        <v>3118</v>
      </c>
      <c r="GL89" s="6" t="n">
        <v>3019</v>
      </c>
    </row>
    <row r="90">
      <c r="A90" s="6" t="inlineStr">
        <is>
          <t>RTM</t>
        </is>
      </c>
      <c r="B90" s="6" t="n">
        <v>27</v>
      </c>
      <c r="C90" s="6" t="n">
        <v>3700</v>
      </c>
      <c r="D90" s="6" t="n">
        <v>3520</v>
      </c>
      <c r="E90" s="6" t="n">
        <v>3196</v>
      </c>
      <c r="F90" s="6" t="n">
        <v>2913</v>
      </c>
      <c r="G90" s="6" t="n">
        <v>3410</v>
      </c>
      <c r="H90" s="6" t="n">
        <v>3320</v>
      </c>
      <c r="I90" s="6" t="n">
        <v>2891</v>
      </c>
      <c r="J90" s="6" t="n">
        <v>2800</v>
      </c>
      <c r="K90" s="6" t="n">
        <v>2750</v>
      </c>
      <c r="L90" s="6" t="n">
        <v>2780</v>
      </c>
      <c r="M90" s="6" t="n">
        <v>2700</v>
      </c>
      <c r="N90" s="6" t="n">
        <v>2700</v>
      </c>
      <c r="O90" s="6" t="n">
        <v>2780</v>
      </c>
      <c r="P90" s="6" t="n">
        <v>2850</v>
      </c>
      <c r="Q90" s="6" t="n">
        <v>2900</v>
      </c>
      <c r="R90" s="6" t="n">
        <v>2850</v>
      </c>
      <c r="S90" s="6" t="n">
        <v>2801</v>
      </c>
      <c r="T90" s="6" t="n">
        <v>2850</v>
      </c>
      <c r="U90" s="6" t="n">
        <v>2970</v>
      </c>
      <c r="V90" s="6" t="n">
        <v>3001</v>
      </c>
      <c r="W90" s="6" t="n">
        <v>2891</v>
      </c>
      <c r="X90" s="6" t="n">
        <v>2970</v>
      </c>
      <c r="Y90" s="6" t="n">
        <v>3140</v>
      </c>
      <c r="Z90" s="6" t="n">
        <v>3196</v>
      </c>
      <c r="AA90" s="6" t="n">
        <v>3233</v>
      </c>
      <c r="AB90" s="6" t="n">
        <v>3410</v>
      </c>
      <c r="AC90" s="6" t="n">
        <v>3259</v>
      </c>
      <c r="AD90" s="6" t="n">
        <v>3233</v>
      </c>
      <c r="AE90" s="6" t="n">
        <v>3210</v>
      </c>
      <c r="AF90" s="6" t="n">
        <v>2950</v>
      </c>
      <c r="AG90" s="6" t="n">
        <v>2460</v>
      </c>
      <c r="AH90" s="6" t="n">
        <v>2020</v>
      </c>
      <c r="AI90" s="6" t="n">
        <v>1647</v>
      </c>
      <c r="AJ90" s="6" t="n">
        <v>1645</v>
      </c>
      <c r="AK90" s="6" t="n">
        <v>1834</v>
      </c>
      <c r="AL90" s="6" t="n">
        <v>1645</v>
      </c>
      <c r="AM90" s="6" t="n">
        <v>1645</v>
      </c>
      <c r="AN90" s="6" t="n">
        <v>1772</v>
      </c>
      <c r="AO90" s="6" t="n">
        <v>1646</v>
      </c>
      <c r="AP90" s="6" t="n">
        <v>1543</v>
      </c>
      <c r="AQ90" s="6" t="n">
        <v>1771</v>
      </c>
      <c r="AR90" s="6" t="n">
        <v>1934</v>
      </c>
      <c r="AS90" s="6" t="n">
        <v>1501</v>
      </c>
      <c r="AT90" s="6" t="n">
        <v>1287</v>
      </c>
      <c r="AU90" s="6" t="n">
        <v>800</v>
      </c>
      <c r="AV90" s="6" t="n">
        <v>903</v>
      </c>
      <c r="AW90" s="6" t="n">
        <v>857</v>
      </c>
      <c r="AX90" s="6" t="n">
        <v>937</v>
      </c>
      <c r="AY90" s="6" t="n">
        <v>599</v>
      </c>
      <c r="AZ90" s="6" t="n">
        <v>599</v>
      </c>
      <c r="BA90" s="6" t="n">
        <v>403</v>
      </c>
      <c r="BB90" s="6" t="n">
        <v>100</v>
      </c>
      <c r="BC90" s="6" t="n">
        <v>100</v>
      </c>
      <c r="BD90" s="6" t="n">
        <v>100</v>
      </c>
      <c r="BE90" s="6" t="n">
        <v>401</v>
      </c>
      <c r="BF90" s="6" t="n">
        <v>401</v>
      </c>
      <c r="BG90" s="6" t="n">
        <v>1141</v>
      </c>
      <c r="BH90" s="6" t="n">
        <v>1801</v>
      </c>
      <c r="BI90" s="6" t="n">
        <v>2001</v>
      </c>
      <c r="BJ90" s="6" t="n">
        <v>2019</v>
      </c>
      <c r="BK90" s="6" t="n">
        <v>2000</v>
      </c>
      <c r="BL90" s="6" t="n">
        <v>2119</v>
      </c>
      <c r="BM90" s="6" t="n">
        <v>2781</v>
      </c>
      <c r="BN90" s="6" t="n">
        <v>2999</v>
      </c>
      <c r="BO90" s="6" t="n">
        <v>2801</v>
      </c>
      <c r="BP90" s="6" t="n">
        <v>2780</v>
      </c>
      <c r="BQ90" s="6" t="n">
        <v>2461</v>
      </c>
      <c r="BR90" s="6" t="n">
        <v>2562</v>
      </c>
      <c r="BS90" s="6" t="n">
        <v>3000</v>
      </c>
      <c r="BT90" s="6" t="n">
        <v>3001</v>
      </c>
      <c r="BU90" s="6" t="n">
        <v>3210</v>
      </c>
      <c r="BV90" s="6" t="n">
        <v>3232</v>
      </c>
      <c r="BW90" s="6" t="n">
        <v>3580</v>
      </c>
      <c r="BX90" s="6" t="n">
        <v>4000</v>
      </c>
      <c r="BY90" s="6" t="n">
        <v>2749</v>
      </c>
      <c r="BZ90" s="6" t="n">
        <v>2641</v>
      </c>
      <c r="CA90" s="6" t="n">
        <v>4651</v>
      </c>
      <c r="CB90" s="6" t="n">
        <v>5000</v>
      </c>
      <c r="CC90" s="6" t="n">
        <v>4853</v>
      </c>
      <c r="CD90" s="6" t="n">
        <v>4301</v>
      </c>
      <c r="CE90" s="6" t="n">
        <v>3217</v>
      </c>
      <c r="CF90" s="6" t="n">
        <v>2540</v>
      </c>
      <c r="CG90" s="6" t="n">
        <v>1209</v>
      </c>
      <c r="CH90" s="6" t="n">
        <v>2801</v>
      </c>
      <c r="CI90" s="6" t="n">
        <v>3602</v>
      </c>
      <c r="CJ90" s="6" t="n">
        <v>3810</v>
      </c>
      <c r="CK90" s="6" t="n">
        <v>3542</v>
      </c>
      <c r="CL90" s="6" t="n">
        <v>3511</v>
      </c>
      <c r="CM90" s="6" t="n">
        <v>3501</v>
      </c>
      <c r="CN90" s="6" t="n">
        <v>3580</v>
      </c>
      <c r="CO90" s="6" t="n">
        <v>3835</v>
      </c>
      <c r="CP90" s="6" t="n">
        <v>3836</v>
      </c>
      <c r="CQ90" s="6" t="n">
        <v>3835</v>
      </c>
      <c r="CR90" s="6" t="n">
        <v>3743</v>
      </c>
      <c r="CS90" s="6" t="n">
        <v>3391</v>
      </c>
      <c r="CT90" s="6" t="n">
        <v>2971</v>
      </c>
      <c r="CU90" s="6" t="n">
        <v>3700</v>
      </c>
      <c r="CV90" s="6" t="n">
        <v>3520</v>
      </c>
      <c r="CW90" s="6" t="n">
        <v>3196</v>
      </c>
      <c r="CX90" s="6" t="n">
        <v>2913</v>
      </c>
      <c r="CY90" s="6" t="n">
        <v>3410</v>
      </c>
      <c r="CZ90" s="6" t="n">
        <v>3320</v>
      </c>
      <c r="DA90" s="6" t="n">
        <v>2891</v>
      </c>
      <c r="DB90" s="6" t="n">
        <v>2800</v>
      </c>
      <c r="DC90" s="6" t="n">
        <v>2750</v>
      </c>
      <c r="DD90" s="6" t="n">
        <v>2780</v>
      </c>
      <c r="DE90" s="6" t="n">
        <v>2700</v>
      </c>
      <c r="DF90" s="6" t="n">
        <v>2700</v>
      </c>
      <c r="DG90" s="6" t="n">
        <v>2780</v>
      </c>
      <c r="DH90" s="6" t="n">
        <v>2850</v>
      </c>
      <c r="DI90" s="6" t="n">
        <v>2900</v>
      </c>
      <c r="DJ90" s="6" t="n">
        <v>2850</v>
      </c>
      <c r="DK90" s="6" t="n">
        <v>2801</v>
      </c>
      <c r="DL90" s="6" t="n">
        <v>2850</v>
      </c>
      <c r="DM90" s="6" t="n">
        <v>2970</v>
      </c>
      <c r="DN90" s="6" t="n">
        <v>3001</v>
      </c>
      <c r="DO90" s="6" t="n">
        <v>2891</v>
      </c>
      <c r="DP90" s="6" t="n">
        <v>2970</v>
      </c>
      <c r="DQ90" s="6" t="n">
        <v>3140</v>
      </c>
      <c r="DR90" s="6" t="n">
        <v>3196</v>
      </c>
      <c r="DS90" s="6" t="n">
        <v>3233</v>
      </c>
      <c r="DT90" s="6" t="n">
        <v>3410</v>
      </c>
      <c r="DU90" s="6" t="n">
        <v>3259</v>
      </c>
      <c r="DV90" s="6" t="n">
        <v>3233</v>
      </c>
      <c r="DW90" s="6" t="n">
        <v>3210</v>
      </c>
      <c r="DX90" s="6" t="n">
        <v>2950</v>
      </c>
      <c r="DY90" s="6" t="n">
        <v>2460</v>
      </c>
      <c r="DZ90" s="6" t="n">
        <v>2020</v>
      </c>
      <c r="EA90" s="6" t="n">
        <v>1647</v>
      </c>
      <c r="EB90" s="6" t="n">
        <v>1645</v>
      </c>
      <c r="EC90" s="6" t="n">
        <v>1834</v>
      </c>
      <c r="ED90" s="6" t="n">
        <v>1645</v>
      </c>
      <c r="EE90" s="6" t="n">
        <v>1645</v>
      </c>
      <c r="EF90" s="6" t="n">
        <v>1772</v>
      </c>
      <c r="EG90" s="6" t="n">
        <v>1646</v>
      </c>
      <c r="EH90" s="6" t="n">
        <v>1543</v>
      </c>
      <c r="EI90" s="6" t="n">
        <v>1771</v>
      </c>
      <c r="EJ90" s="6" t="n">
        <v>1934</v>
      </c>
      <c r="EK90" s="6" t="n">
        <v>1501</v>
      </c>
      <c r="EL90" s="6" t="n">
        <v>1287</v>
      </c>
      <c r="EM90" s="6" t="n">
        <v>800</v>
      </c>
      <c r="EN90" s="6" t="n">
        <v>903</v>
      </c>
      <c r="EO90" s="6" t="n">
        <v>857</v>
      </c>
      <c r="EP90" s="6" t="n">
        <v>937</v>
      </c>
      <c r="EQ90" s="6" t="n">
        <v>599</v>
      </c>
      <c r="ER90" s="6" t="n">
        <v>599</v>
      </c>
      <c r="ES90" s="6" t="n">
        <v>403</v>
      </c>
      <c r="ET90" s="6" t="n">
        <v>100</v>
      </c>
      <c r="EU90" s="6" t="n">
        <v>100</v>
      </c>
      <c r="EV90" s="6" t="n">
        <v>100</v>
      </c>
      <c r="EW90" s="6" t="n">
        <v>401</v>
      </c>
      <c r="EX90" s="6" t="n">
        <v>401</v>
      </c>
      <c r="EY90" s="6" t="n">
        <v>1141</v>
      </c>
      <c r="EZ90" s="6" t="n">
        <v>1801</v>
      </c>
      <c r="FA90" s="6" t="n">
        <v>2001</v>
      </c>
      <c r="FB90" s="6" t="n">
        <v>2019</v>
      </c>
      <c r="FC90" s="6" t="n">
        <v>2000</v>
      </c>
      <c r="FD90" s="6" t="n">
        <v>2119</v>
      </c>
      <c r="FE90" s="6" t="n">
        <v>2781</v>
      </c>
      <c r="FF90" s="6" t="n">
        <v>2999</v>
      </c>
      <c r="FG90" s="6" t="n">
        <v>2801</v>
      </c>
      <c r="FH90" s="6" t="n">
        <v>2780</v>
      </c>
      <c r="FI90" s="6" t="n">
        <v>2461</v>
      </c>
      <c r="FJ90" s="6" t="n">
        <v>2562</v>
      </c>
      <c r="FK90" s="6" t="n">
        <v>3000</v>
      </c>
      <c r="FL90" s="6" t="n">
        <v>3001</v>
      </c>
      <c r="FM90" s="6" t="n">
        <v>3210</v>
      </c>
      <c r="FN90" s="6" t="n">
        <v>3232</v>
      </c>
      <c r="FO90" s="6" t="n">
        <v>3580</v>
      </c>
      <c r="FP90" s="6" t="n">
        <v>4000</v>
      </c>
      <c r="FQ90" s="6" t="n">
        <v>2749</v>
      </c>
      <c r="FR90" s="6" t="n">
        <v>2641</v>
      </c>
      <c r="FS90" s="6" t="n">
        <v>4651</v>
      </c>
      <c r="FT90" s="6" t="n">
        <v>5000</v>
      </c>
      <c r="FU90" s="6" t="n">
        <v>4853</v>
      </c>
      <c r="FV90" s="6" t="n">
        <v>4301</v>
      </c>
      <c r="FW90" s="6" t="n">
        <v>3217</v>
      </c>
      <c r="FX90" s="6" t="n">
        <v>2540</v>
      </c>
      <c r="FY90" s="6" t="n">
        <v>1209</v>
      </c>
      <c r="FZ90" s="6" t="n">
        <v>2801</v>
      </c>
      <c r="GA90" s="6" t="n">
        <v>3602</v>
      </c>
      <c r="GB90" s="6" t="n">
        <v>3810</v>
      </c>
      <c r="GC90" s="6" t="n">
        <v>3542</v>
      </c>
      <c r="GD90" s="6" t="n">
        <v>3511</v>
      </c>
      <c r="GE90" s="6" t="n">
        <v>3501</v>
      </c>
      <c r="GF90" s="6" t="n">
        <v>3580</v>
      </c>
      <c r="GG90" s="6" t="n">
        <v>3835</v>
      </c>
      <c r="GH90" s="6" t="n">
        <v>3836</v>
      </c>
      <c r="GI90" s="6" t="n">
        <v>3835</v>
      </c>
      <c r="GJ90" s="6" t="n">
        <v>3743</v>
      </c>
      <c r="GK90" s="6" t="n">
        <v>3391</v>
      </c>
      <c r="GL90" s="6" t="n">
        <v>2971</v>
      </c>
    </row>
    <row r="91">
      <c r="A91" s="6" t="inlineStr">
        <is>
          <t>RTM</t>
        </is>
      </c>
      <c r="B91" s="6" t="n">
        <v>28</v>
      </c>
      <c r="C91" s="6" t="n">
        <v>3102</v>
      </c>
      <c r="D91" s="6" t="n">
        <v>3012</v>
      </c>
      <c r="E91" s="6" t="n">
        <v>3251</v>
      </c>
      <c r="F91" s="6" t="n">
        <v>3235</v>
      </c>
      <c r="G91" s="6" t="n">
        <v>3390</v>
      </c>
      <c r="H91" s="6" t="n">
        <v>3404</v>
      </c>
      <c r="I91" s="6" t="n">
        <v>3010</v>
      </c>
      <c r="J91" s="6" t="n">
        <v>2700</v>
      </c>
      <c r="K91" s="6" t="n">
        <v>2849</v>
      </c>
      <c r="L91" s="6" t="n">
        <v>2970</v>
      </c>
      <c r="M91" s="6" t="n">
        <v>2700</v>
      </c>
      <c r="N91" s="6" t="n">
        <v>2781</v>
      </c>
      <c r="O91" s="6" t="n">
        <v>2587</v>
      </c>
      <c r="P91" s="6" t="n">
        <v>2551</v>
      </c>
      <c r="Q91" s="6" t="n">
        <v>3260</v>
      </c>
      <c r="R91" s="6" t="n">
        <v>3210</v>
      </c>
      <c r="S91" s="6" t="n">
        <v>3196</v>
      </c>
      <c r="T91" s="6" t="n">
        <v>3001</v>
      </c>
      <c r="U91" s="6" t="n">
        <v>2850</v>
      </c>
      <c r="V91" s="6" t="n">
        <v>2849</v>
      </c>
      <c r="W91" s="6" t="n">
        <v>2781</v>
      </c>
      <c r="X91" s="6" t="n">
        <v>2850</v>
      </c>
      <c r="Y91" s="6" t="n">
        <v>2771</v>
      </c>
      <c r="Z91" s="6" t="n">
        <v>2712</v>
      </c>
      <c r="AA91" s="6" t="n">
        <v>3233</v>
      </c>
      <c r="AB91" s="6" t="n">
        <v>3403</v>
      </c>
      <c r="AC91" s="6" t="n">
        <v>3408</v>
      </c>
      <c r="AD91" s="6" t="n">
        <v>3305</v>
      </c>
      <c r="AE91" s="6" t="n">
        <v>2971</v>
      </c>
      <c r="AF91" s="6" t="n">
        <v>2550</v>
      </c>
      <c r="AG91" s="6" t="n">
        <v>2136</v>
      </c>
      <c r="AH91" s="6" t="n">
        <v>1628</v>
      </c>
      <c r="AI91" s="6" t="n">
        <v>899</v>
      </c>
      <c r="AJ91" s="6" t="n">
        <v>899</v>
      </c>
      <c r="AK91" s="6" t="n">
        <v>226</v>
      </c>
      <c r="AL91" s="6" t="n">
        <v>955</v>
      </c>
      <c r="AM91" s="6" t="n">
        <v>1301</v>
      </c>
      <c r="AN91" s="6" t="n">
        <v>1300</v>
      </c>
      <c r="AO91" s="6" t="n">
        <v>1819</v>
      </c>
      <c r="AP91" s="6" t="n">
        <v>1818</v>
      </c>
      <c r="AQ91" s="6" t="n">
        <v>499</v>
      </c>
      <c r="AR91" s="6" t="n">
        <v>563</v>
      </c>
      <c r="AS91" s="6" t="n">
        <v>401</v>
      </c>
      <c r="AT91" s="6" t="n">
        <v>401</v>
      </c>
      <c r="AU91" s="6" t="n">
        <v>400</v>
      </c>
      <c r="AV91" s="6" t="n">
        <v>400</v>
      </c>
      <c r="AW91" s="6" t="n">
        <v>99</v>
      </c>
      <c r="AX91" s="6" t="n">
        <v>213</v>
      </c>
      <c r="AY91" s="6" t="n">
        <v>400</v>
      </c>
      <c r="AZ91" s="6" t="n">
        <v>401</v>
      </c>
      <c r="BA91" s="6" t="n">
        <v>400</v>
      </c>
      <c r="BB91" s="6" t="n">
        <v>400</v>
      </c>
      <c r="BC91" s="6" t="n">
        <v>371</v>
      </c>
      <c r="BD91" s="6" t="n">
        <v>400</v>
      </c>
      <c r="BE91" s="6" t="n">
        <v>400</v>
      </c>
      <c r="BF91" s="6" t="n">
        <v>400</v>
      </c>
      <c r="BG91" s="6" t="n">
        <v>1140</v>
      </c>
      <c r="BH91" s="6" t="n">
        <v>1499</v>
      </c>
      <c r="BI91" s="6" t="n">
        <v>1935</v>
      </c>
      <c r="BJ91" s="6" t="n">
        <v>2008</v>
      </c>
      <c r="BK91" s="6" t="n">
        <v>2119</v>
      </c>
      <c r="BL91" s="6" t="n">
        <v>2135</v>
      </c>
      <c r="BM91" s="6" t="n">
        <v>1935</v>
      </c>
      <c r="BN91" s="6" t="n">
        <v>2101</v>
      </c>
      <c r="BO91" s="6" t="n">
        <v>2319</v>
      </c>
      <c r="BP91" s="6" t="n">
        <v>2396</v>
      </c>
      <c r="BQ91" s="6" t="n">
        <v>2374</v>
      </c>
      <c r="BR91" s="6" t="n">
        <v>2767</v>
      </c>
      <c r="BS91" s="6" t="n">
        <v>2821</v>
      </c>
      <c r="BT91" s="6" t="n">
        <v>3209</v>
      </c>
      <c r="BU91" s="6" t="n">
        <v>3390</v>
      </c>
      <c r="BV91" s="6" t="n">
        <v>3573</v>
      </c>
      <c r="BW91" s="6" t="n">
        <v>3252</v>
      </c>
      <c r="BX91" s="6" t="n">
        <v>3630</v>
      </c>
      <c r="BY91" s="6" t="n">
        <v>4035</v>
      </c>
      <c r="BZ91" s="6" t="n">
        <v>3769</v>
      </c>
      <c r="CA91" s="6" t="n">
        <v>2971</v>
      </c>
      <c r="CB91" s="6" t="n">
        <v>3510</v>
      </c>
      <c r="CC91" s="6" t="n">
        <v>3390</v>
      </c>
      <c r="CD91" s="6" t="n">
        <v>2781</v>
      </c>
      <c r="CE91" s="6" t="n">
        <v>2191</v>
      </c>
      <c r="CF91" s="6" t="n">
        <v>1772</v>
      </c>
      <c r="CG91" s="6" t="n">
        <v>3197</v>
      </c>
      <c r="CH91" s="6" t="n">
        <v>3729</v>
      </c>
      <c r="CI91" s="6" t="n">
        <v>3810</v>
      </c>
      <c r="CJ91" s="6" t="n">
        <v>3983</v>
      </c>
      <c r="CK91" s="6" t="n">
        <v>3101</v>
      </c>
      <c r="CL91" s="6" t="n">
        <v>2396</v>
      </c>
      <c r="CM91" s="6" t="n">
        <v>2971</v>
      </c>
      <c r="CN91" s="6" t="n">
        <v>3408</v>
      </c>
      <c r="CO91" s="6" t="n">
        <v>3630</v>
      </c>
      <c r="CP91" s="6" t="n">
        <v>3811</v>
      </c>
      <c r="CQ91" s="6" t="n">
        <v>3409</v>
      </c>
      <c r="CR91" s="6" t="n">
        <v>3403</v>
      </c>
      <c r="CS91" s="6" t="n">
        <v>3409</v>
      </c>
      <c r="CT91" s="6" t="n">
        <v>3391</v>
      </c>
      <c r="CU91" s="6" t="n">
        <v>3102</v>
      </c>
      <c r="CV91" s="6" t="n">
        <v>3012</v>
      </c>
      <c r="CW91" s="6" t="n">
        <v>3251</v>
      </c>
      <c r="CX91" s="6" t="n">
        <v>3235</v>
      </c>
      <c r="CY91" s="6" t="n">
        <v>3390</v>
      </c>
      <c r="CZ91" s="6" t="n">
        <v>3404</v>
      </c>
      <c r="DA91" s="6" t="n">
        <v>3010</v>
      </c>
      <c r="DB91" s="6" t="n">
        <v>2700</v>
      </c>
      <c r="DC91" s="6" t="n">
        <v>2849</v>
      </c>
      <c r="DD91" s="6" t="n">
        <v>2970</v>
      </c>
      <c r="DE91" s="6" t="n">
        <v>2700</v>
      </c>
      <c r="DF91" s="6" t="n">
        <v>2781</v>
      </c>
      <c r="DG91" s="6" t="n">
        <v>2587</v>
      </c>
      <c r="DH91" s="6" t="n">
        <v>2551</v>
      </c>
      <c r="DI91" s="6" t="n">
        <v>3260</v>
      </c>
      <c r="DJ91" s="6" t="n">
        <v>3210</v>
      </c>
      <c r="DK91" s="6" t="n">
        <v>3196</v>
      </c>
      <c r="DL91" s="6" t="n">
        <v>3001</v>
      </c>
      <c r="DM91" s="6" t="n">
        <v>2850</v>
      </c>
      <c r="DN91" s="6" t="n">
        <v>2849</v>
      </c>
      <c r="DO91" s="6" t="n">
        <v>2781</v>
      </c>
      <c r="DP91" s="6" t="n">
        <v>2850</v>
      </c>
      <c r="DQ91" s="6" t="n">
        <v>2771</v>
      </c>
      <c r="DR91" s="6" t="n">
        <v>2712</v>
      </c>
      <c r="DS91" s="6" t="n">
        <v>3233</v>
      </c>
      <c r="DT91" s="6" t="n">
        <v>3403</v>
      </c>
      <c r="DU91" s="6" t="n">
        <v>3408</v>
      </c>
      <c r="DV91" s="6" t="n">
        <v>3305</v>
      </c>
      <c r="DW91" s="6" t="n">
        <v>2971</v>
      </c>
      <c r="DX91" s="6" t="n">
        <v>2550</v>
      </c>
      <c r="DY91" s="6" t="n">
        <v>2136</v>
      </c>
      <c r="DZ91" s="6" t="n">
        <v>1628</v>
      </c>
      <c r="EA91" s="6" t="n">
        <v>899</v>
      </c>
      <c r="EB91" s="6" t="n">
        <v>899</v>
      </c>
      <c r="EC91" s="6" t="n">
        <v>226</v>
      </c>
      <c r="ED91" s="6" t="n">
        <v>955</v>
      </c>
      <c r="EE91" s="6" t="n">
        <v>1301</v>
      </c>
      <c r="EF91" s="6" t="n">
        <v>1300</v>
      </c>
      <c r="EG91" s="6" t="n">
        <v>1819</v>
      </c>
      <c r="EH91" s="6" t="n">
        <v>1818</v>
      </c>
      <c r="EI91" s="6" t="n">
        <v>499</v>
      </c>
      <c r="EJ91" s="6" t="n">
        <v>563</v>
      </c>
      <c r="EK91" s="6" t="n">
        <v>401</v>
      </c>
      <c r="EL91" s="6" t="n">
        <v>401</v>
      </c>
      <c r="EM91" s="6" t="n">
        <v>400</v>
      </c>
      <c r="EN91" s="6" t="n">
        <v>400</v>
      </c>
      <c r="EO91" s="6" t="n">
        <v>99</v>
      </c>
      <c r="EP91" s="6" t="n">
        <v>213</v>
      </c>
      <c r="EQ91" s="6" t="n">
        <v>400</v>
      </c>
      <c r="ER91" s="6" t="n">
        <v>401</v>
      </c>
      <c r="ES91" s="6" t="n">
        <v>400</v>
      </c>
      <c r="ET91" s="6" t="n">
        <v>400</v>
      </c>
      <c r="EU91" s="6" t="n">
        <v>371</v>
      </c>
      <c r="EV91" s="6" t="n">
        <v>400</v>
      </c>
      <c r="EW91" s="6" t="n">
        <v>400</v>
      </c>
      <c r="EX91" s="6" t="n">
        <v>400</v>
      </c>
      <c r="EY91" s="6" t="n">
        <v>1140</v>
      </c>
      <c r="EZ91" s="6" t="n">
        <v>1499</v>
      </c>
      <c r="FA91" s="6" t="n">
        <v>1935</v>
      </c>
      <c r="FB91" s="6" t="n">
        <v>2008</v>
      </c>
      <c r="FC91" s="6" t="n">
        <v>2119</v>
      </c>
      <c r="FD91" s="6" t="n">
        <v>2135</v>
      </c>
      <c r="FE91" s="6" t="n">
        <v>1935</v>
      </c>
      <c r="FF91" s="6" t="n">
        <v>2101</v>
      </c>
      <c r="FG91" s="6" t="n">
        <v>2319</v>
      </c>
      <c r="FH91" s="6" t="n">
        <v>2396</v>
      </c>
      <c r="FI91" s="6" t="n">
        <v>2374</v>
      </c>
      <c r="FJ91" s="6" t="n">
        <v>2767</v>
      </c>
      <c r="FK91" s="6" t="n">
        <v>2821</v>
      </c>
      <c r="FL91" s="6" t="n">
        <v>3209</v>
      </c>
      <c r="FM91" s="6" t="n">
        <v>3390</v>
      </c>
      <c r="FN91" s="6" t="n">
        <v>3573</v>
      </c>
      <c r="FO91" s="6" t="n">
        <v>3252</v>
      </c>
      <c r="FP91" s="6" t="n">
        <v>3630</v>
      </c>
      <c r="FQ91" s="6" t="n">
        <v>4035</v>
      </c>
      <c r="FR91" s="6" t="n">
        <v>3769</v>
      </c>
      <c r="FS91" s="6" t="n">
        <v>2971</v>
      </c>
      <c r="FT91" s="6" t="n">
        <v>3510</v>
      </c>
      <c r="FU91" s="6" t="n">
        <v>3390</v>
      </c>
      <c r="FV91" s="6" t="n">
        <v>2781</v>
      </c>
      <c r="FW91" s="6" t="n">
        <v>2191</v>
      </c>
      <c r="FX91" s="6" t="n">
        <v>1772</v>
      </c>
      <c r="FY91" s="6" t="n">
        <v>3197</v>
      </c>
      <c r="FZ91" s="6" t="n">
        <v>3729</v>
      </c>
      <c r="GA91" s="6" t="n">
        <v>3810</v>
      </c>
      <c r="GB91" s="6" t="n">
        <v>3983</v>
      </c>
      <c r="GC91" s="6" t="n">
        <v>3101</v>
      </c>
      <c r="GD91" s="6" t="n">
        <v>2396</v>
      </c>
      <c r="GE91" s="6" t="n">
        <v>2971</v>
      </c>
      <c r="GF91" s="6" t="n">
        <v>3408</v>
      </c>
      <c r="GG91" s="6" t="n">
        <v>3630</v>
      </c>
      <c r="GH91" s="6" t="n">
        <v>3811</v>
      </c>
      <c r="GI91" s="6" t="n">
        <v>3409</v>
      </c>
      <c r="GJ91" s="6" t="n">
        <v>3403</v>
      </c>
      <c r="GK91" s="6" t="n">
        <v>3409</v>
      </c>
      <c r="GL91" s="6" t="n">
        <v>3391</v>
      </c>
    </row>
    <row r="92">
      <c r="A92" s="6" t="inlineStr">
        <is>
          <t>RTM</t>
        </is>
      </c>
      <c r="B92" s="6" t="n">
        <v>29</v>
      </c>
      <c r="C92" s="6" t="n">
        <v>3410</v>
      </c>
      <c r="D92" s="6" t="n">
        <v>3404</v>
      </c>
      <c r="E92" s="6" t="n">
        <v>3210</v>
      </c>
      <c r="F92" s="6" t="n">
        <v>2996</v>
      </c>
      <c r="G92" s="6" t="n">
        <v>2970</v>
      </c>
      <c r="H92" s="6" t="n">
        <v>2850</v>
      </c>
      <c r="I92" s="6" t="n">
        <v>3209</v>
      </c>
      <c r="J92" s="6" t="n">
        <v>3196</v>
      </c>
      <c r="K92" s="6" t="n">
        <v>2780</v>
      </c>
      <c r="L92" s="6" t="n">
        <v>2849</v>
      </c>
      <c r="M92" s="6" t="n">
        <v>3001</v>
      </c>
      <c r="N92" s="6" t="n">
        <v>3209</v>
      </c>
      <c r="O92" s="6" t="n">
        <v>2633</v>
      </c>
      <c r="P92" s="6" t="n">
        <v>2780</v>
      </c>
      <c r="Q92" s="6" t="n">
        <v>2850</v>
      </c>
      <c r="R92" s="6" t="n">
        <v>3151</v>
      </c>
      <c r="S92" s="6" t="n">
        <v>2800</v>
      </c>
      <c r="T92" s="6" t="n">
        <v>2970</v>
      </c>
      <c r="U92" s="6" t="n">
        <v>3233</v>
      </c>
      <c r="V92" s="6" t="n">
        <v>3367</v>
      </c>
      <c r="W92" s="6" t="n">
        <v>3630</v>
      </c>
      <c r="X92" s="6" t="n">
        <v>3618</v>
      </c>
      <c r="Y92" s="6" t="n">
        <v>3605</v>
      </c>
      <c r="Z92" s="6" t="n">
        <v>3303</v>
      </c>
      <c r="AA92" s="6" t="n">
        <v>3232</v>
      </c>
      <c r="AB92" s="6" t="n">
        <v>3167</v>
      </c>
      <c r="AC92" s="6" t="n">
        <v>3196</v>
      </c>
      <c r="AD92" s="6" t="n">
        <v>3129</v>
      </c>
      <c r="AE92" s="6" t="n">
        <v>2838</v>
      </c>
      <c r="AF92" s="6" t="n">
        <v>2499</v>
      </c>
      <c r="AG92" s="6" t="n">
        <v>2461</v>
      </c>
      <c r="AH92" s="6" t="n">
        <v>2117</v>
      </c>
      <c r="AI92" s="6" t="n">
        <v>2395</v>
      </c>
      <c r="AJ92" s="6" t="n">
        <v>2436</v>
      </c>
      <c r="AK92" s="6" t="n">
        <v>2519</v>
      </c>
      <c r="AL92" s="6" t="n">
        <v>2467</v>
      </c>
      <c r="AM92" s="6" t="n">
        <v>2269</v>
      </c>
      <c r="AN92" s="6" t="n">
        <v>2230</v>
      </c>
      <c r="AO92" s="6" t="n">
        <v>638</v>
      </c>
      <c r="AP92" s="6" t="n">
        <v>742</v>
      </c>
      <c r="AQ92" s="6" t="n">
        <v>100</v>
      </c>
      <c r="AR92" s="6" t="n">
        <v>498</v>
      </c>
      <c r="AS92" s="6" t="n">
        <v>1646</v>
      </c>
      <c r="AT92" s="6" t="n">
        <v>1500</v>
      </c>
      <c r="AU92" s="6" t="n">
        <v>1885</v>
      </c>
      <c r="AV92" s="6" t="n">
        <v>1886</v>
      </c>
      <c r="AW92" s="6" t="n">
        <v>1140</v>
      </c>
      <c r="AX92" s="6" t="n">
        <v>1188</v>
      </c>
      <c r="AY92" s="6" t="n">
        <v>1324</v>
      </c>
      <c r="AZ92" s="6" t="n">
        <v>1141</v>
      </c>
      <c r="BA92" s="6" t="n">
        <v>401</v>
      </c>
      <c r="BB92" s="6" t="n">
        <v>401</v>
      </c>
      <c r="BC92" s="6" t="n">
        <v>400</v>
      </c>
      <c r="BD92" s="6" t="n">
        <v>401</v>
      </c>
      <c r="BE92" s="6" t="n">
        <v>1140</v>
      </c>
      <c r="BF92" s="6" t="n">
        <v>1546</v>
      </c>
      <c r="BG92" s="6" t="n">
        <v>1619</v>
      </c>
      <c r="BH92" s="6" t="n">
        <v>1885</v>
      </c>
      <c r="BI92" s="6" t="n">
        <v>2371</v>
      </c>
      <c r="BJ92" s="6" t="n">
        <v>2396</v>
      </c>
      <c r="BK92" s="6" t="n">
        <v>2499</v>
      </c>
      <c r="BL92" s="6" t="n">
        <v>2781</v>
      </c>
      <c r="BM92" s="6" t="n">
        <v>3118</v>
      </c>
      <c r="BN92" s="6" t="n">
        <v>3209</v>
      </c>
      <c r="BO92" s="6" t="n">
        <v>3017</v>
      </c>
      <c r="BP92" s="6" t="n">
        <v>3001</v>
      </c>
      <c r="BQ92" s="6" t="n">
        <v>3071</v>
      </c>
      <c r="BR92" s="6" t="n">
        <v>3309</v>
      </c>
      <c r="BS92" s="6" t="n">
        <v>3668</v>
      </c>
      <c r="BT92" s="6" t="n">
        <v>3835</v>
      </c>
      <c r="BU92" s="6" t="n">
        <v>3669</v>
      </c>
      <c r="BV92" s="6" t="n">
        <v>3985</v>
      </c>
      <c r="BW92" s="6" t="n">
        <v>5500</v>
      </c>
      <c r="BX92" s="6" t="n">
        <v>10000</v>
      </c>
      <c r="BY92" s="6" t="n">
        <v>10000</v>
      </c>
      <c r="BZ92" s="6" t="n">
        <v>10000</v>
      </c>
      <c r="CA92" s="6" t="n">
        <v>10000</v>
      </c>
      <c r="CB92" s="6" t="n">
        <v>10000</v>
      </c>
      <c r="CC92" s="6" t="n">
        <v>10000</v>
      </c>
      <c r="CD92" s="6" t="n">
        <v>8999</v>
      </c>
      <c r="CE92" s="6" t="n">
        <v>4300</v>
      </c>
      <c r="CF92" s="6" t="n">
        <v>3580</v>
      </c>
      <c r="CG92" s="6" t="n">
        <v>3839</v>
      </c>
      <c r="CH92" s="6" t="n">
        <v>4600</v>
      </c>
      <c r="CI92" s="6" t="n">
        <v>4999</v>
      </c>
      <c r="CJ92" s="6" t="n">
        <v>4700</v>
      </c>
      <c r="CK92" s="6" t="n">
        <v>3660</v>
      </c>
      <c r="CL92" s="6" t="n">
        <v>3750</v>
      </c>
      <c r="CM92" s="6" t="n">
        <v>4501</v>
      </c>
      <c r="CN92" s="6" t="n">
        <v>4827</v>
      </c>
      <c r="CO92" s="6" t="n">
        <v>5521</v>
      </c>
      <c r="CP92" s="6" t="n">
        <v>5827</v>
      </c>
      <c r="CQ92" s="6" t="n">
        <v>5500</v>
      </c>
      <c r="CR92" s="6" t="n">
        <v>5026</v>
      </c>
      <c r="CS92" s="6" t="n">
        <v>4036</v>
      </c>
      <c r="CT92" s="6" t="n">
        <v>4035</v>
      </c>
      <c r="CU92" s="6" t="n">
        <v>3410</v>
      </c>
      <c r="CV92" s="6" t="n">
        <v>3404</v>
      </c>
      <c r="CW92" s="6" t="n">
        <v>3210</v>
      </c>
      <c r="CX92" s="6" t="n">
        <v>2996</v>
      </c>
      <c r="CY92" s="6" t="n">
        <v>2970</v>
      </c>
      <c r="CZ92" s="6" t="n">
        <v>2850</v>
      </c>
      <c r="DA92" s="6" t="n">
        <v>3209</v>
      </c>
      <c r="DB92" s="6" t="n">
        <v>3196</v>
      </c>
      <c r="DC92" s="6" t="n">
        <v>2780</v>
      </c>
      <c r="DD92" s="6" t="n">
        <v>2849</v>
      </c>
      <c r="DE92" s="6" t="n">
        <v>3001</v>
      </c>
      <c r="DF92" s="6" t="n">
        <v>3209</v>
      </c>
      <c r="DG92" s="6" t="n">
        <v>2633</v>
      </c>
      <c r="DH92" s="6" t="n">
        <v>2780</v>
      </c>
      <c r="DI92" s="6" t="n">
        <v>2850</v>
      </c>
      <c r="DJ92" s="6" t="n">
        <v>3151</v>
      </c>
      <c r="DK92" s="6" t="n">
        <v>2800</v>
      </c>
      <c r="DL92" s="6" t="n">
        <v>2970</v>
      </c>
      <c r="DM92" s="6" t="n">
        <v>3233</v>
      </c>
      <c r="DN92" s="6" t="n">
        <v>3367</v>
      </c>
      <c r="DO92" s="6" t="n">
        <v>3630</v>
      </c>
      <c r="DP92" s="6" t="n">
        <v>3618</v>
      </c>
      <c r="DQ92" s="6" t="n">
        <v>3605</v>
      </c>
      <c r="DR92" s="6" t="n">
        <v>3303</v>
      </c>
      <c r="DS92" s="6" t="n">
        <v>3232</v>
      </c>
      <c r="DT92" s="6" t="n">
        <v>3167</v>
      </c>
      <c r="DU92" s="6" t="n">
        <v>3196</v>
      </c>
      <c r="DV92" s="6" t="n">
        <v>3129</v>
      </c>
      <c r="DW92" s="6" t="n">
        <v>2838</v>
      </c>
      <c r="DX92" s="6" t="n">
        <v>2499</v>
      </c>
      <c r="DY92" s="6" t="n">
        <v>2461</v>
      </c>
      <c r="DZ92" s="6" t="n">
        <v>2117</v>
      </c>
      <c r="EA92" s="6" t="n">
        <v>2395</v>
      </c>
      <c r="EB92" s="6" t="n">
        <v>2436</v>
      </c>
      <c r="EC92" s="6" t="n">
        <v>2519</v>
      </c>
      <c r="ED92" s="6" t="n">
        <v>2467</v>
      </c>
      <c r="EE92" s="6" t="n">
        <v>2269</v>
      </c>
      <c r="EF92" s="6" t="n">
        <v>2230</v>
      </c>
      <c r="EG92" s="6" t="n">
        <v>638</v>
      </c>
      <c r="EH92" s="6" t="n">
        <v>742</v>
      </c>
      <c r="EI92" s="6" t="n">
        <v>100</v>
      </c>
      <c r="EJ92" s="6" t="n">
        <v>498</v>
      </c>
      <c r="EK92" s="6" t="n">
        <v>1646</v>
      </c>
      <c r="EL92" s="6" t="n">
        <v>1500</v>
      </c>
      <c r="EM92" s="6" t="n">
        <v>1885</v>
      </c>
      <c r="EN92" s="6" t="n">
        <v>1886</v>
      </c>
      <c r="EO92" s="6" t="n">
        <v>1140</v>
      </c>
      <c r="EP92" s="6" t="n">
        <v>1188</v>
      </c>
      <c r="EQ92" s="6" t="n">
        <v>1324</v>
      </c>
      <c r="ER92" s="6" t="n">
        <v>1141</v>
      </c>
      <c r="ES92" s="6" t="n">
        <v>401</v>
      </c>
      <c r="ET92" s="6" t="n">
        <v>401</v>
      </c>
      <c r="EU92" s="6" t="n">
        <v>400</v>
      </c>
      <c r="EV92" s="6" t="n">
        <v>401</v>
      </c>
      <c r="EW92" s="6" t="n">
        <v>1140</v>
      </c>
      <c r="EX92" s="6" t="n">
        <v>1546</v>
      </c>
      <c r="EY92" s="6" t="n">
        <v>1619</v>
      </c>
      <c r="EZ92" s="6" t="n">
        <v>1885</v>
      </c>
      <c r="FA92" s="6" t="n">
        <v>2371</v>
      </c>
      <c r="FB92" s="6" t="n">
        <v>2396</v>
      </c>
      <c r="FC92" s="6" t="n">
        <v>2499</v>
      </c>
      <c r="FD92" s="6" t="n">
        <v>2781</v>
      </c>
      <c r="FE92" s="6" t="n">
        <v>3118</v>
      </c>
      <c r="FF92" s="6" t="n">
        <v>3209</v>
      </c>
      <c r="FG92" s="6" t="n">
        <v>3017</v>
      </c>
      <c r="FH92" s="6" t="n">
        <v>3001</v>
      </c>
      <c r="FI92" s="6" t="n">
        <v>3071</v>
      </c>
      <c r="FJ92" s="6" t="n">
        <v>3309</v>
      </c>
      <c r="FK92" s="6" t="n">
        <v>3668</v>
      </c>
      <c r="FL92" s="6" t="n">
        <v>3835</v>
      </c>
      <c r="FM92" s="6" t="n">
        <v>3669</v>
      </c>
      <c r="FN92" s="6" t="n">
        <v>3985</v>
      </c>
      <c r="FO92" s="6" t="n">
        <v>5500</v>
      </c>
      <c r="FP92" s="6" t="n">
        <v>10000</v>
      </c>
      <c r="FQ92" s="6" t="n">
        <v>10000</v>
      </c>
      <c r="FR92" s="6" t="n">
        <v>10000</v>
      </c>
      <c r="FS92" s="6" t="n">
        <v>10000</v>
      </c>
      <c r="FT92" s="6" t="n">
        <v>10000</v>
      </c>
      <c r="FU92" s="6" t="n">
        <v>10000</v>
      </c>
      <c r="FV92" s="6" t="n">
        <v>8999</v>
      </c>
      <c r="FW92" s="6" t="n">
        <v>4300</v>
      </c>
      <c r="FX92" s="6" t="n">
        <v>3580</v>
      </c>
      <c r="FY92" s="6" t="n">
        <v>3839</v>
      </c>
      <c r="FZ92" s="6" t="n">
        <v>4600</v>
      </c>
      <c r="GA92" s="6" t="n">
        <v>4999</v>
      </c>
      <c r="GB92" s="6" t="n">
        <v>4700</v>
      </c>
      <c r="GC92" s="6" t="n">
        <v>3660</v>
      </c>
      <c r="GD92" s="6" t="n">
        <v>3750</v>
      </c>
      <c r="GE92" s="6" t="n">
        <v>4501</v>
      </c>
      <c r="GF92" s="6" t="n">
        <v>4827</v>
      </c>
      <c r="GG92" s="6" t="n">
        <v>5521</v>
      </c>
      <c r="GH92" s="6" t="n">
        <v>5827</v>
      </c>
      <c r="GI92" s="6" t="n">
        <v>5500</v>
      </c>
      <c r="GJ92" s="6" t="n">
        <v>5026</v>
      </c>
      <c r="GK92" s="6" t="n">
        <v>4036</v>
      </c>
      <c r="GL92" s="6" t="n">
        <v>4035</v>
      </c>
    </row>
    <row r="93">
      <c r="A93" s="6" t="inlineStr">
        <is>
          <t>RTM</t>
        </is>
      </c>
      <c r="B93" s="6" t="n">
        <v>30</v>
      </c>
      <c r="C93" s="6" t="n">
        <v>5393</v>
      </c>
      <c r="D93" s="6" t="n">
        <v>5064</v>
      </c>
      <c r="E93" s="6" t="n">
        <v>4827</v>
      </c>
      <c r="F93" s="6" t="n">
        <v>4654</v>
      </c>
      <c r="G93" s="6" t="n">
        <v>4036</v>
      </c>
      <c r="H93" s="6" t="n">
        <v>3830</v>
      </c>
      <c r="I93" s="6" t="n">
        <v>4001</v>
      </c>
      <c r="J93" s="6" t="n">
        <v>3830</v>
      </c>
      <c r="K93" s="6" t="n">
        <v>3409</v>
      </c>
      <c r="L93" s="6" t="n">
        <v>3271</v>
      </c>
      <c r="M93" s="6" t="n">
        <v>3391</v>
      </c>
      <c r="N93" s="6" t="n">
        <v>3501</v>
      </c>
      <c r="O93" s="6" t="n">
        <v>3390</v>
      </c>
      <c r="P93" s="6" t="n">
        <v>3404</v>
      </c>
      <c r="Q93" s="6" t="n">
        <v>3501</v>
      </c>
      <c r="R93" s="6" t="n">
        <v>3409</v>
      </c>
      <c r="S93" s="6" t="n">
        <v>3270</v>
      </c>
      <c r="T93" s="6" t="n">
        <v>3304</v>
      </c>
      <c r="U93" s="6" t="n">
        <v>3410</v>
      </c>
      <c r="V93" s="6" t="n">
        <v>3410</v>
      </c>
      <c r="W93" s="6" t="n">
        <v>3611</v>
      </c>
      <c r="X93" s="6" t="n">
        <v>3630</v>
      </c>
      <c r="Y93" s="6" t="n">
        <v>3612</v>
      </c>
      <c r="Z93" s="6" t="n">
        <v>3541</v>
      </c>
      <c r="AA93" s="6" t="n">
        <v>3410</v>
      </c>
      <c r="AB93" s="6" t="n">
        <v>3946</v>
      </c>
      <c r="AC93" s="6" t="n">
        <v>3839</v>
      </c>
      <c r="AD93" s="6" t="n">
        <v>3611</v>
      </c>
      <c r="AE93" s="6" t="n">
        <v>3303</v>
      </c>
      <c r="AF93" s="6" t="n">
        <v>3000</v>
      </c>
      <c r="AG93" s="6" t="n">
        <v>2767</v>
      </c>
      <c r="AH93" s="6" t="n">
        <v>2499</v>
      </c>
      <c r="AI93" s="6" t="n">
        <v>2169</v>
      </c>
      <c r="AJ93" s="6" t="n">
        <v>2082</v>
      </c>
      <c r="AK93" s="6" t="n">
        <v>2369</v>
      </c>
      <c r="AL93" s="6" t="n">
        <v>2396</v>
      </c>
      <c r="AM93" s="6" t="n">
        <v>2803</v>
      </c>
      <c r="AN93" s="6" t="n">
        <v>2517</v>
      </c>
      <c r="AO93" s="6" t="n">
        <v>2938</v>
      </c>
      <c r="AP93" s="6" t="n">
        <v>2899</v>
      </c>
      <c r="AQ93" s="6" t="n">
        <v>3197</v>
      </c>
      <c r="AR93" s="6" t="n">
        <v>3166</v>
      </c>
      <c r="AS93" s="6" t="n">
        <v>2850</v>
      </c>
      <c r="AT93" s="6" t="n">
        <v>2550</v>
      </c>
      <c r="AU93" s="6" t="n">
        <v>2136</v>
      </c>
      <c r="AV93" s="6" t="n">
        <v>2081</v>
      </c>
      <c r="AW93" s="6" t="n">
        <v>2219</v>
      </c>
      <c r="AX93" s="6" t="n">
        <v>2268</v>
      </c>
      <c r="AY93" s="6" t="n">
        <v>2396</v>
      </c>
      <c r="AZ93" s="6" t="n">
        <v>2550</v>
      </c>
      <c r="BA93" s="6" t="n">
        <v>2371</v>
      </c>
      <c r="BB93" s="6" t="n">
        <v>2368</v>
      </c>
      <c r="BC93" s="6" t="n">
        <v>2135</v>
      </c>
      <c r="BD93" s="6" t="n">
        <v>2169</v>
      </c>
      <c r="BE93" s="6" t="n">
        <v>2101</v>
      </c>
      <c r="BF93" s="6" t="n">
        <v>2269</v>
      </c>
      <c r="BG93" s="6" t="n">
        <v>2371</v>
      </c>
      <c r="BH93" s="6" t="n">
        <v>2751</v>
      </c>
      <c r="BI93" s="6" t="n">
        <v>3117</v>
      </c>
      <c r="BJ93" s="6" t="n">
        <v>3067</v>
      </c>
      <c r="BK93" s="6" t="n">
        <v>2700</v>
      </c>
      <c r="BL93" s="6" t="n">
        <v>2811</v>
      </c>
      <c r="BM93" s="6" t="n">
        <v>3010</v>
      </c>
      <c r="BN93" s="6" t="n">
        <v>3081</v>
      </c>
      <c r="BO93" s="6" t="n">
        <v>2460</v>
      </c>
      <c r="BP93" s="6" t="n">
        <v>2632</v>
      </c>
      <c r="BQ93" s="6" t="n">
        <v>2781</v>
      </c>
      <c r="BR93" s="6" t="n">
        <v>3196</v>
      </c>
      <c r="BS93" s="6" t="n">
        <v>2970</v>
      </c>
      <c r="BT93" s="6" t="n">
        <v>3410</v>
      </c>
      <c r="BU93" s="6" t="n">
        <v>3630</v>
      </c>
      <c r="BV93" s="6" t="n">
        <v>4006</v>
      </c>
      <c r="BW93" s="6" t="n">
        <v>2781</v>
      </c>
      <c r="BX93" s="6" t="n">
        <v>3256</v>
      </c>
      <c r="BY93" s="6" t="n">
        <v>4853</v>
      </c>
      <c r="BZ93" s="6" t="n">
        <v>4600</v>
      </c>
      <c r="CA93" s="6" t="n">
        <v>5393</v>
      </c>
      <c r="CB93" s="6" t="n">
        <v>5379</v>
      </c>
      <c r="CC93" s="6" t="n">
        <v>4900</v>
      </c>
      <c r="CD93" s="6" t="n">
        <v>3761</v>
      </c>
      <c r="CE93" s="6" t="n">
        <v>3559</v>
      </c>
      <c r="CF93" s="6" t="n">
        <v>3582</v>
      </c>
      <c r="CG93" s="6" t="n">
        <v>2699</v>
      </c>
      <c r="CH93" s="6" t="n">
        <v>3506</v>
      </c>
      <c r="CI93" s="6" t="n">
        <v>2880</v>
      </c>
      <c r="CJ93" s="6" t="n">
        <v>3270</v>
      </c>
      <c r="CK93" s="6" t="n">
        <v>2013</v>
      </c>
      <c r="CL93" s="6" t="n">
        <v>2780</v>
      </c>
      <c r="CM93" s="6" t="n">
        <v>3116</v>
      </c>
      <c r="CN93" s="6" t="n">
        <v>3196</v>
      </c>
      <c r="CO93" s="6" t="n">
        <v>3321</v>
      </c>
      <c r="CP93" s="6" t="n">
        <v>3409</v>
      </c>
      <c r="CQ93" s="6" t="n">
        <v>3116</v>
      </c>
      <c r="CR93" s="6" t="n">
        <v>2646</v>
      </c>
      <c r="CS93" s="6" t="n">
        <v>2699</v>
      </c>
      <c r="CT93" s="6" t="n">
        <v>2550</v>
      </c>
      <c r="CU93" s="6" t="n">
        <v>5393</v>
      </c>
      <c r="CV93" s="6" t="n">
        <v>5064</v>
      </c>
      <c r="CW93" s="6" t="n">
        <v>4827</v>
      </c>
      <c r="CX93" s="6" t="n">
        <v>4654</v>
      </c>
      <c r="CY93" s="6" t="n">
        <v>4036</v>
      </c>
      <c r="CZ93" s="6" t="n">
        <v>3830</v>
      </c>
      <c r="DA93" s="6" t="n">
        <v>4001</v>
      </c>
      <c r="DB93" s="6" t="n">
        <v>3830</v>
      </c>
      <c r="DC93" s="6" t="n">
        <v>3409</v>
      </c>
      <c r="DD93" s="6" t="n">
        <v>3271</v>
      </c>
      <c r="DE93" s="6" t="n">
        <v>3391</v>
      </c>
      <c r="DF93" s="6" t="n">
        <v>3501</v>
      </c>
      <c r="DG93" s="6" t="n">
        <v>3390</v>
      </c>
      <c r="DH93" s="6" t="n">
        <v>3404</v>
      </c>
      <c r="DI93" s="6" t="n">
        <v>3501</v>
      </c>
      <c r="DJ93" s="6" t="n">
        <v>3409</v>
      </c>
      <c r="DK93" s="6" t="n">
        <v>3270</v>
      </c>
      <c r="DL93" s="6" t="n">
        <v>3304</v>
      </c>
      <c r="DM93" s="6" t="n">
        <v>3410</v>
      </c>
      <c r="DN93" s="6" t="n">
        <v>3410</v>
      </c>
      <c r="DO93" s="6" t="n">
        <v>3611</v>
      </c>
      <c r="DP93" s="6" t="n">
        <v>3630</v>
      </c>
      <c r="DQ93" s="6" t="n">
        <v>3612</v>
      </c>
      <c r="DR93" s="6" t="n">
        <v>3541</v>
      </c>
      <c r="DS93" s="6" t="n">
        <v>3410</v>
      </c>
      <c r="DT93" s="6" t="n">
        <v>3946</v>
      </c>
      <c r="DU93" s="6" t="n">
        <v>3839</v>
      </c>
      <c r="DV93" s="6" t="n">
        <v>3611</v>
      </c>
      <c r="DW93" s="6" t="n">
        <v>3303</v>
      </c>
      <c r="DX93" s="6" t="n">
        <v>3000</v>
      </c>
      <c r="DY93" s="6" t="n">
        <v>2767</v>
      </c>
      <c r="DZ93" s="6" t="n">
        <v>2499</v>
      </c>
      <c r="EA93" s="6" t="n">
        <v>2169</v>
      </c>
      <c r="EB93" s="6" t="n">
        <v>2082</v>
      </c>
      <c r="EC93" s="6" t="n">
        <v>2369</v>
      </c>
      <c r="ED93" s="6" t="n">
        <v>2396</v>
      </c>
      <c r="EE93" s="6" t="n">
        <v>2803</v>
      </c>
      <c r="EF93" s="6" t="n">
        <v>2517</v>
      </c>
      <c r="EG93" s="6" t="n">
        <v>2938</v>
      </c>
      <c r="EH93" s="6" t="n">
        <v>2899</v>
      </c>
      <c r="EI93" s="6" t="n">
        <v>3197</v>
      </c>
      <c r="EJ93" s="6" t="n">
        <v>3166</v>
      </c>
      <c r="EK93" s="6" t="n">
        <v>2850</v>
      </c>
      <c r="EL93" s="6" t="n">
        <v>2550</v>
      </c>
      <c r="EM93" s="6" t="n">
        <v>2136</v>
      </c>
      <c r="EN93" s="6" t="n">
        <v>2081</v>
      </c>
      <c r="EO93" s="6" t="n">
        <v>2219</v>
      </c>
      <c r="EP93" s="6" t="n">
        <v>2268</v>
      </c>
      <c r="EQ93" s="6" t="n">
        <v>2396</v>
      </c>
      <c r="ER93" s="6" t="n">
        <v>2550</v>
      </c>
      <c r="ES93" s="6" t="n">
        <v>2371</v>
      </c>
      <c r="ET93" s="6" t="n">
        <v>2368</v>
      </c>
      <c r="EU93" s="6" t="n">
        <v>2135</v>
      </c>
      <c r="EV93" s="6" t="n">
        <v>2169</v>
      </c>
      <c r="EW93" s="6" t="n">
        <v>2101</v>
      </c>
      <c r="EX93" s="6" t="n">
        <v>2269</v>
      </c>
      <c r="EY93" s="6" t="n">
        <v>2371</v>
      </c>
      <c r="EZ93" s="6" t="n">
        <v>2751</v>
      </c>
      <c r="FA93" s="6" t="n">
        <v>3117</v>
      </c>
      <c r="FB93" s="6" t="n">
        <v>3067</v>
      </c>
      <c r="FC93" s="6" t="n">
        <v>2700</v>
      </c>
      <c r="FD93" s="6" t="n">
        <v>2811</v>
      </c>
      <c r="FE93" s="6" t="n">
        <v>3010</v>
      </c>
      <c r="FF93" s="6" t="n">
        <v>3081</v>
      </c>
      <c r="FG93" s="6" t="n">
        <v>2460</v>
      </c>
      <c r="FH93" s="6" t="n">
        <v>2632</v>
      </c>
      <c r="FI93" s="6" t="n">
        <v>2781</v>
      </c>
      <c r="FJ93" s="6" t="n">
        <v>3196</v>
      </c>
      <c r="FK93" s="6" t="n">
        <v>2970</v>
      </c>
      <c r="FL93" s="6" t="n">
        <v>3410</v>
      </c>
      <c r="FM93" s="6" t="n">
        <v>3630</v>
      </c>
      <c r="FN93" s="6" t="n">
        <v>4006</v>
      </c>
      <c r="FO93" s="6" t="n">
        <v>2781</v>
      </c>
      <c r="FP93" s="6" t="n">
        <v>3256</v>
      </c>
      <c r="FQ93" s="6" t="n">
        <v>4853</v>
      </c>
      <c r="FR93" s="6" t="n">
        <v>4600</v>
      </c>
      <c r="FS93" s="6" t="n">
        <v>5393</v>
      </c>
      <c r="FT93" s="6" t="n">
        <v>5379</v>
      </c>
      <c r="FU93" s="6" t="n">
        <v>4900</v>
      </c>
      <c r="FV93" s="6" t="n">
        <v>3761</v>
      </c>
      <c r="FW93" s="6" t="n">
        <v>3559</v>
      </c>
      <c r="FX93" s="6" t="n">
        <v>3582</v>
      </c>
      <c r="FY93" s="6" t="n">
        <v>2699</v>
      </c>
      <c r="FZ93" s="6" t="n">
        <v>3506</v>
      </c>
      <c r="GA93" s="6" t="n">
        <v>2880</v>
      </c>
      <c r="GB93" s="6" t="n">
        <v>3270</v>
      </c>
      <c r="GC93" s="6" t="n">
        <v>2013</v>
      </c>
      <c r="GD93" s="6" t="n">
        <v>2780</v>
      </c>
      <c r="GE93" s="6" t="n">
        <v>3116</v>
      </c>
      <c r="GF93" s="6" t="n">
        <v>3196</v>
      </c>
      <c r="GG93" s="6" t="n">
        <v>3321</v>
      </c>
      <c r="GH93" s="6" t="n">
        <v>3409</v>
      </c>
      <c r="GI93" s="6" t="n">
        <v>3116</v>
      </c>
      <c r="GJ93" s="6" t="n">
        <v>2646</v>
      </c>
      <c r="GK93" s="6" t="n">
        <v>2699</v>
      </c>
      <c r="GL93" s="6" t="n">
        <v>2550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53"/>
  <sheetViews>
    <sheetView showGridLines="0"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8" t="inlineStr">
        <is>
          <t>Solar output per MWac by plant, month and 15-minute block</t>
        </is>
      </c>
    </row>
    <row r="2">
      <c r="A2" s="2" t="inlineStr">
        <is>
          <t>From the HTML model: clipped daylight curve for each plant's latitude, scaled to the stated CUF (30%) with a monthly irradiance shape. Multiply by the plant MWac. Re-export (or use the app's Generate button) if CUF changes.</t>
        </is>
      </c>
    </row>
    <row r="3">
      <c r="A3" s="5" t="inlineStr">
        <is>
          <t>Plant|month</t>
        </is>
      </c>
      <c r="B3" s="5" t="inlineStr">
        <is>
          <t>Block →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  <c r="M3" s="5" t="n">
        <v>10</v>
      </c>
      <c r="N3" s="5" t="n">
        <v>11</v>
      </c>
      <c r="O3" s="5" t="n">
        <v>12</v>
      </c>
      <c r="P3" s="5" t="n">
        <v>13</v>
      </c>
      <c r="Q3" s="5" t="n">
        <v>14</v>
      </c>
      <c r="R3" s="5" t="n">
        <v>15</v>
      </c>
      <c r="S3" s="5" t="n">
        <v>16</v>
      </c>
      <c r="T3" s="5" t="n">
        <v>17</v>
      </c>
      <c r="U3" s="5" t="n">
        <v>18</v>
      </c>
      <c r="V3" s="5" t="n">
        <v>19</v>
      </c>
      <c r="W3" s="5" t="n">
        <v>20</v>
      </c>
      <c r="X3" s="5" t="n">
        <v>21</v>
      </c>
      <c r="Y3" s="5" t="n">
        <v>22</v>
      </c>
      <c r="Z3" s="5" t="n">
        <v>23</v>
      </c>
      <c r="AA3" s="5" t="n">
        <v>24</v>
      </c>
      <c r="AB3" s="5" t="n">
        <v>25</v>
      </c>
      <c r="AC3" s="5" t="n">
        <v>26</v>
      </c>
      <c r="AD3" s="5" t="n">
        <v>27</v>
      </c>
      <c r="AE3" s="5" t="n">
        <v>28</v>
      </c>
      <c r="AF3" s="5" t="n">
        <v>29</v>
      </c>
      <c r="AG3" s="5" t="n">
        <v>30</v>
      </c>
      <c r="AH3" s="5" t="n">
        <v>31</v>
      </c>
      <c r="AI3" s="5" t="n">
        <v>32</v>
      </c>
      <c r="AJ3" s="5" t="n">
        <v>33</v>
      </c>
      <c r="AK3" s="5" t="n">
        <v>34</v>
      </c>
      <c r="AL3" s="5" t="n">
        <v>35</v>
      </c>
      <c r="AM3" s="5" t="n">
        <v>36</v>
      </c>
      <c r="AN3" s="5" t="n">
        <v>37</v>
      </c>
      <c r="AO3" s="5" t="n">
        <v>38</v>
      </c>
      <c r="AP3" s="5" t="n">
        <v>39</v>
      </c>
      <c r="AQ3" s="5" t="n">
        <v>40</v>
      </c>
      <c r="AR3" s="5" t="n">
        <v>41</v>
      </c>
      <c r="AS3" s="5" t="n">
        <v>42</v>
      </c>
      <c r="AT3" s="5" t="n">
        <v>43</v>
      </c>
      <c r="AU3" s="5" t="n">
        <v>44</v>
      </c>
      <c r="AV3" s="5" t="n">
        <v>45</v>
      </c>
      <c r="AW3" s="5" t="n">
        <v>46</v>
      </c>
      <c r="AX3" s="5" t="n">
        <v>47</v>
      </c>
      <c r="AY3" s="5" t="n">
        <v>48</v>
      </c>
      <c r="AZ3" s="5" t="n">
        <v>49</v>
      </c>
      <c r="BA3" s="5" t="n">
        <v>50</v>
      </c>
      <c r="BB3" s="5" t="n">
        <v>51</v>
      </c>
      <c r="BC3" s="5" t="n">
        <v>52</v>
      </c>
      <c r="BD3" s="5" t="n">
        <v>53</v>
      </c>
      <c r="BE3" s="5" t="n">
        <v>54</v>
      </c>
      <c r="BF3" s="5" t="n">
        <v>55</v>
      </c>
      <c r="BG3" s="5" t="n">
        <v>56</v>
      </c>
      <c r="BH3" s="5" t="n">
        <v>57</v>
      </c>
      <c r="BI3" s="5" t="n">
        <v>58</v>
      </c>
      <c r="BJ3" s="5" t="n">
        <v>59</v>
      </c>
      <c r="BK3" s="5" t="n">
        <v>60</v>
      </c>
      <c r="BL3" s="5" t="n">
        <v>61</v>
      </c>
      <c r="BM3" s="5" t="n">
        <v>62</v>
      </c>
      <c r="BN3" s="5" t="n">
        <v>63</v>
      </c>
      <c r="BO3" s="5" t="n">
        <v>64</v>
      </c>
      <c r="BP3" s="5" t="n">
        <v>65</v>
      </c>
      <c r="BQ3" s="5" t="n">
        <v>66</v>
      </c>
      <c r="BR3" s="5" t="n">
        <v>67</v>
      </c>
      <c r="BS3" s="5" t="n">
        <v>68</v>
      </c>
      <c r="BT3" s="5" t="n">
        <v>69</v>
      </c>
      <c r="BU3" s="5" t="n">
        <v>70</v>
      </c>
      <c r="BV3" s="5" t="n">
        <v>71</v>
      </c>
      <c r="BW3" s="5" t="n">
        <v>72</v>
      </c>
      <c r="BX3" s="5" t="n">
        <v>73</v>
      </c>
      <c r="BY3" s="5" t="n">
        <v>74</v>
      </c>
      <c r="BZ3" s="5" t="n">
        <v>75</v>
      </c>
      <c r="CA3" s="5" t="n">
        <v>76</v>
      </c>
      <c r="CB3" s="5" t="n">
        <v>77</v>
      </c>
      <c r="CC3" s="5" t="n">
        <v>78</v>
      </c>
      <c r="CD3" s="5" t="n">
        <v>79</v>
      </c>
      <c r="CE3" s="5" t="n">
        <v>80</v>
      </c>
      <c r="CF3" s="5" t="n">
        <v>81</v>
      </c>
      <c r="CG3" s="5" t="n">
        <v>82</v>
      </c>
      <c r="CH3" s="5" t="n">
        <v>83</v>
      </c>
      <c r="CI3" s="5" t="n">
        <v>84</v>
      </c>
      <c r="CJ3" s="5" t="n">
        <v>85</v>
      </c>
      <c r="CK3" s="5" t="n">
        <v>86</v>
      </c>
      <c r="CL3" s="5" t="n">
        <v>87</v>
      </c>
      <c r="CM3" s="5" t="n">
        <v>88</v>
      </c>
      <c r="CN3" s="5" t="n">
        <v>89</v>
      </c>
      <c r="CO3" s="5" t="n">
        <v>90</v>
      </c>
      <c r="CP3" s="5" t="n">
        <v>91</v>
      </c>
      <c r="CQ3" s="5" t="n">
        <v>92</v>
      </c>
      <c r="CR3" s="5" t="n">
        <v>93</v>
      </c>
      <c r="CS3" s="5" t="n">
        <v>94</v>
      </c>
      <c r="CT3" s="5" t="n">
        <v>95</v>
      </c>
    </row>
    <row r="4">
      <c r="A4" s="6" t="inlineStr">
        <is>
          <t>P7|1</t>
        </is>
      </c>
      <c r="B4" s="6" t="inlineStr">
        <is>
          <t>Jan</t>
        </is>
      </c>
      <c r="C4" s="28" t="n">
        <v>0</v>
      </c>
      <c r="D4" s="28" t="n">
        <v>0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0</v>
      </c>
      <c r="J4" s="28" t="n">
        <v>0</v>
      </c>
      <c r="K4" s="28" t="n">
        <v>0</v>
      </c>
      <c r="L4" s="28" t="n">
        <v>0</v>
      </c>
      <c r="M4" s="28" t="n">
        <v>0</v>
      </c>
      <c r="N4" s="28" t="n">
        <v>0</v>
      </c>
      <c r="O4" s="28" t="n">
        <v>0</v>
      </c>
      <c r="P4" s="28" t="n">
        <v>0</v>
      </c>
      <c r="Q4" s="28" t="n">
        <v>0</v>
      </c>
      <c r="R4" s="28" t="n">
        <v>0</v>
      </c>
      <c r="S4" s="28" t="n">
        <v>0</v>
      </c>
      <c r="T4" s="28" t="n">
        <v>0</v>
      </c>
      <c r="U4" s="28" t="n">
        <v>0</v>
      </c>
      <c r="V4" s="28" t="n">
        <v>0</v>
      </c>
      <c r="W4" s="28" t="n">
        <v>0</v>
      </c>
      <c r="X4" s="28" t="n">
        <v>0</v>
      </c>
      <c r="Y4" s="28" t="n">
        <v>0</v>
      </c>
      <c r="Z4" s="28" t="n">
        <v>0</v>
      </c>
      <c r="AA4" s="28" t="n">
        <v>0</v>
      </c>
      <c r="AB4" s="28" t="n">
        <v>0</v>
      </c>
      <c r="AC4" s="28" t="n">
        <v>0.001483</v>
      </c>
      <c r="AD4" s="28" t="n">
        <v>0.041399</v>
      </c>
      <c r="AE4" s="28" t="n">
        <v>0.099188</v>
      </c>
      <c r="AF4" s="28" t="n">
        <v>0.16711</v>
      </c>
      <c r="AG4" s="28" t="n">
        <v>0.24202</v>
      </c>
      <c r="AH4" s="28" t="n">
        <v>0.321846</v>
      </c>
      <c r="AI4" s="28" t="n">
        <v>0.40497</v>
      </c>
      <c r="AJ4" s="28" t="n">
        <v>0.490013</v>
      </c>
      <c r="AK4" s="28" t="n">
        <v>0.5757409999999999</v>
      </c>
      <c r="AL4" s="28" t="n">
        <v>0.661025</v>
      </c>
      <c r="AM4" s="28" t="n">
        <v>0.744816</v>
      </c>
      <c r="AN4" s="28" t="n">
        <v>0.826132</v>
      </c>
      <c r="AO4" s="28" t="n">
        <v>0.9040589999999999</v>
      </c>
      <c r="AP4" s="28" t="n">
        <v>0.977746</v>
      </c>
      <c r="AQ4" s="28" t="n">
        <v>1</v>
      </c>
      <c r="AR4" s="28" t="n">
        <v>1</v>
      </c>
      <c r="AS4" s="28" t="n">
        <v>1</v>
      </c>
      <c r="AT4" s="28" t="n">
        <v>1</v>
      </c>
      <c r="AU4" s="28" t="n">
        <v>1</v>
      </c>
      <c r="AV4" s="28" t="n">
        <v>1</v>
      </c>
      <c r="AW4" s="28" t="n">
        <v>1</v>
      </c>
      <c r="AX4" s="28" t="n">
        <v>1</v>
      </c>
      <c r="AY4" s="28" t="n">
        <v>1</v>
      </c>
      <c r="AZ4" s="28" t="n">
        <v>1</v>
      </c>
      <c r="BA4" s="28" t="n">
        <v>1</v>
      </c>
      <c r="BB4" s="28" t="n">
        <v>1</v>
      </c>
      <c r="BC4" s="28" t="n">
        <v>1</v>
      </c>
      <c r="BD4" s="28" t="n">
        <v>1</v>
      </c>
      <c r="BE4" s="28" t="n">
        <v>1</v>
      </c>
      <c r="BF4" s="28" t="n">
        <v>1</v>
      </c>
      <c r="BG4" s="28" t="n">
        <v>1</v>
      </c>
      <c r="BH4" s="28" t="n">
        <v>1</v>
      </c>
      <c r="BI4" s="28" t="n">
        <v>0.977746</v>
      </c>
      <c r="BJ4" s="28" t="n">
        <v>0.9040589999999999</v>
      </c>
      <c r="BK4" s="28" t="n">
        <v>0.826132</v>
      </c>
      <c r="BL4" s="28" t="n">
        <v>0.744816</v>
      </c>
      <c r="BM4" s="28" t="n">
        <v>0.661025</v>
      </c>
      <c r="BN4" s="28" t="n">
        <v>0.5757409999999999</v>
      </c>
      <c r="BO4" s="28" t="n">
        <v>0.490013</v>
      </c>
      <c r="BP4" s="28" t="n">
        <v>0.40497</v>
      </c>
      <c r="BQ4" s="28" t="n">
        <v>0.321846</v>
      </c>
      <c r="BR4" s="28" t="n">
        <v>0.24202</v>
      </c>
      <c r="BS4" s="28" t="n">
        <v>0.16711</v>
      </c>
      <c r="BT4" s="28" t="n">
        <v>0.099188</v>
      </c>
      <c r="BU4" s="28" t="n">
        <v>0.041399</v>
      </c>
      <c r="BV4" s="28" t="n">
        <v>0.001483</v>
      </c>
      <c r="BW4" s="28" t="n">
        <v>0</v>
      </c>
      <c r="BX4" s="28" t="n">
        <v>0</v>
      </c>
      <c r="BY4" s="28" t="n">
        <v>0</v>
      </c>
      <c r="BZ4" s="28" t="n">
        <v>0</v>
      </c>
      <c r="CA4" s="28" t="n">
        <v>0</v>
      </c>
      <c r="CB4" s="28" t="n">
        <v>0</v>
      </c>
      <c r="CC4" s="28" t="n">
        <v>0</v>
      </c>
      <c r="CD4" s="28" t="n">
        <v>0</v>
      </c>
      <c r="CE4" s="28" t="n">
        <v>0</v>
      </c>
      <c r="CF4" s="28" t="n">
        <v>0</v>
      </c>
      <c r="CG4" s="28" t="n">
        <v>0</v>
      </c>
      <c r="CH4" s="28" t="n">
        <v>0</v>
      </c>
      <c r="CI4" s="28" t="n">
        <v>0</v>
      </c>
      <c r="CJ4" s="28" t="n">
        <v>0</v>
      </c>
      <c r="CK4" s="28" t="n">
        <v>0</v>
      </c>
      <c r="CL4" s="28" t="n">
        <v>0</v>
      </c>
      <c r="CM4" s="28" t="n">
        <v>0</v>
      </c>
      <c r="CN4" s="28" t="n">
        <v>0</v>
      </c>
      <c r="CO4" s="28" t="n">
        <v>0</v>
      </c>
      <c r="CP4" s="28" t="n">
        <v>0</v>
      </c>
      <c r="CQ4" s="28" t="n">
        <v>0</v>
      </c>
      <c r="CR4" s="28" t="n">
        <v>0</v>
      </c>
      <c r="CS4" s="28" t="n">
        <v>0</v>
      </c>
      <c r="CT4" s="28" t="n">
        <v>0</v>
      </c>
    </row>
    <row r="5">
      <c r="A5" s="6" t="inlineStr">
        <is>
          <t>P7|2</t>
        </is>
      </c>
      <c r="B5" s="6" t="inlineStr">
        <is>
          <t>Feb</t>
        </is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0</v>
      </c>
      <c r="K5" s="28" t="n">
        <v>0</v>
      </c>
      <c r="L5" s="28" t="n">
        <v>0</v>
      </c>
      <c r="M5" s="28" t="n">
        <v>0</v>
      </c>
      <c r="N5" s="28" t="n">
        <v>0</v>
      </c>
      <c r="O5" s="28" t="n">
        <v>0</v>
      </c>
      <c r="P5" s="28" t="n">
        <v>0</v>
      </c>
      <c r="Q5" s="28" t="n">
        <v>0</v>
      </c>
      <c r="R5" s="28" t="n">
        <v>0</v>
      </c>
      <c r="S5" s="28" t="n">
        <v>0</v>
      </c>
      <c r="T5" s="28" t="n">
        <v>0</v>
      </c>
      <c r="U5" s="28" t="n">
        <v>0</v>
      </c>
      <c r="V5" s="28" t="n">
        <v>0</v>
      </c>
      <c r="W5" s="28" t="n">
        <v>0</v>
      </c>
      <c r="X5" s="28" t="n">
        <v>0</v>
      </c>
      <c r="Y5" s="28" t="n">
        <v>0</v>
      </c>
      <c r="Z5" s="28" t="n">
        <v>0</v>
      </c>
      <c r="AA5" s="28" t="n">
        <v>0</v>
      </c>
      <c r="AB5" s="28" t="n">
        <v>0</v>
      </c>
      <c r="AC5" s="28" t="n">
        <v>0.021382</v>
      </c>
      <c r="AD5" s="28" t="n">
        <v>0.076614</v>
      </c>
      <c r="AE5" s="28" t="n">
        <v>0.145338</v>
      </c>
      <c r="AF5" s="28" t="n">
        <v>0.222976</v>
      </c>
      <c r="AG5" s="28" t="n">
        <v>0.306936</v>
      </c>
      <c r="AH5" s="28" t="n">
        <v>0.395326</v>
      </c>
      <c r="AI5" s="28" t="n">
        <v>0.48659</v>
      </c>
      <c r="AJ5" s="28" t="n">
        <v>0.579369</v>
      </c>
      <c r="AK5" s="28" t="n">
        <v>0.67243</v>
      </c>
      <c r="AL5" s="28" t="n">
        <v>0.764632</v>
      </c>
      <c r="AM5" s="28" t="n">
        <v>0.854915</v>
      </c>
      <c r="AN5" s="28" t="n">
        <v>0.942283</v>
      </c>
      <c r="AO5" s="28" t="n">
        <v>1</v>
      </c>
      <c r="AP5" s="28" t="n">
        <v>1</v>
      </c>
      <c r="AQ5" s="28" t="n">
        <v>1</v>
      </c>
      <c r="AR5" s="28" t="n">
        <v>1</v>
      </c>
      <c r="AS5" s="28" t="n">
        <v>1</v>
      </c>
      <c r="AT5" s="28" t="n">
        <v>1</v>
      </c>
      <c r="AU5" s="28" t="n">
        <v>1</v>
      </c>
      <c r="AV5" s="28" t="n">
        <v>1</v>
      </c>
      <c r="AW5" s="28" t="n">
        <v>1</v>
      </c>
      <c r="AX5" s="28" t="n">
        <v>1</v>
      </c>
      <c r="AY5" s="28" t="n">
        <v>1</v>
      </c>
      <c r="AZ5" s="28" t="n">
        <v>1</v>
      </c>
      <c r="BA5" s="28" t="n">
        <v>1</v>
      </c>
      <c r="BB5" s="28" t="n">
        <v>1</v>
      </c>
      <c r="BC5" s="28" t="n">
        <v>1</v>
      </c>
      <c r="BD5" s="28" t="n">
        <v>1</v>
      </c>
      <c r="BE5" s="28" t="n">
        <v>1</v>
      </c>
      <c r="BF5" s="28" t="n">
        <v>1</v>
      </c>
      <c r="BG5" s="28" t="n">
        <v>1</v>
      </c>
      <c r="BH5" s="28" t="n">
        <v>1</v>
      </c>
      <c r="BI5" s="28" t="n">
        <v>1</v>
      </c>
      <c r="BJ5" s="28" t="n">
        <v>1</v>
      </c>
      <c r="BK5" s="28" t="n">
        <v>0.942283</v>
      </c>
      <c r="BL5" s="28" t="n">
        <v>0.854915</v>
      </c>
      <c r="BM5" s="28" t="n">
        <v>0.764632</v>
      </c>
      <c r="BN5" s="28" t="n">
        <v>0.67243</v>
      </c>
      <c r="BO5" s="28" t="n">
        <v>0.579369</v>
      </c>
      <c r="BP5" s="28" t="n">
        <v>0.48659</v>
      </c>
      <c r="BQ5" s="28" t="n">
        <v>0.395326</v>
      </c>
      <c r="BR5" s="28" t="n">
        <v>0.306936</v>
      </c>
      <c r="BS5" s="28" t="n">
        <v>0.222976</v>
      </c>
      <c r="BT5" s="28" t="n">
        <v>0.145338</v>
      </c>
      <c r="BU5" s="28" t="n">
        <v>0.076614</v>
      </c>
      <c r="BV5" s="28" t="n">
        <v>0.021382</v>
      </c>
      <c r="BW5" s="28" t="n">
        <v>0</v>
      </c>
      <c r="BX5" s="28" t="n">
        <v>0</v>
      </c>
      <c r="BY5" s="28" t="n">
        <v>0</v>
      </c>
      <c r="BZ5" s="28" t="n">
        <v>0</v>
      </c>
      <c r="CA5" s="28" t="n">
        <v>0</v>
      </c>
      <c r="CB5" s="28" t="n">
        <v>0</v>
      </c>
      <c r="CC5" s="28" t="n">
        <v>0</v>
      </c>
      <c r="CD5" s="28" t="n">
        <v>0</v>
      </c>
      <c r="CE5" s="28" t="n">
        <v>0</v>
      </c>
      <c r="CF5" s="28" t="n">
        <v>0</v>
      </c>
      <c r="CG5" s="28" t="n">
        <v>0</v>
      </c>
      <c r="CH5" s="28" t="n">
        <v>0</v>
      </c>
      <c r="CI5" s="28" t="n">
        <v>0</v>
      </c>
      <c r="CJ5" s="28" t="n">
        <v>0</v>
      </c>
      <c r="CK5" s="28" t="n">
        <v>0</v>
      </c>
      <c r="CL5" s="28" t="n">
        <v>0</v>
      </c>
      <c r="CM5" s="28" t="n">
        <v>0</v>
      </c>
      <c r="CN5" s="28" t="n">
        <v>0</v>
      </c>
      <c r="CO5" s="28" t="n">
        <v>0</v>
      </c>
      <c r="CP5" s="28" t="n">
        <v>0</v>
      </c>
      <c r="CQ5" s="28" t="n">
        <v>0</v>
      </c>
      <c r="CR5" s="28" t="n">
        <v>0</v>
      </c>
      <c r="CS5" s="28" t="n">
        <v>0</v>
      </c>
      <c r="CT5" s="28" t="n">
        <v>0</v>
      </c>
    </row>
    <row r="6">
      <c r="A6" s="6" t="inlineStr">
        <is>
          <t>P7|3</t>
        </is>
      </c>
      <c r="B6" s="6" t="inlineStr">
        <is>
          <t>Mar</t>
        </is>
      </c>
      <c r="C6" s="28" t="n">
        <v>0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28" t="n">
        <v>0</v>
      </c>
      <c r="Q6" s="28" t="n">
        <v>0</v>
      </c>
      <c r="R6" s="28" t="n">
        <v>0</v>
      </c>
      <c r="S6" s="28" t="n">
        <v>0</v>
      </c>
      <c r="T6" s="28" t="n">
        <v>0</v>
      </c>
      <c r="U6" s="28" t="n">
        <v>0</v>
      </c>
      <c r="V6" s="28" t="n">
        <v>0</v>
      </c>
      <c r="W6" s="28" t="n">
        <v>0</v>
      </c>
      <c r="X6" s="28" t="n">
        <v>0</v>
      </c>
      <c r="Y6" s="28" t="n">
        <v>0</v>
      </c>
      <c r="Z6" s="28" t="n">
        <v>0</v>
      </c>
      <c r="AA6" s="28" t="n">
        <v>0</v>
      </c>
      <c r="AB6" s="28" t="n">
        <v>0.009242</v>
      </c>
      <c r="AC6" s="28" t="n">
        <v>0.054326</v>
      </c>
      <c r="AD6" s="28" t="n">
        <v>0.11354</v>
      </c>
      <c r="AE6" s="28" t="n">
        <v>0.181661</v>
      </c>
      <c r="AF6" s="28" t="n">
        <v>0.256099</v>
      </c>
      <c r="AG6" s="28" t="n">
        <v>0.335064</v>
      </c>
      <c r="AH6" s="28" t="n">
        <v>0.417129</v>
      </c>
      <c r="AI6" s="28" t="n">
        <v>0.501067</v>
      </c>
      <c r="AJ6" s="28" t="n">
        <v>0.585777</v>
      </c>
      <c r="AK6" s="28" t="n">
        <v>0.670246</v>
      </c>
      <c r="AL6" s="28" t="n">
        <v>0.753532</v>
      </c>
      <c r="AM6" s="28" t="n">
        <v>0.834753</v>
      </c>
      <c r="AN6" s="28" t="n">
        <v>0.91308</v>
      </c>
      <c r="AO6" s="28" t="n">
        <v>0.987739</v>
      </c>
      <c r="AP6" s="28" t="n">
        <v>1</v>
      </c>
      <c r="AQ6" s="28" t="n">
        <v>1</v>
      </c>
      <c r="AR6" s="28" t="n">
        <v>1</v>
      </c>
      <c r="AS6" s="28" t="n">
        <v>1</v>
      </c>
      <c r="AT6" s="28" t="n">
        <v>1</v>
      </c>
      <c r="AU6" s="28" t="n">
        <v>1</v>
      </c>
      <c r="AV6" s="28" t="n">
        <v>1</v>
      </c>
      <c r="AW6" s="28" t="n">
        <v>1</v>
      </c>
      <c r="AX6" s="28" t="n">
        <v>1</v>
      </c>
      <c r="AY6" s="28" t="n">
        <v>1</v>
      </c>
      <c r="AZ6" s="28" t="n">
        <v>1</v>
      </c>
      <c r="BA6" s="28" t="n">
        <v>1</v>
      </c>
      <c r="BB6" s="28" t="n">
        <v>1</v>
      </c>
      <c r="BC6" s="28" t="n">
        <v>1</v>
      </c>
      <c r="BD6" s="28" t="n">
        <v>1</v>
      </c>
      <c r="BE6" s="28" t="n">
        <v>1</v>
      </c>
      <c r="BF6" s="28" t="n">
        <v>1</v>
      </c>
      <c r="BG6" s="28" t="n">
        <v>1</v>
      </c>
      <c r="BH6" s="28" t="n">
        <v>1</v>
      </c>
      <c r="BI6" s="28" t="n">
        <v>1</v>
      </c>
      <c r="BJ6" s="28" t="n">
        <v>0.987739</v>
      </c>
      <c r="BK6" s="28" t="n">
        <v>0.91308</v>
      </c>
      <c r="BL6" s="28" t="n">
        <v>0.834753</v>
      </c>
      <c r="BM6" s="28" t="n">
        <v>0.753532</v>
      </c>
      <c r="BN6" s="28" t="n">
        <v>0.670246</v>
      </c>
      <c r="BO6" s="28" t="n">
        <v>0.585777</v>
      </c>
      <c r="BP6" s="28" t="n">
        <v>0.501067</v>
      </c>
      <c r="BQ6" s="28" t="n">
        <v>0.417129</v>
      </c>
      <c r="BR6" s="28" t="n">
        <v>0.335064</v>
      </c>
      <c r="BS6" s="28" t="n">
        <v>0.256099</v>
      </c>
      <c r="BT6" s="28" t="n">
        <v>0.181661</v>
      </c>
      <c r="BU6" s="28" t="n">
        <v>0.11354</v>
      </c>
      <c r="BV6" s="28" t="n">
        <v>0.054326</v>
      </c>
      <c r="BW6" s="28" t="n">
        <v>0.009242</v>
      </c>
      <c r="BX6" s="28" t="n">
        <v>0</v>
      </c>
      <c r="BY6" s="28" t="n">
        <v>0</v>
      </c>
      <c r="BZ6" s="28" t="n">
        <v>0</v>
      </c>
      <c r="CA6" s="28" t="n">
        <v>0</v>
      </c>
      <c r="CB6" s="28" t="n">
        <v>0</v>
      </c>
      <c r="CC6" s="28" t="n">
        <v>0</v>
      </c>
      <c r="CD6" s="28" t="n">
        <v>0</v>
      </c>
      <c r="CE6" s="28" t="n">
        <v>0</v>
      </c>
      <c r="CF6" s="28" t="n">
        <v>0</v>
      </c>
      <c r="CG6" s="28" t="n">
        <v>0</v>
      </c>
      <c r="CH6" s="28" t="n">
        <v>0</v>
      </c>
      <c r="CI6" s="28" t="n">
        <v>0</v>
      </c>
      <c r="CJ6" s="28" t="n">
        <v>0</v>
      </c>
      <c r="CK6" s="28" t="n">
        <v>0</v>
      </c>
      <c r="CL6" s="28" t="n">
        <v>0</v>
      </c>
      <c r="CM6" s="28" t="n">
        <v>0</v>
      </c>
      <c r="CN6" s="28" t="n">
        <v>0</v>
      </c>
      <c r="CO6" s="28" t="n">
        <v>0</v>
      </c>
      <c r="CP6" s="28" t="n">
        <v>0</v>
      </c>
      <c r="CQ6" s="28" t="n">
        <v>0</v>
      </c>
      <c r="CR6" s="28" t="n">
        <v>0</v>
      </c>
      <c r="CS6" s="28" t="n">
        <v>0</v>
      </c>
      <c r="CT6" s="28" t="n">
        <v>0</v>
      </c>
    </row>
    <row r="7">
      <c r="A7" s="6" t="inlineStr">
        <is>
          <t>P7|4</t>
        </is>
      </c>
      <c r="B7" s="6" t="inlineStr">
        <is>
          <t>Apr</t>
        </is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0.001849</v>
      </c>
      <c r="AB7" s="28" t="n">
        <v>0.035047</v>
      </c>
      <c r="AC7" s="28" t="n">
        <v>0.082346</v>
      </c>
      <c r="AD7" s="28" t="n">
        <v>0.137863</v>
      </c>
      <c r="AE7" s="28" t="n">
        <v>0.199168</v>
      </c>
      <c r="AF7" s="28" t="n">
        <v>0.264676</v>
      </c>
      <c r="AG7" s="28" t="n">
        <v>0.333167</v>
      </c>
      <c r="AH7" s="28" t="n">
        <v>0.403611</v>
      </c>
      <c r="AI7" s="28" t="n">
        <v>0.475092</v>
      </c>
      <c r="AJ7" s="28" t="n">
        <v>0.546775</v>
      </c>
      <c r="AK7" s="28" t="n">
        <v>0.617885</v>
      </c>
      <c r="AL7" s="28" t="n">
        <v>0.6876949999999999</v>
      </c>
      <c r="AM7" s="28" t="n">
        <v>0.7555229999999999</v>
      </c>
      <c r="AN7" s="28" t="n">
        <v>0.820728</v>
      </c>
      <c r="AO7" s="28" t="n">
        <v>0.88271</v>
      </c>
      <c r="AP7" s="28" t="n">
        <v>0.940912</v>
      </c>
      <c r="AQ7" s="28" t="n">
        <v>0.994818</v>
      </c>
      <c r="AR7" s="28" t="n">
        <v>1</v>
      </c>
      <c r="AS7" s="28" t="n">
        <v>1</v>
      </c>
      <c r="AT7" s="28" t="n">
        <v>1</v>
      </c>
      <c r="AU7" s="28" t="n">
        <v>1</v>
      </c>
      <c r="AV7" s="28" t="n">
        <v>1</v>
      </c>
      <c r="AW7" s="28" t="n">
        <v>1</v>
      </c>
      <c r="AX7" s="28" t="n">
        <v>1</v>
      </c>
      <c r="AY7" s="28" t="n">
        <v>1</v>
      </c>
      <c r="AZ7" s="28" t="n">
        <v>1</v>
      </c>
      <c r="BA7" s="28" t="n">
        <v>1</v>
      </c>
      <c r="BB7" s="28" t="n">
        <v>1</v>
      </c>
      <c r="BC7" s="28" t="n">
        <v>1</v>
      </c>
      <c r="BD7" s="28" t="n">
        <v>1</v>
      </c>
      <c r="BE7" s="28" t="n">
        <v>1</v>
      </c>
      <c r="BF7" s="28" t="n">
        <v>1</v>
      </c>
      <c r="BG7" s="28" t="n">
        <v>1</v>
      </c>
      <c r="BH7" s="28" t="n">
        <v>0.994818</v>
      </c>
      <c r="BI7" s="28" t="n">
        <v>0.940912</v>
      </c>
      <c r="BJ7" s="28" t="n">
        <v>0.88271</v>
      </c>
      <c r="BK7" s="28" t="n">
        <v>0.820728</v>
      </c>
      <c r="BL7" s="28" t="n">
        <v>0.7555229999999999</v>
      </c>
      <c r="BM7" s="28" t="n">
        <v>0.6876949999999999</v>
      </c>
      <c r="BN7" s="28" t="n">
        <v>0.617885</v>
      </c>
      <c r="BO7" s="28" t="n">
        <v>0.546775</v>
      </c>
      <c r="BP7" s="28" t="n">
        <v>0.475092</v>
      </c>
      <c r="BQ7" s="28" t="n">
        <v>0.403611</v>
      </c>
      <c r="BR7" s="28" t="n">
        <v>0.333167</v>
      </c>
      <c r="BS7" s="28" t="n">
        <v>0.264676</v>
      </c>
      <c r="BT7" s="28" t="n">
        <v>0.199168</v>
      </c>
      <c r="BU7" s="28" t="n">
        <v>0.137863</v>
      </c>
      <c r="BV7" s="28" t="n">
        <v>0.082346</v>
      </c>
      <c r="BW7" s="28" t="n">
        <v>0.035047</v>
      </c>
      <c r="BX7" s="28" t="n">
        <v>0.001849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8" t="n">
        <v>0</v>
      </c>
      <c r="CI7" s="28" t="n">
        <v>0</v>
      </c>
      <c r="CJ7" s="28" t="n">
        <v>0</v>
      </c>
      <c r="CK7" s="28" t="n">
        <v>0</v>
      </c>
      <c r="CL7" s="28" t="n">
        <v>0</v>
      </c>
      <c r="CM7" s="28" t="n">
        <v>0</v>
      </c>
      <c r="CN7" s="28" t="n">
        <v>0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  <c r="CT7" s="28" t="n">
        <v>0</v>
      </c>
    </row>
    <row r="8">
      <c r="A8" s="6" t="inlineStr">
        <is>
          <t>P7|5</t>
        </is>
      </c>
      <c r="B8" s="6" t="inlineStr">
        <is>
          <t>May</t>
        </is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0.016943</v>
      </c>
      <c r="AB8" s="28" t="n">
        <v>0.05271</v>
      </c>
      <c r="AC8" s="28" t="n">
        <v>0.096468</v>
      </c>
      <c r="AD8" s="28" t="n">
        <v>0.145676</v>
      </c>
      <c r="AE8" s="28" t="n">
        <v>0.198853</v>
      </c>
      <c r="AF8" s="28" t="n">
        <v>0.254921</v>
      </c>
      <c r="AG8" s="28" t="n">
        <v>0.312994</v>
      </c>
      <c r="AH8" s="28" t="n">
        <v>0.372305</v>
      </c>
      <c r="AI8" s="28" t="n">
        <v>0.432156</v>
      </c>
      <c r="AJ8" s="28" t="n">
        <v>0.491908</v>
      </c>
      <c r="AK8" s="28" t="n">
        <v>0.550959</v>
      </c>
      <c r="AL8" s="28" t="n">
        <v>0.608748</v>
      </c>
      <c r="AM8" s="28" t="n">
        <v>0.6647420000000001</v>
      </c>
      <c r="AN8" s="28" t="n">
        <v>0.718445</v>
      </c>
      <c r="AO8" s="28" t="n">
        <v>0.76939</v>
      </c>
      <c r="AP8" s="28" t="n">
        <v>0.817143</v>
      </c>
      <c r="AQ8" s="28" t="n">
        <v>0.861303</v>
      </c>
      <c r="AR8" s="28" t="n">
        <v>0.9015069999999999</v>
      </c>
      <c r="AS8" s="28" t="n">
        <v>0.937423</v>
      </c>
      <c r="AT8" s="28" t="n">
        <v>0.968761</v>
      </c>
      <c r="AU8" s="28" t="n">
        <v>0.995269</v>
      </c>
      <c r="AV8" s="28" t="n">
        <v>1</v>
      </c>
      <c r="AW8" s="28" t="n">
        <v>1</v>
      </c>
      <c r="AX8" s="28" t="n">
        <v>1</v>
      </c>
      <c r="AY8" s="28" t="n">
        <v>1</v>
      </c>
      <c r="AZ8" s="28" t="n">
        <v>1</v>
      </c>
      <c r="BA8" s="28" t="n">
        <v>1</v>
      </c>
      <c r="BB8" s="28" t="n">
        <v>1</v>
      </c>
      <c r="BC8" s="28" t="n">
        <v>1</v>
      </c>
      <c r="BD8" s="28" t="n">
        <v>0.995269</v>
      </c>
      <c r="BE8" s="28" t="n">
        <v>0.968761</v>
      </c>
      <c r="BF8" s="28" t="n">
        <v>0.937423</v>
      </c>
      <c r="BG8" s="28" t="n">
        <v>0.9015069999999999</v>
      </c>
      <c r="BH8" s="28" t="n">
        <v>0.861303</v>
      </c>
      <c r="BI8" s="28" t="n">
        <v>0.817143</v>
      </c>
      <c r="BJ8" s="28" t="n">
        <v>0.76939</v>
      </c>
      <c r="BK8" s="28" t="n">
        <v>0.718445</v>
      </c>
      <c r="BL8" s="28" t="n">
        <v>0.6647420000000001</v>
      </c>
      <c r="BM8" s="28" t="n">
        <v>0.608748</v>
      </c>
      <c r="BN8" s="28" t="n">
        <v>0.550959</v>
      </c>
      <c r="BO8" s="28" t="n">
        <v>0.491908</v>
      </c>
      <c r="BP8" s="28" t="n">
        <v>0.432156</v>
      </c>
      <c r="BQ8" s="28" t="n">
        <v>0.372305</v>
      </c>
      <c r="BR8" s="28" t="n">
        <v>0.312994</v>
      </c>
      <c r="BS8" s="28" t="n">
        <v>0.254921</v>
      </c>
      <c r="BT8" s="28" t="n">
        <v>0.198853</v>
      </c>
      <c r="BU8" s="28" t="n">
        <v>0.145676</v>
      </c>
      <c r="BV8" s="28" t="n">
        <v>0.096468</v>
      </c>
      <c r="BW8" s="28" t="n">
        <v>0.05271</v>
      </c>
      <c r="BX8" s="28" t="n">
        <v>0.016943</v>
      </c>
      <c r="BY8" s="28" t="n">
        <v>0</v>
      </c>
      <c r="BZ8" s="28" t="n">
        <v>0</v>
      </c>
      <c r="CA8" s="28" t="n">
        <v>0</v>
      </c>
      <c r="CB8" s="28" t="n">
        <v>0</v>
      </c>
      <c r="CC8" s="28" t="n">
        <v>0</v>
      </c>
      <c r="CD8" s="28" t="n">
        <v>0</v>
      </c>
      <c r="CE8" s="28" t="n">
        <v>0</v>
      </c>
      <c r="CF8" s="28" t="n">
        <v>0</v>
      </c>
      <c r="CG8" s="28" t="n">
        <v>0</v>
      </c>
      <c r="CH8" s="28" t="n">
        <v>0</v>
      </c>
      <c r="CI8" s="28" t="n">
        <v>0</v>
      </c>
      <c r="CJ8" s="28" t="n">
        <v>0</v>
      </c>
      <c r="CK8" s="28" t="n">
        <v>0</v>
      </c>
      <c r="CL8" s="28" t="n">
        <v>0</v>
      </c>
      <c r="CM8" s="28" t="n">
        <v>0</v>
      </c>
      <c r="CN8" s="28" t="n">
        <v>0</v>
      </c>
      <c r="CO8" s="28" t="n">
        <v>0</v>
      </c>
      <c r="CP8" s="28" t="n">
        <v>0</v>
      </c>
      <c r="CQ8" s="28" t="n">
        <v>0</v>
      </c>
      <c r="CR8" s="28" t="n">
        <v>0</v>
      </c>
      <c r="CS8" s="28" t="n">
        <v>0</v>
      </c>
      <c r="CT8" s="28" t="n">
        <v>0</v>
      </c>
    </row>
    <row r="9">
      <c r="A9" s="6" t="inlineStr">
        <is>
          <t>P7|6</t>
        </is>
      </c>
      <c r="B9" s="6" t="inlineStr">
        <is>
          <t>Jun</t>
        </is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0.000452</v>
      </c>
      <c r="AA9" s="28" t="n">
        <v>0.021104</v>
      </c>
      <c r="AB9" s="28" t="n">
        <v>0.051567</v>
      </c>
      <c r="AC9" s="28" t="n">
        <v>0.08756700000000001</v>
      </c>
      <c r="AD9" s="28" t="n">
        <v>0.127473</v>
      </c>
      <c r="AE9" s="28" t="n">
        <v>0.170249</v>
      </c>
      <c r="AF9" s="28" t="n">
        <v>0.215107</v>
      </c>
      <c r="AG9" s="28" t="n">
        <v>0.261388</v>
      </c>
      <c r="AH9" s="28" t="n">
        <v>0.308513</v>
      </c>
      <c r="AI9" s="28" t="n">
        <v>0.355954</v>
      </c>
      <c r="AJ9" s="28" t="n">
        <v>0.403221</v>
      </c>
      <c r="AK9" s="28" t="n">
        <v>0.449857</v>
      </c>
      <c r="AL9" s="28" t="n">
        <v>0.49543</v>
      </c>
      <c r="AM9" s="28" t="n">
        <v>0.539534</v>
      </c>
      <c r="AN9" s="28" t="n">
        <v>0.581789</v>
      </c>
      <c r="AO9" s="28" t="n">
        <v>0.621837</v>
      </c>
      <c r="AP9" s="28" t="n">
        <v>0.659345</v>
      </c>
      <c r="AQ9" s="28" t="n">
        <v>0.694007</v>
      </c>
      <c r="AR9" s="28" t="n">
        <v>0.725544</v>
      </c>
      <c r="AS9" s="28" t="n">
        <v>0.753704</v>
      </c>
      <c r="AT9" s="28" t="n">
        <v>0.778264</v>
      </c>
      <c r="AU9" s="28" t="n">
        <v>0.79903</v>
      </c>
      <c r="AV9" s="28" t="n">
        <v>0.81584</v>
      </c>
      <c r="AW9" s="28" t="n">
        <v>0.828563</v>
      </c>
      <c r="AX9" s="28" t="n">
        <v>0.8371</v>
      </c>
      <c r="AY9" s="28" t="n">
        <v>0.841385</v>
      </c>
      <c r="AZ9" s="28" t="n">
        <v>0.841385</v>
      </c>
      <c r="BA9" s="28" t="n">
        <v>0.8371</v>
      </c>
      <c r="BB9" s="28" t="n">
        <v>0.828563</v>
      </c>
      <c r="BC9" s="28" t="n">
        <v>0.81584</v>
      </c>
      <c r="BD9" s="28" t="n">
        <v>0.79903</v>
      </c>
      <c r="BE9" s="28" t="n">
        <v>0.778264</v>
      </c>
      <c r="BF9" s="28" t="n">
        <v>0.753704</v>
      </c>
      <c r="BG9" s="28" t="n">
        <v>0.725544</v>
      </c>
      <c r="BH9" s="28" t="n">
        <v>0.694007</v>
      </c>
      <c r="BI9" s="28" t="n">
        <v>0.659345</v>
      </c>
      <c r="BJ9" s="28" t="n">
        <v>0.621837</v>
      </c>
      <c r="BK9" s="28" t="n">
        <v>0.581789</v>
      </c>
      <c r="BL9" s="28" t="n">
        <v>0.539534</v>
      </c>
      <c r="BM9" s="28" t="n">
        <v>0.49543</v>
      </c>
      <c r="BN9" s="28" t="n">
        <v>0.449857</v>
      </c>
      <c r="BO9" s="28" t="n">
        <v>0.403221</v>
      </c>
      <c r="BP9" s="28" t="n">
        <v>0.355954</v>
      </c>
      <c r="BQ9" s="28" t="n">
        <v>0.308513</v>
      </c>
      <c r="BR9" s="28" t="n">
        <v>0.261388</v>
      </c>
      <c r="BS9" s="28" t="n">
        <v>0.215107</v>
      </c>
      <c r="BT9" s="28" t="n">
        <v>0.170249</v>
      </c>
      <c r="BU9" s="28" t="n">
        <v>0.127473</v>
      </c>
      <c r="BV9" s="28" t="n">
        <v>0.08756700000000001</v>
      </c>
      <c r="BW9" s="28" t="n">
        <v>0.051567</v>
      </c>
      <c r="BX9" s="28" t="n">
        <v>0.021104</v>
      </c>
      <c r="BY9" s="28" t="n">
        <v>0.000452</v>
      </c>
      <c r="BZ9" s="28" t="n">
        <v>0</v>
      </c>
      <c r="CA9" s="28" t="n">
        <v>0</v>
      </c>
      <c r="CB9" s="28" t="n">
        <v>0</v>
      </c>
      <c r="CC9" s="28" t="n">
        <v>0</v>
      </c>
      <c r="CD9" s="28" t="n">
        <v>0</v>
      </c>
      <c r="CE9" s="28" t="n">
        <v>0</v>
      </c>
      <c r="CF9" s="28" t="n">
        <v>0</v>
      </c>
      <c r="CG9" s="28" t="n">
        <v>0</v>
      </c>
      <c r="CH9" s="28" t="n">
        <v>0</v>
      </c>
      <c r="CI9" s="28" t="n">
        <v>0</v>
      </c>
      <c r="CJ9" s="28" t="n">
        <v>0</v>
      </c>
      <c r="CK9" s="28" t="n">
        <v>0</v>
      </c>
      <c r="CL9" s="28" t="n">
        <v>0</v>
      </c>
      <c r="CM9" s="28" t="n">
        <v>0</v>
      </c>
      <c r="CN9" s="28" t="n">
        <v>0</v>
      </c>
      <c r="CO9" s="28" t="n">
        <v>0</v>
      </c>
      <c r="CP9" s="28" t="n">
        <v>0</v>
      </c>
      <c r="CQ9" s="28" t="n">
        <v>0</v>
      </c>
      <c r="CR9" s="28" t="n">
        <v>0</v>
      </c>
      <c r="CS9" s="28" t="n">
        <v>0</v>
      </c>
      <c r="CT9" s="28" t="n">
        <v>0</v>
      </c>
    </row>
    <row r="10">
      <c r="A10" s="6" t="inlineStr">
        <is>
          <t>P7|7</t>
        </is>
      </c>
      <c r="B10" s="6" t="inlineStr">
        <is>
          <t>Jul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8" t="n">
        <v>0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8" t="n">
        <v>0</v>
      </c>
      <c r="Z10" s="28" t="n">
        <v>0</v>
      </c>
      <c r="AA10" s="28" t="n">
        <v>0.016141</v>
      </c>
      <c r="AB10" s="28" t="n">
        <v>0.04386</v>
      </c>
      <c r="AC10" s="28" t="n">
        <v>0.077141</v>
      </c>
      <c r="AD10" s="28" t="n">
        <v>0.114285</v>
      </c>
      <c r="AE10" s="28" t="n">
        <v>0.154258</v>
      </c>
      <c r="AF10" s="28" t="n">
        <v>0.196286</v>
      </c>
      <c r="AG10" s="28" t="n">
        <v>0.239732</v>
      </c>
      <c r="AH10" s="28" t="n">
        <v>0.284035</v>
      </c>
      <c r="AI10" s="28" t="n">
        <v>0.328687</v>
      </c>
      <c r="AJ10" s="28" t="n">
        <v>0.373221</v>
      </c>
      <c r="AK10" s="28" t="n">
        <v>0.417195</v>
      </c>
      <c r="AL10" s="28" t="n">
        <v>0.460198</v>
      </c>
      <c r="AM10" s="28" t="n">
        <v>0.50184</v>
      </c>
      <c r="AN10" s="28" t="n">
        <v>0.541757</v>
      </c>
      <c r="AO10" s="28" t="n">
        <v>0.579606</v>
      </c>
      <c r="AP10" s="28" t="n">
        <v>0.615069</v>
      </c>
      <c r="AQ10" s="28" t="n">
        <v>0.647853</v>
      </c>
      <c r="AR10" s="28" t="n">
        <v>0.67769</v>
      </c>
      <c r="AS10" s="28" t="n">
        <v>0.704339</v>
      </c>
      <c r="AT10" s="28" t="n">
        <v>0.727586</v>
      </c>
      <c r="AU10" s="28" t="n">
        <v>0.747245</v>
      </c>
      <c r="AV10" s="28" t="n">
        <v>0.763162</v>
      </c>
      <c r="AW10" s="28" t="n">
        <v>0.77521</v>
      </c>
      <c r="AX10" s="28" t="n">
        <v>0.783295</v>
      </c>
      <c r="AY10" s="28" t="n">
        <v>0.787354</v>
      </c>
      <c r="AZ10" s="28" t="n">
        <v>0.787354</v>
      </c>
      <c r="BA10" s="28" t="n">
        <v>0.783295</v>
      </c>
      <c r="BB10" s="28" t="n">
        <v>0.77521</v>
      </c>
      <c r="BC10" s="28" t="n">
        <v>0.763162</v>
      </c>
      <c r="BD10" s="28" t="n">
        <v>0.747245</v>
      </c>
      <c r="BE10" s="28" t="n">
        <v>0.727586</v>
      </c>
      <c r="BF10" s="28" t="n">
        <v>0.704339</v>
      </c>
      <c r="BG10" s="28" t="n">
        <v>0.67769</v>
      </c>
      <c r="BH10" s="28" t="n">
        <v>0.647853</v>
      </c>
      <c r="BI10" s="28" t="n">
        <v>0.615069</v>
      </c>
      <c r="BJ10" s="28" t="n">
        <v>0.579606</v>
      </c>
      <c r="BK10" s="28" t="n">
        <v>0.541757</v>
      </c>
      <c r="BL10" s="28" t="n">
        <v>0.50184</v>
      </c>
      <c r="BM10" s="28" t="n">
        <v>0.460198</v>
      </c>
      <c r="BN10" s="28" t="n">
        <v>0.417195</v>
      </c>
      <c r="BO10" s="28" t="n">
        <v>0.373221</v>
      </c>
      <c r="BP10" s="28" t="n">
        <v>0.328687</v>
      </c>
      <c r="BQ10" s="28" t="n">
        <v>0.284035</v>
      </c>
      <c r="BR10" s="28" t="n">
        <v>0.239732</v>
      </c>
      <c r="BS10" s="28" t="n">
        <v>0.196286</v>
      </c>
      <c r="BT10" s="28" t="n">
        <v>0.154258</v>
      </c>
      <c r="BU10" s="28" t="n">
        <v>0.114285</v>
      </c>
      <c r="BV10" s="28" t="n">
        <v>0.077141</v>
      </c>
      <c r="BW10" s="28" t="n">
        <v>0.04386</v>
      </c>
      <c r="BX10" s="28" t="n">
        <v>0.016141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8" t="n">
        <v>0</v>
      </c>
      <c r="CT10" s="28" t="n">
        <v>0</v>
      </c>
    </row>
    <row r="11">
      <c r="A11" s="6" t="inlineStr">
        <is>
          <t>P7|8</t>
        </is>
      </c>
      <c r="B11" s="6" t="inlineStr">
        <is>
          <t>Aug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0</v>
      </c>
      <c r="L11" s="28" t="n">
        <v>0</v>
      </c>
      <c r="M11" s="28" t="n">
        <v>0</v>
      </c>
      <c r="N11" s="28" t="n">
        <v>0</v>
      </c>
      <c r="O11" s="28" t="n">
        <v>0</v>
      </c>
      <c r="P11" s="28" t="n">
        <v>0</v>
      </c>
      <c r="Q11" s="28" t="n">
        <v>0</v>
      </c>
      <c r="R11" s="28" t="n">
        <v>0</v>
      </c>
      <c r="S11" s="28" t="n">
        <v>0</v>
      </c>
      <c r="T11" s="28" t="n">
        <v>0</v>
      </c>
      <c r="U11" s="28" t="n">
        <v>0</v>
      </c>
      <c r="V11" s="28" t="n">
        <v>0</v>
      </c>
      <c r="W11" s="28" t="n">
        <v>0</v>
      </c>
      <c r="X11" s="28" t="n">
        <v>0</v>
      </c>
      <c r="Y11" s="28" t="n">
        <v>0</v>
      </c>
      <c r="Z11" s="28" t="n">
        <v>0</v>
      </c>
      <c r="AA11" s="28" t="n">
        <v>0.005277</v>
      </c>
      <c r="AB11" s="28" t="n">
        <v>0.030962</v>
      </c>
      <c r="AC11" s="28" t="n">
        <v>0.064708</v>
      </c>
      <c r="AD11" s="28" t="n">
        <v>0.103565</v>
      </c>
      <c r="AE11" s="28" t="n">
        <v>0.14608</v>
      </c>
      <c r="AF11" s="28" t="n">
        <v>0.191258</v>
      </c>
      <c r="AG11" s="28" t="n">
        <v>0.238313</v>
      </c>
      <c r="AH11" s="28" t="n">
        <v>0.286572</v>
      </c>
      <c r="AI11" s="28" t="n">
        <v>0.335433</v>
      </c>
      <c r="AJ11" s="28" t="n">
        <v>0.384345</v>
      </c>
      <c r="AK11" s="28" t="n">
        <v>0.432793</v>
      </c>
      <c r="AL11" s="28" t="n">
        <v>0.480296</v>
      </c>
      <c r="AM11" s="28" t="n">
        <v>0.5264</v>
      </c>
      <c r="AN11" s="28" t="n">
        <v>0.570681</v>
      </c>
      <c r="AO11" s="28" t="n">
        <v>0.612739</v>
      </c>
      <c r="AP11" s="28" t="n">
        <v>0.652204</v>
      </c>
      <c r="AQ11" s="28" t="n">
        <v>0.688734</v>
      </c>
      <c r="AR11" s="28" t="n">
        <v>0.722018</v>
      </c>
      <c r="AS11" s="28" t="n">
        <v>0.751773</v>
      </c>
      <c r="AT11" s="28" t="n">
        <v>0.7777500000000001</v>
      </c>
      <c r="AU11" s="28" t="n">
        <v>0.799733</v>
      </c>
      <c r="AV11" s="28" t="n">
        <v>0.81754</v>
      </c>
      <c r="AW11" s="28" t="n">
        <v>0.831025</v>
      </c>
      <c r="AX11" s="28" t="n">
        <v>0.840077</v>
      </c>
      <c r="AY11" s="28" t="n">
        <v>0.844622</v>
      </c>
      <c r="AZ11" s="28" t="n">
        <v>0.844622</v>
      </c>
      <c r="BA11" s="28" t="n">
        <v>0.840077</v>
      </c>
      <c r="BB11" s="28" t="n">
        <v>0.831025</v>
      </c>
      <c r="BC11" s="28" t="n">
        <v>0.81754</v>
      </c>
      <c r="BD11" s="28" t="n">
        <v>0.799733</v>
      </c>
      <c r="BE11" s="28" t="n">
        <v>0.7777500000000001</v>
      </c>
      <c r="BF11" s="28" t="n">
        <v>0.751773</v>
      </c>
      <c r="BG11" s="28" t="n">
        <v>0.722018</v>
      </c>
      <c r="BH11" s="28" t="n">
        <v>0.688734</v>
      </c>
      <c r="BI11" s="28" t="n">
        <v>0.652204</v>
      </c>
      <c r="BJ11" s="28" t="n">
        <v>0.612739</v>
      </c>
      <c r="BK11" s="28" t="n">
        <v>0.570681</v>
      </c>
      <c r="BL11" s="28" t="n">
        <v>0.5264</v>
      </c>
      <c r="BM11" s="28" t="n">
        <v>0.480296</v>
      </c>
      <c r="BN11" s="28" t="n">
        <v>0.432793</v>
      </c>
      <c r="BO11" s="28" t="n">
        <v>0.384345</v>
      </c>
      <c r="BP11" s="28" t="n">
        <v>0.335433</v>
      </c>
      <c r="BQ11" s="28" t="n">
        <v>0.286572</v>
      </c>
      <c r="BR11" s="28" t="n">
        <v>0.238313</v>
      </c>
      <c r="BS11" s="28" t="n">
        <v>0.191258</v>
      </c>
      <c r="BT11" s="28" t="n">
        <v>0.14608</v>
      </c>
      <c r="BU11" s="28" t="n">
        <v>0.103565</v>
      </c>
      <c r="BV11" s="28" t="n">
        <v>0.064708</v>
      </c>
      <c r="BW11" s="28" t="n">
        <v>0.030962</v>
      </c>
      <c r="BX11" s="28" t="n">
        <v>0.005277</v>
      </c>
      <c r="BY11" s="28" t="n">
        <v>0</v>
      </c>
      <c r="BZ11" s="28" t="n">
        <v>0</v>
      </c>
      <c r="CA11" s="28" t="n">
        <v>0</v>
      </c>
      <c r="CB11" s="28" t="n">
        <v>0</v>
      </c>
      <c r="CC11" s="28" t="n">
        <v>0</v>
      </c>
      <c r="CD11" s="28" t="n">
        <v>0</v>
      </c>
      <c r="CE11" s="28" t="n">
        <v>0</v>
      </c>
      <c r="CF11" s="28" t="n">
        <v>0</v>
      </c>
      <c r="CG11" s="28" t="n">
        <v>0</v>
      </c>
      <c r="CH11" s="28" t="n">
        <v>0</v>
      </c>
      <c r="CI11" s="28" t="n">
        <v>0</v>
      </c>
      <c r="CJ11" s="28" t="n">
        <v>0</v>
      </c>
      <c r="CK11" s="28" t="n">
        <v>0</v>
      </c>
      <c r="CL11" s="28" t="n">
        <v>0</v>
      </c>
      <c r="CM11" s="28" t="n">
        <v>0</v>
      </c>
      <c r="CN11" s="28" t="n">
        <v>0</v>
      </c>
      <c r="CO11" s="28" t="n">
        <v>0</v>
      </c>
      <c r="CP11" s="28" t="n">
        <v>0</v>
      </c>
      <c r="CQ11" s="28" t="n">
        <v>0</v>
      </c>
      <c r="CR11" s="28" t="n">
        <v>0</v>
      </c>
      <c r="CS11" s="28" t="n">
        <v>0</v>
      </c>
      <c r="CT11" s="28" t="n">
        <v>0</v>
      </c>
    </row>
    <row r="12">
      <c r="A12" s="6" t="inlineStr">
        <is>
          <t>P7|9</t>
        </is>
      </c>
      <c r="B12" s="6" t="inlineStr">
        <is>
          <t>Sep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0.01291</v>
      </c>
      <c r="AC12" s="28" t="n">
        <v>0.046204</v>
      </c>
      <c r="AD12" s="28" t="n">
        <v>0.08765199999999999</v>
      </c>
      <c r="AE12" s="28" t="n">
        <v>0.134525</v>
      </c>
      <c r="AF12" s="28" t="n">
        <v>0.185294</v>
      </c>
      <c r="AG12" s="28" t="n">
        <v>0.23885</v>
      </c>
      <c r="AH12" s="28" t="n">
        <v>0.29429</v>
      </c>
      <c r="AI12" s="28" t="n">
        <v>0.350826</v>
      </c>
      <c r="AJ12" s="28" t="n">
        <v>0.407749</v>
      </c>
      <c r="AK12" s="28" t="n">
        <v>0.464401</v>
      </c>
      <c r="AL12" s="28" t="n">
        <v>0.5201710000000001</v>
      </c>
      <c r="AM12" s="28" t="n">
        <v>0.574485</v>
      </c>
      <c r="AN12" s="28" t="n">
        <v>0.626803</v>
      </c>
      <c r="AO12" s="28" t="n">
        <v>0.676621</v>
      </c>
      <c r="AP12" s="28" t="n">
        <v>0.723471</v>
      </c>
      <c r="AQ12" s="28" t="n">
        <v>0.76692</v>
      </c>
      <c r="AR12" s="28" t="n">
        <v>0.806572</v>
      </c>
      <c r="AS12" s="28" t="n">
        <v>0.84207</v>
      </c>
      <c r="AT12" s="28" t="n">
        <v>0.873097</v>
      </c>
      <c r="AU12" s="28" t="n">
        <v>0.89938</v>
      </c>
      <c r="AV12" s="28" t="n">
        <v>0.920687</v>
      </c>
      <c r="AW12" s="28" t="n">
        <v>0.936832</v>
      </c>
      <c r="AX12" s="28" t="n">
        <v>0.947674</v>
      </c>
      <c r="AY12" s="28" t="n">
        <v>0.953118</v>
      </c>
      <c r="AZ12" s="28" t="n">
        <v>0.953118</v>
      </c>
      <c r="BA12" s="28" t="n">
        <v>0.947674</v>
      </c>
      <c r="BB12" s="28" t="n">
        <v>0.936832</v>
      </c>
      <c r="BC12" s="28" t="n">
        <v>0.920687</v>
      </c>
      <c r="BD12" s="28" t="n">
        <v>0.89938</v>
      </c>
      <c r="BE12" s="28" t="n">
        <v>0.873097</v>
      </c>
      <c r="BF12" s="28" t="n">
        <v>0.84207</v>
      </c>
      <c r="BG12" s="28" t="n">
        <v>0.806572</v>
      </c>
      <c r="BH12" s="28" t="n">
        <v>0.76692</v>
      </c>
      <c r="BI12" s="28" t="n">
        <v>0.723471</v>
      </c>
      <c r="BJ12" s="28" t="n">
        <v>0.676621</v>
      </c>
      <c r="BK12" s="28" t="n">
        <v>0.626803</v>
      </c>
      <c r="BL12" s="28" t="n">
        <v>0.574485</v>
      </c>
      <c r="BM12" s="28" t="n">
        <v>0.5201710000000001</v>
      </c>
      <c r="BN12" s="28" t="n">
        <v>0.464401</v>
      </c>
      <c r="BO12" s="28" t="n">
        <v>0.407749</v>
      </c>
      <c r="BP12" s="28" t="n">
        <v>0.350826</v>
      </c>
      <c r="BQ12" s="28" t="n">
        <v>0.29429</v>
      </c>
      <c r="BR12" s="28" t="n">
        <v>0.23885</v>
      </c>
      <c r="BS12" s="28" t="n">
        <v>0.185294</v>
      </c>
      <c r="BT12" s="28" t="n">
        <v>0.134525</v>
      </c>
      <c r="BU12" s="28" t="n">
        <v>0.08765199999999999</v>
      </c>
      <c r="BV12" s="28" t="n">
        <v>0.046204</v>
      </c>
      <c r="BW12" s="28" t="n">
        <v>0.01291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</row>
    <row r="13">
      <c r="A13" s="6" t="inlineStr">
        <is>
          <t>P7|10</t>
        </is>
      </c>
      <c r="B13" s="6" t="inlineStr">
        <is>
          <t>Oct</t>
        </is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0.022827</v>
      </c>
      <c r="AD13" s="28" t="n">
        <v>0.063694</v>
      </c>
      <c r="AE13" s="28" t="n">
        <v>0.112879</v>
      </c>
      <c r="AF13" s="28" t="n">
        <v>0.167739</v>
      </c>
      <c r="AG13" s="28" t="n">
        <v>0.226647</v>
      </c>
      <c r="AH13" s="28" t="n">
        <v>0.288377</v>
      </c>
      <c r="AI13" s="28" t="n">
        <v>0.351902</v>
      </c>
      <c r="AJ13" s="28" t="n">
        <v>0.416317</v>
      </c>
      <c r="AK13" s="28" t="n">
        <v>0.480796</v>
      </c>
      <c r="AL13" s="28" t="n">
        <v>0.544575</v>
      </c>
      <c r="AM13" s="28" t="n">
        <v>0.6069369999999999</v>
      </c>
      <c r="AN13" s="28" t="n">
        <v>0.667215</v>
      </c>
      <c r="AO13" s="28" t="n">
        <v>0.724783</v>
      </c>
      <c r="AP13" s="28" t="n">
        <v>0.779058</v>
      </c>
      <c r="AQ13" s="28" t="n">
        <v>0.829503</v>
      </c>
      <c r="AR13" s="28" t="n">
        <v>0.875626</v>
      </c>
      <c r="AS13" s="28" t="n">
        <v>0.916983</v>
      </c>
      <c r="AT13" s="28" t="n">
        <v>0.9531809999999999</v>
      </c>
      <c r="AU13" s="28" t="n">
        <v>0.983878</v>
      </c>
      <c r="AV13" s="28" t="n">
        <v>1</v>
      </c>
      <c r="AW13" s="28" t="n">
        <v>1</v>
      </c>
      <c r="AX13" s="28" t="n">
        <v>1</v>
      </c>
      <c r="AY13" s="28" t="n">
        <v>1</v>
      </c>
      <c r="AZ13" s="28" t="n">
        <v>1</v>
      </c>
      <c r="BA13" s="28" t="n">
        <v>1</v>
      </c>
      <c r="BB13" s="28" t="n">
        <v>1</v>
      </c>
      <c r="BC13" s="28" t="n">
        <v>1</v>
      </c>
      <c r="BD13" s="28" t="n">
        <v>0.983878</v>
      </c>
      <c r="BE13" s="28" t="n">
        <v>0.9531809999999999</v>
      </c>
      <c r="BF13" s="28" t="n">
        <v>0.916983</v>
      </c>
      <c r="BG13" s="28" t="n">
        <v>0.875626</v>
      </c>
      <c r="BH13" s="28" t="n">
        <v>0.829503</v>
      </c>
      <c r="BI13" s="28" t="n">
        <v>0.779058</v>
      </c>
      <c r="BJ13" s="28" t="n">
        <v>0.724783</v>
      </c>
      <c r="BK13" s="28" t="n">
        <v>0.667215</v>
      </c>
      <c r="BL13" s="28" t="n">
        <v>0.6069369999999999</v>
      </c>
      <c r="BM13" s="28" t="n">
        <v>0.544575</v>
      </c>
      <c r="BN13" s="28" t="n">
        <v>0.480796</v>
      </c>
      <c r="BO13" s="28" t="n">
        <v>0.416317</v>
      </c>
      <c r="BP13" s="28" t="n">
        <v>0.351902</v>
      </c>
      <c r="BQ13" s="28" t="n">
        <v>0.288377</v>
      </c>
      <c r="BR13" s="28" t="n">
        <v>0.226647</v>
      </c>
      <c r="BS13" s="28" t="n">
        <v>0.167739</v>
      </c>
      <c r="BT13" s="28" t="n">
        <v>0.112879</v>
      </c>
      <c r="BU13" s="28" t="n">
        <v>0.063694</v>
      </c>
      <c r="BV13" s="28" t="n">
        <v>0.022827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8" t="n">
        <v>0</v>
      </c>
      <c r="CE13" s="28" t="n">
        <v>0</v>
      </c>
      <c r="CF13" s="28" t="n">
        <v>0</v>
      </c>
      <c r="CG13" s="28" t="n">
        <v>0</v>
      </c>
      <c r="CH13" s="28" t="n">
        <v>0</v>
      </c>
      <c r="CI13" s="28" t="n">
        <v>0</v>
      </c>
      <c r="CJ13" s="28" t="n">
        <v>0</v>
      </c>
      <c r="CK13" s="28" t="n">
        <v>0</v>
      </c>
      <c r="CL13" s="28" t="n">
        <v>0</v>
      </c>
      <c r="CM13" s="28" t="n">
        <v>0</v>
      </c>
      <c r="CN13" s="28" t="n">
        <v>0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  <c r="CT13" s="28" t="n">
        <v>0</v>
      </c>
    </row>
    <row r="14">
      <c r="A14" s="6" t="inlineStr">
        <is>
          <t>P7|11</t>
        </is>
      </c>
      <c r="B14" s="6" t="inlineStr">
        <is>
          <t>Nov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0.00475</v>
      </c>
      <c r="AD14" s="28" t="n">
        <v>0.04255</v>
      </c>
      <c r="AE14" s="28" t="n">
        <v>0.09395299999999999</v>
      </c>
      <c r="AF14" s="28" t="n">
        <v>0.15358</v>
      </c>
      <c r="AG14" s="28" t="n">
        <v>0.218936</v>
      </c>
      <c r="AH14" s="28" t="n">
        <v>0.288324</v>
      </c>
      <c r="AI14" s="28" t="n">
        <v>0.360395</v>
      </c>
      <c r="AJ14" s="28" t="n">
        <v>0.43399</v>
      </c>
      <c r="AK14" s="28" t="n">
        <v>0.50807</v>
      </c>
      <c r="AL14" s="28" t="n">
        <v>0.581677</v>
      </c>
      <c r="AM14" s="28" t="n">
        <v>0.6539239999999999</v>
      </c>
      <c r="AN14" s="28" t="n">
        <v>0.72398</v>
      </c>
      <c r="AO14" s="28" t="n">
        <v>0.791069</v>
      </c>
      <c r="AP14" s="28" t="n">
        <v>0.854469</v>
      </c>
      <c r="AQ14" s="28" t="n">
        <v>0.913513</v>
      </c>
      <c r="AR14" s="28" t="n">
        <v>0.967591</v>
      </c>
      <c r="AS14" s="28" t="n">
        <v>1</v>
      </c>
      <c r="AT14" s="28" t="n">
        <v>1</v>
      </c>
      <c r="AU14" s="28" t="n">
        <v>1</v>
      </c>
      <c r="AV14" s="28" t="n">
        <v>1</v>
      </c>
      <c r="AW14" s="28" t="n">
        <v>1</v>
      </c>
      <c r="AX14" s="28" t="n">
        <v>1</v>
      </c>
      <c r="AY14" s="28" t="n">
        <v>1</v>
      </c>
      <c r="AZ14" s="28" t="n">
        <v>1</v>
      </c>
      <c r="BA14" s="28" t="n">
        <v>1</v>
      </c>
      <c r="BB14" s="28" t="n">
        <v>1</v>
      </c>
      <c r="BC14" s="28" t="n">
        <v>1</v>
      </c>
      <c r="BD14" s="28" t="n">
        <v>1</v>
      </c>
      <c r="BE14" s="28" t="n">
        <v>1</v>
      </c>
      <c r="BF14" s="28" t="n">
        <v>1</v>
      </c>
      <c r="BG14" s="28" t="n">
        <v>0.967591</v>
      </c>
      <c r="BH14" s="28" t="n">
        <v>0.913513</v>
      </c>
      <c r="BI14" s="28" t="n">
        <v>0.854469</v>
      </c>
      <c r="BJ14" s="28" t="n">
        <v>0.791069</v>
      </c>
      <c r="BK14" s="28" t="n">
        <v>0.72398</v>
      </c>
      <c r="BL14" s="28" t="n">
        <v>0.6539239999999999</v>
      </c>
      <c r="BM14" s="28" t="n">
        <v>0.581677</v>
      </c>
      <c r="BN14" s="28" t="n">
        <v>0.50807</v>
      </c>
      <c r="BO14" s="28" t="n">
        <v>0.43399</v>
      </c>
      <c r="BP14" s="28" t="n">
        <v>0.360395</v>
      </c>
      <c r="BQ14" s="28" t="n">
        <v>0.288324</v>
      </c>
      <c r="BR14" s="28" t="n">
        <v>0.218936</v>
      </c>
      <c r="BS14" s="28" t="n">
        <v>0.15358</v>
      </c>
      <c r="BT14" s="28" t="n">
        <v>0.09395299999999999</v>
      </c>
      <c r="BU14" s="28" t="n">
        <v>0.04255</v>
      </c>
      <c r="BV14" s="28" t="n">
        <v>0.00475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</row>
    <row r="15">
      <c r="A15" s="6" t="inlineStr">
        <is>
          <t>P7|12</t>
        </is>
      </c>
      <c r="B15" s="6" t="inlineStr">
        <is>
          <t>Dec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0.031678</v>
      </c>
      <c r="AE15" s="28" t="n">
        <v>0.08405899999999999</v>
      </c>
      <c r="AF15" s="28" t="n">
        <v>0.146591</v>
      </c>
      <c r="AG15" s="28" t="n">
        <v>0.21603</v>
      </c>
      <c r="AH15" s="28" t="n">
        <v>0.290324</v>
      </c>
      <c r="AI15" s="28" t="n">
        <v>0.367898</v>
      </c>
      <c r="AJ15" s="28" t="n">
        <v>0.447421</v>
      </c>
      <c r="AK15" s="28" t="n">
        <v>0.527709</v>
      </c>
      <c r="AL15" s="28" t="n">
        <v>0.607681</v>
      </c>
      <c r="AM15" s="28" t="n">
        <v>0.6863320000000001</v>
      </c>
      <c r="AN15" s="28" t="n">
        <v>0.762728</v>
      </c>
      <c r="AO15" s="28" t="n">
        <v>0.835992</v>
      </c>
      <c r="AP15" s="28" t="n">
        <v>0.905314</v>
      </c>
      <c r="AQ15" s="28" t="n">
        <v>0.96994</v>
      </c>
      <c r="AR15" s="28" t="n">
        <v>1</v>
      </c>
      <c r="AS15" s="28" t="n">
        <v>1</v>
      </c>
      <c r="AT15" s="28" t="n">
        <v>1</v>
      </c>
      <c r="AU15" s="28" t="n">
        <v>1</v>
      </c>
      <c r="AV15" s="28" t="n">
        <v>1</v>
      </c>
      <c r="AW15" s="28" t="n">
        <v>1</v>
      </c>
      <c r="AX15" s="28" t="n">
        <v>1</v>
      </c>
      <c r="AY15" s="28" t="n">
        <v>1</v>
      </c>
      <c r="AZ15" s="28" t="n">
        <v>1</v>
      </c>
      <c r="BA15" s="28" t="n">
        <v>1</v>
      </c>
      <c r="BB15" s="28" t="n">
        <v>1</v>
      </c>
      <c r="BC15" s="28" t="n">
        <v>1</v>
      </c>
      <c r="BD15" s="28" t="n">
        <v>1</v>
      </c>
      <c r="BE15" s="28" t="n">
        <v>1</v>
      </c>
      <c r="BF15" s="28" t="n">
        <v>1</v>
      </c>
      <c r="BG15" s="28" t="n">
        <v>1</v>
      </c>
      <c r="BH15" s="28" t="n">
        <v>0.96994</v>
      </c>
      <c r="BI15" s="28" t="n">
        <v>0.905314</v>
      </c>
      <c r="BJ15" s="28" t="n">
        <v>0.835992</v>
      </c>
      <c r="BK15" s="28" t="n">
        <v>0.762728</v>
      </c>
      <c r="BL15" s="28" t="n">
        <v>0.6863320000000001</v>
      </c>
      <c r="BM15" s="28" t="n">
        <v>0.607681</v>
      </c>
      <c r="BN15" s="28" t="n">
        <v>0.527709</v>
      </c>
      <c r="BO15" s="28" t="n">
        <v>0.447421</v>
      </c>
      <c r="BP15" s="28" t="n">
        <v>0.367898</v>
      </c>
      <c r="BQ15" s="28" t="n">
        <v>0.290324</v>
      </c>
      <c r="BR15" s="28" t="n">
        <v>0.21603</v>
      </c>
      <c r="BS15" s="28" t="n">
        <v>0.146591</v>
      </c>
      <c r="BT15" s="28" t="n">
        <v>0.08405899999999999</v>
      </c>
      <c r="BU15" s="28" t="n">
        <v>0.031678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8" t="n">
        <v>0</v>
      </c>
      <c r="CI15" s="28" t="n">
        <v>0</v>
      </c>
      <c r="CJ15" s="28" t="n">
        <v>0</v>
      </c>
      <c r="CK15" s="28" t="n">
        <v>0</v>
      </c>
      <c r="CL15" s="28" t="n">
        <v>0</v>
      </c>
      <c r="CM15" s="28" t="n">
        <v>0</v>
      </c>
      <c r="CN15" s="28" t="n">
        <v>0</v>
      </c>
      <c r="CO15" s="28" t="n">
        <v>0</v>
      </c>
      <c r="CP15" s="28" t="n">
        <v>0</v>
      </c>
      <c r="CQ15" s="28" t="n">
        <v>0</v>
      </c>
      <c r="CR15" s="28" t="n">
        <v>0</v>
      </c>
      <c r="CS15" s="28" t="n">
        <v>0</v>
      </c>
      <c r="CT15" s="28" t="n">
        <v>0</v>
      </c>
    </row>
    <row r="16">
      <c r="A16" s="6" t="inlineStr">
        <is>
          <t>P8|1</t>
        </is>
      </c>
      <c r="B16" s="6" t="inlineStr">
        <is>
          <t>Jan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0</v>
      </c>
      <c r="L16" s="28" t="n">
        <v>0</v>
      </c>
      <c r="M16" s="28" t="n">
        <v>0</v>
      </c>
      <c r="N16" s="28" t="n">
        <v>0</v>
      </c>
      <c r="O16" s="28" t="n">
        <v>0</v>
      </c>
      <c r="P16" s="28" t="n">
        <v>0</v>
      </c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8" t="n">
        <v>0</v>
      </c>
      <c r="AD16" s="28" t="n">
        <v>0.019061</v>
      </c>
      <c r="AE16" s="28" t="n">
        <v>0.074133</v>
      </c>
      <c r="AF16" s="28" t="n">
        <v>0.143286</v>
      </c>
      <c r="AG16" s="28" t="n">
        <v>0.221585</v>
      </c>
      <c r="AH16" s="28" t="n">
        <v>0.306265</v>
      </c>
      <c r="AI16" s="28" t="n">
        <v>0.395311</v>
      </c>
      <c r="AJ16" s="28" t="n">
        <v>0.48706</v>
      </c>
      <c r="AK16" s="28" t="n">
        <v>0.580055</v>
      </c>
      <c r="AL16" s="28" t="n">
        <v>0.672974</v>
      </c>
      <c r="AM16" s="28" t="n">
        <v>0.764592</v>
      </c>
      <c r="AN16" s="28" t="n">
        <v>0.853773</v>
      </c>
      <c r="AO16" s="28" t="n">
        <v>0.939454</v>
      </c>
      <c r="AP16" s="28" t="n">
        <v>1</v>
      </c>
      <c r="AQ16" s="28" t="n">
        <v>1</v>
      </c>
      <c r="AR16" s="28" t="n">
        <v>1</v>
      </c>
      <c r="AS16" s="28" t="n">
        <v>1</v>
      </c>
      <c r="AT16" s="28" t="n">
        <v>1</v>
      </c>
      <c r="AU16" s="28" t="n">
        <v>1</v>
      </c>
      <c r="AV16" s="28" t="n">
        <v>1</v>
      </c>
      <c r="AW16" s="28" t="n">
        <v>1</v>
      </c>
      <c r="AX16" s="28" t="n">
        <v>1</v>
      </c>
      <c r="AY16" s="28" t="n">
        <v>1</v>
      </c>
      <c r="AZ16" s="28" t="n">
        <v>1</v>
      </c>
      <c r="BA16" s="28" t="n">
        <v>1</v>
      </c>
      <c r="BB16" s="28" t="n">
        <v>1</v>
      </c>
      <c r="BC16" s="28" t="n">
        <v>1</v>
      </c>
      <c r="BD16" s="28" t="n">
        <v>1</v>
      </c>
      <c r="BE16" s="28" t="n">
        <v>1</v>
      </c>
      <c r="BF16" s="28" t="n">
        <v>1</v>
      </c>
      <c r="BG16" s="28" t="n">
        <v>1</v>
      </c>
      <c r="BH16" s="28" t="n">
        <v>1</v>
      </c>
      <c r="BI16" s="28" t="n">
        <v>1</v>
      </c>
      <c r="BJ16" s="28" t="n">
        <v>0.939454</v>
      </c>
      <c r="BK16" s="28" t="n">
        <v>0.853773</v>
      </c>
      <c r="BL16" s="28" t="n">
        <v>0.764592</v>
      </c>
      <c r="BM16" s="28" t="n">
        <v>0.672974</v>
      </c>
      <c r="BN16" s="28" t="n">
        <v>0.580055</v>
      </c>
      <c r="BO16" s="28" t="n">
        <v>0.48706</v>
      </c>
      <c r="BP16" s="28" t="n">
        <v>0.395311</v>
      </c>
      <c r="BQ16" s="28" t="n">
        <v>0.306265</v>
      </c>
      <c r="BR16" s="28" t="n">
        <v>0.221585</v>
      </c>
      <c r="BS16" s="28" t="n">
        <v>0.143286</v>
      </c>
      <c r="BT16" s="28" t="n">
        <v>0.074133</v>
      </c>
      <c r="BU16" s="28" t="n">
        <v>0.019061</v>
      </c>
      <c r="BV16" s="28" t="n">
        <v>0</v>
      </c>
      <c r="BW16" s="28" t="n">
        <v>0</v>
      </c>
      <c r="BX16" s="28" t="n">
        <v>0</v>
      </c>
      <c r="BY16" s="28" t="n">
        <v>0</v>
      </c>
      <c r="BZ16" s="28" t="n">
        <v>0</v>
      </c>
      <c r="CA16" s="28" t="n">
        <v>0</v>
      </c>
      <c r="CB16" s="28" t="n">
        <v>0</v>
      </c>
      <c r="CC16" s="28" t="n">
        <v>0</v>
      </c>
      <c r="CD16" s="28" t="n">
        <v>0</v>
      </c>
      <c r="CE16" s="28" t="n">
        <v>0</v>
      </c>
      <c r="CF16" s="28" t="n">
        <v>0</v>
      </c>
      <c r="CG16" s="28" t="n">
        <v>0</v>
      </c>
      <c r="CH16" s="28" t="n">
        <v>0</v>
      </c>
      <c r="CI16" s="28" t="n">
        <v>0</v>
      </c>
      <c r="CJ16" s="28" t="n">
        <v>0</v>
      </c>
      <c r="CK16" s="28" t="n">
        <v>0</v>
      </c>
      <c r="CL16" s="28" t="n">
        <v>0</v>
      </c>
      <c r="CM16" s="28" t="n">
        <v>0</v>
      </c>
      <c r="CN16" s="28" t="n">
        <v>0</v>
      </c>
      <c r="CO16" s="28" t="n">
        <v>0</v>
      </c>
      <c r="CP16" s="28" t="n">
        <v>0</v>
      </c>
      <c r="CQ16" s="28" t="n">
        <v>0</v>
      </c>
      <c r="CR16" s="28" t="n">
        <v>0</v>
      </c>
      <c r="CS16" s="28" t="n">
        <v>0</v>
      </c>
      <c r="CT16" s="28" t="n">
        <v>0</v>
      </c>
    </row>
    <row r="17">
      <c r="A17" s="6" t="inlineStr">
        <is>
          <t>P8|2</t>
        </is>
      </c>
      <c r="B17" s="6" t="inlineStr">
        <is>
          <t>Feb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0.008871</v>
      </c>
      <c r="AD17" s="28" t="n">
        <v>0.060828</v>
      </c>
      <c r="AE17" s="28" t="n">
        <v>0.129982</v>
      </c>
      <c r="AF17" s="28" t="n">
        <v>0.209763</v>
      </c>
      <c r="AG17" s="28" t="n">
        <v>0.296976</v>
      </c>
      <c r="AH17" s="28" t="n">
        <v>0.389418</v>
      </c>
      <c r="AI17" s="28" t="n">
        <v>0.485325</v>
      </c>
      <c r="AJ17" s="28" t="n">
        <v>0.583178</v>
      </c>
      <c r="AK17" s="28" t="n">
        <v>0.681609</v>
      </c>
      <c r="AL17" s="28" t="n">
        <v>0.7793600000000001</v>
      </c>
      <c r="AM17" s="28" t="n">
        <v>0.875261</v>
      </c>
      <c r="AN17" s="28" t="n">
        <v>0.9682190000000001</v>
      </c>
      <c r="AO17" s="28" t="n">
        <v>1</v>
      </c>
      <c r="AP17" s="28" t="n">
        <v>1</v>
      </c>
      <c r="AQ17" s="28" t="n">
        <v>1</v>
      </c>
      <c r="AR17" s="28" t="n">
        <v>1</v>
      </c>
      <c r="AS17" s="28" t="n">
        <v>1</v>
      </c>
      <c r="AT17" s="28" t="n">
        <v>1</v>
      </c>
      <c r="AU17" s="28" t="n">
        <v>1</v>
      </c>
      <c r="AV17" s="28" t="n">
        <v>1</v>
      </c>
      <c r="AW17" s="28" t="n">
        <v>1</v>
      </c>
      <c r="AX17" s="28" t="n">
        <v>1</v>
      </c>
      <c r="AY17" s="28" t="n">
        <v>1</v>
      </c>
      <c r="AZ17" s="28" t="n">
        <v>1</v>
      </c>
      <c r="BA17" s="28" t="n">
        <v>1</v>
      </c>
      <c r="BB17" s="28" t="n">
        <v>1</v>
      </c>
      <c r="BC17" s="28" t="n">
        <v>1</v>
      </c>
      <c r="BD17" s="28" t="n">
        <v>1</v>
      </c>
      <c r="BE17" s="28" t="n">
        <v>1</v>
      </c>
      <c r="BF17" s="28" t="n">
        <v>1</v>
      </c>
      <c r="BG17" s="28" t="n">
        <v>1</v>
      </c>
      <c r="BH17" s="28" t="n">
        <v>1</v>
      </c>
      <c r="BI17" s="28" t="n">
        <v>1</v>
      </c>
      <c r="BJ17" s="28" t="n">
        <v>1</v>
      </c>
      <c r="BK17" s="28" t="n">
        <v>0.9682190000000001</v>
      </c>
      <c r="BL17" s="28" t="n">
        <v>0.875261</v>
      </c>
      <c r="BM17" s="28" t="n">
        <v>0.7793600000000001</v>
      </c>
      <c r="BN17" s="28" t="n">
        <v>0.681609</v>
      </c>
      <c r="BO17" s="28" t="n">
        <v>0.583178</v>
      </c>
      <c r="BP17" s="28" t="n">
        <v>0.485325</v>
      </c>
      <c r="BQ17" s="28" t="n">
        <v>0.389418</v>
      </c>
      <c r="BR17" s="28" t="n">
        <v>0.296976</v>
      </c>
      <c r="BS17" s="28" t="n">
        <v>0.209763</v>
      </c>
      <c r="BT17" s="28" t="n">
        <v>0.129982</v>
      </c>
      <c r="BU17" s="28" t="n">
        <v>0.060828</v>
      </c>
      <c r="BV17" s="28" t="n">
        <v>0.008871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8" t="n">
        <v>0</v>
      </c>
      <c r="CM17" s="28" t="n">
        <v>0</v>
      </c>
      <c r="CN17" s="28" t="n">
        <v>0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  <c r="CT17" s="28" t="n">
        <v>0</v>
      </c>
    </row>
    <row r="18">
      <c r="A18" s="6" t="inlineStr">
        <is>
          <t>P8|3</t>
        </is>
      </c>
      <c r="B18" s="6" t="inlineStr">
        <is>
          <t>Mar</t>
        </is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</v>
      </c>
      <c r="O18" s="28" t="n">
        <v>0</v>
      </c>
      <c r="P18" s="28" t="n">
        <v>0</v>
      </c>
      <c r="Q18" s="28" t="n">
        <v>0</v>
      </c>
      <c r="R18" s="28" t="n">
        <v>0</v>
      </c>
      <c r="S18" s="28" t="n">
        <v>0</v>
      </c>
      <c r="T18" s="28" t="n">
        <v>0</v>
      </c>
      <c r="U18" s="28" t="n">
        <v>0</v>
      </c>
      <c r="V18" s="28" t="n">
        <v>0</v>
      </c>
      <c r="W18" s="28" t="n">
        <v>0</v>
      </c>
      <c r="X18" s="28" t="n">
        <v>0</v>
      </c>
      <c r="Y18" s="28" t="n">
        <v>0</v>
      </c>
      <c r="Z18" s="28" t="n">
        <v>0</v>
      </c>
      <c r="AA18" s="28" t="n">
        <v>0</v>
      </c>
      <c r="AB18" s="28" t="n">
        <v>0.0077</v>
      </c>
      <c r="AC18" s="28" t="n">
        <v>0.052166</v>
      </c>
      <c r="AD18" s="28" t="n">
        <v>0.111322</v>
      </c>
      <c r="AE18" s="28" t="n">
        <v>0.179618</v>
      </c>
      <c r="AF18" s="28" t="n">
        <v>0.254377</v>
      </c>
      <c r="AG18" s="28" t="n">
        <v>0.333769</v>
      </c>
      <c r="AH18" s="28" t="n">
        <v>0.41634</v>
      </c>
      <c r="AI18" s="28" t="n">
        <v>0.500842</v>
      </c>
      <c r="AJ18" s="28" t="n">
        <v>0.586159</v>
      </c>
      <c r="AK18" s="28" t="n">
        <v>0.671265</v>
      </c>
      <c r="AL18" s="28" t="n">
        <v>0.755203</v>
      </c>
      <c r="AM18" s="28" t="n">
        <v>0.837081</v>
      </c>
      <c r="AN18" s="28" t="n">
        <v>0.916059</v>
      </c>
      <c r="AO18" s="28" t="n">
        <v>0.991352</v>
      </c>
      <c r="AP18" s="28" t="n">
        <v>1</v>
      </c>
      <c r="AQ18" s="28" t="n">
        <v>1</v>
      </c>
      <c r="AR18" s="28" t="n">
        <v>1</v>
      </c>
      <c r="AS18" s="28" t="n">
        <v>1</v>
      </c>
      <c r="AT18" s="28" t="n">
        <v>1</v>
      </c>
      <c r="AU18" s="28" t="n">
        <v>1</v>
      </c>
      <c r="AV18" s="28" t="n">
        <v>1</v>
      </c>
      <c r="AW18" s="28" t="n">
        <v>1</v>
      </c>
      <c r="AX18" s="28" t="n">
        <v>1</v>
      </c>
      <c r="AY18" s="28" t="n">
        <v>1</v>
      </c>
      <c r="AZ18" s="28" t="n">
        <v>1</v>
      </c>
      <c r="BA18" s="28" t="n">
        <v>1</v>
      </c>
      <c r="BB18" s="28" t="n">
        <v>1</v>
      </c>
      <c r="BC18" s="28" t="n">
        <v>1</v>
      </c>
      <c r="BD18" s="28" t="n">
        <v>1</v>
      </c>
      <c r="BE18" s="28" t="n">
        <v>1</v>
      </c>
      <c r="BF18" s="28" t="n">
        <v>1</v>
      </c>
      <c r="BG18" s="28" t="n">
        <v>1</v>
      </c>
      <c r="BH18" s="28" t="n">
        <v>1</v>
      </c>
      <c r="BI18" s="28" t="n">
        <v>1</v>
      </c>
      <c r="BJ18" s="28" t="n">
        <v>0.991352</v>
      </c>
      <c r="BK18" s="28" t="n">
        <v>0.916059</v>
      </c>
      <c r="BL18" s="28" t="n">
        <v>0.837081</v>
      </c>
      <c r="BM18" s="28" t="n">
        <v>0.755203</v>
      </c>
      <c r="BN18" s="28" t="n">
        <v>0.671265</v>
      </c>
      <c r="BO18" s="28" t="n">
        <v>0.586159</v>
      </c>
      <c r="BP18" s="28" t="n">
        <v>0.500842</v>
      </c>
      <c r="BQ18" s="28" t="n">
        <v>0.41634</v>
      </c>
      <c r="BR18" s="28" t="n">
        <v>0.333769</v>
      </c>
      <c r="BS18" s="28" t="n">
        <v>0.254377</v>
      </c>
      <c r="BT18" s="28" t="n">
        <v>0.179618</v>
      </c>
      <c r="BU18" s="28" t="n">
        <v>0.111322</v>
      </c>
      <c r="BV18" s="28" t="n">
        <v>0.052166</v>
      </c>
      <c r="BW18" s="28" t="n">
        <v>0.0077</v>
      </c>
      <c r="BX18" s="28" t="n">
        <v>0</v>
      </c>
      <c r="BY18" s="28" t="n">
        <v>0</v>
      </c>
      <c r="BZ18" s="28" t="n">
        <v>0</v>
      </c>
      <c r="CA18" s="28" t="n">
        <v>0</v>
      </c>
      <c r="CB18" s="28" t="n">
        <v>0</v>
      </c>
      <c r="CC18" s="28" t="n">
        <v>0</v>
      </c>
      <c r="CD18" s="28" t="n">
        <v>0</v>
      </c>
      <c r="CE18" s="28" t="n">
        <v>0</v>
      </c>
      <c r="CF18" s="28" t="n">
        <v>0</v>
      </c>
      <c r="CG18" s="28" t="n">
        <v>0</v>
      </c>
      <c r="CH18" s="28" t="n">
        <v>0</v>
      </c>
      <c r="CI18" s="28" t="n">
        <v>0</v>
      </c>
      <c r="CJ18" s="28" t="n">
        <v>0</v>
      </c>
      <c r="CK18" s="28" t="n">
        <v>0</v>
      </c>
      <c r="CL18" s="28" t="n">
        <v>0</v>
      </c>
      <c r="CM18" s="28" t="n">
        <v>0</v>
      </c>
      <c r="CN18" s="28" t="n">
        <v>0</v>
      </c>
      <c r="CO18" s="28" t="n">
        <v>0</v>
      </c>
      <c r="CP18" s="28" t="n">
        <v>0</v>
      </c>
      <c r="CQ18" s="28" t="n">
        <v>0</v>
      </c>
      <c r="CR18" s="28" t="n">
        <v>0</v>
      </c>
      <c r="CS18" s="28" t="n">
        <v>0</v>
      </c>
      <c r="CT18" s="28" t="n">
        <v>0</v>
      </c>
    </row>
    <row r="19">
      <c r="A19" s="6" t="inlineStr">
        <is>
          <t>P8|4</t>
        </is>
      </c>
      <c r="B19" s="6" t="inlineStr">
        <is>
          <t>Apr</t>
        </is>
      </c>
      <c r="C19" s="28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0.007214</v>
      </c>
      <c r="AB19" s="28" t="n">
        <v>0.043628</v>
      </c>
      <c r="AC19" s="28" t="n">
        <v>0.09160699999999999</v>
      </c>
      <c r="AD19" s="28" t="n">
        <v>0.146894</v>
      </c>
      <c r="AE19" s="28" t="n">
        <v>0.20741</v>
      </c>
      <c r="AF19" s="28" t="n">
        <v>0.271733</v>
      </c>
      <c r="AG19" s="28" t="n">
        <v>0.33874</v>
      </c>
      <c r="AH19" s="28" t="n">
        <v>0.40747</v>
      </c>
      <c r="AI19" s="28" t="n">
        <v>0.477064</v>
      </c>
      <c r="AJ19" s="28" t="n">
        <v>0.546736</v>
      </c>
      <c r="AK19" s="28" t="n">
        <v>0.615753</v>
      </c>
      <c r="AL19" s="28" t="n">
        <v>0.683426</v>
      </c>
      <c r="AM19" s="28" t="n">
        <v>0.7491100000000001</v>
      </c>
      <c r="AN19" s="28" t="n">
        <v>0.812198</v>
      </c>
      <c r="AO19" s="28" t="n">
        <v>0.872122</v>
      </c>
      <c r="AP19" s="28" t="n">
        <v>0.928354</v>
      </c>
      <c r="AQ19" s="28" t="n">
        <v>0.980405</v>
      </c>
      <c r="AR19" s="28" t="n">
        <v>1</v>
      </c>
      <c r="AS19" s="28" t="n">
        <v>1</v>
      </c>
      <c r="AT19" s="28" t="n">
        <v>1</v>
      </c>
      <c r="AU19" s="28" t="n">
        <v>1</v>
      </c>
      <c r="AV19" s="28" t="n">
        <v>1</v>
      </c>
      <c r="AW19" s="28" t="n">
        <v>1</v>
      </c>
      <c r="AX19" s="28" t="n">
        <v>1</v>
      </c>
      <c r="AY19" s="28" t="n">
        <v>1</v>
      </c>
      <c r="AZ19" s="28" t="n">
        <v>1</v>
      </c>
      <c r="BA19" s="28" t="n">
        <v>1</v>
      </c>
      <c r="BB19" s="28" t="n">
        <v>1</v>
      </c>
      <c r="BC19" s="28" t="n">
        <v>1</v>
      </c>
      <c r="BD19" s="28" t="n">
        <v>1</v>
      </c>
      <c r="BE19" s="28" t="n">
        <v>1</v>
      </c>
      <c r="BF19" s="28" t="n">
        <v>1</v>
      </c>
      <c r="BG19" s="28" t="n">
        <v>1</v>
      </c>
      <c r="BH19" s="28" t="n">
        <v>0.980405</v>
      </c>
      <c r="BI19" s="28" t="n">
        <v>0.928354</v>
      </c>
      <c r="BJ19" s="28" t="n">
        <v>0.872122</v>
      </c>
      <c r="BK19" s="28" t="n">
        <v>0.812198</v>
      </c>
      <c r="BL19" s="28" t="n">
        <v>0.7491100000000001</v>
      </c>
      <c r="BM19" s="28" t="n">
        <v>0.683426</v>
      </c>
      <c r="BN19" s="28" t="n">
        <v>0.615753</v>
      </c>
      <c r="BO19" s="28" t="n">
        <v>0.546736</v>
      </c>
      <c r="BP19" s="28" t="n">
        <v>0.477064</v>
      </c>
      <c r="BQ19" s="28" t="n">
        <v>0.40747</v>
      </c>
      <c r="BR19" s="28" t="n">
        <v>0.33874</v>
      </c>
      <c r="BS19" s="28" t="n">
        <v>0.271733</v>
      </c>
      <c r="BT19" s="28" t="n">
        <v>0.20741</v>
      </c>
      <c r="BU19" s="28" t="n">
        <v>0.146894</v>
      </c>
      <c r="BV19" s="28" t="n">
        <v>0.09160699999999999</v>
      </c>
      <c r="BW19" s="28" t="n">
        <v>0.043628</v>
      </c>
      <c r="BX19" s="28" t="n">
        <v>0.007214</v>
      </c>
      <c r="BY19" s="28" t="n">
        <v>0</v>
      </c>
      <c r="BZ19" s="28" t="n">
        <v>0</v>
      </c>
      <c r="CA19" s="28" t="n">
        <v>0</v>
      </c>
      <c r="CB19" s="28" t="n">
        <v>0</v>
      </c>
      <c r="CC19" s="28" t="n">
        <v>0</v>
      </c>
      <c r="CD19" s="28" t="n">
        <v>0</v>
      </c>
      <c r="CE19" s="28" t="n">
        <v>0</v>
      </c>
      <c r="CF19" s="28" t="n">
        <v>0</v>
      </c>
      <c r="CG19" s="28" t="n">
        <v>0</v>
      </c>
      <c r="CH19" s="28" t="n">
        <v>0</v>
      </c>
      <c r="CI19" s="28" t="n">
        <v>0</v>
      </c>
      <c r="CJ19" s="28" t="n">
        <v>0</v>
      </c>
      <c r="CK19" s="28" t="n">
        <v>0</v>
      </c>
      <c r="CL19" s="28" t="n">
        <v>0</v>
      </c>
      <c r="CM19" s="28" t="n">
        <v>0</v>
      </c>
      <c r="CN19" s="28" t="n">
        <v>0</v>
      </c>
      <c r="CO19" s="28" t="n">
        <v>0</v>
      </c>
      <c r="CP19" s="28" t="n">
        <v>0</v>
      </c>
      <c r="CQ19" s="28" t="n">
        <v>0</v>
      </c>
      <c r="CR19" s="28" t="n">
        <v>0</v>
      </c>
      <c r="CS19" s="28" t="n">
        <v>0</v>
      </c>
      <c r="CT19" s="28" t="n">
        <v>0</v>
      </c>
    </row>
    <row r="20">
      <c r="A20" s="6" t="inlineStr">
        <is>
          <t>P8|5</t>
        </is>
      </c>
      <c r="B20" s="6" t="inlineStr">
        <is>
          <t>May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0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0.003021</v>
      </c>
      <c r="AA20" s="28" t="n">
        <v>0.030696</v>
      </c>
      <c r="AB20" s="28" t="n">
        <v>0.068728</v>
      </c>
      <c r="AC20" s="28" t="n">
        <v>0.113056</v>
      </c>
      <c r="AD20" s="28" t="n">
        <v>0.161884</v>
      </c>
      <c r="AE20" s="28" t="n">
        <v>0.214025</v>
      </c>
      <c r="AF20" s="28" t="n">
        <v>0.268565</v>
      </c>
      <c r="AG20" s="28" t="n">
        <v>0.324729</v>
      </c>
      <c r="AH20" s="28" t="n">
        <v>0.381834</v>
      </c>
      <c r="AI20" s="28" t="n">
        <v>0.439254</v>
      </c>
      <c r="AJ20" s="28" t="n">
        <v>0.496408</v>
      </c>
      <c r="AK20" s="28" t="n">
        <v>0.552752</v>
      </c>
      <c r="AL20" s="28" t="n">
        <v>0.607773</v>
      </c>
      <c r="AM20" s="28" t="n">
        <v>0.660989</v>
      </c>
      <c r="AN20" s="28" t="n">
        <v>0.711946</v>
      </c>
      <c r="AO20" s="28" t="n">
        <v>0.760219</v>
      </c>
      <c r="AP20" s="28" t="n">
        <v>0.805413</v>
      </c>
      <c r="AQ20" s="28" t="n">
        <v>0.847164</v>
      </c>
      <c r="AR20" s="28" t="n">
        <v>0.885138</v>
      </c>
      <c r="AS20" s="28" t="n">
        <v>0.919037</v>
      </c>
      <c r="AT20" s="28" t="n">
        <v>0.948596</v>
      </c>
      <c r="AU20" s="28" t="n">
        <v>0.973585</v>
      </c>
      <c r="AV20" s="28" t="n">
        <v>0.99381</v>
      </c>
      <c r="AW20" s="28" t="n">
        <v>1</v>
      </c>
      <c r="AX20" s="28" t="n">
        <v>1</v>
      </c>
      <c r="AY20" s="28" t="n">
        <v>1</v>
      </c>
      <c r="AZ20" s="28" t="n">
        <v>1</v>
      </c>
      <c r="BA20" s="28" t="n">
        <v>1</v>
      </c>
      <c r="BB20" s="28" t="n">
        <v>1</v>
      </c>
      <c r="BC20" s="28" t="n">
        <v>0.99381</v>
      </c>
      <c r="BD20" s="28" t="n">
        <v>0.973585</v>
      </c>
      <c r="BE20" s="28" t="n">
        <v>0.948596</v>
      </c>
      <c r="BF20" s="28" t="n">
        <v>0.919037</v>
      </c>
      <c r="BG20" s="28" t="n">
        <v>0.885138</v>
      </c>
      <c r="BH20" s="28" t="n">
        <v>0.847164</v>
      </c>
      <c r="BI20" s="28" t="n">
        <v>0.805413</v>
      </c>
      <c r="BJ20" s="28" t="n">
        <v>0.760219</v>
      </c>
      <c r="BK20" s="28" t="n">
        <v>0.711946</v>
      </c>
      <c r="BL20" s="28" t="n">
        <v>0.660989</v>
      </c>
      <c r="BM20" s="28" t="n">
        <v>0.607773</v>
      </c>
      <c r="BN20" s="28" t="n">
        <v>0.552752</v>
      </c>
      <c r="BO20" s="28" t="n">
        <v>0.496408</v>
      </c>
      <c r="BP20" s="28" t="n">
        <v>0.439254</v>
      </c>
      <c r="BQ20" s="28" t="n">
        <v>0.381834</v>
      </c>
      <c r="BR20" s="28" t="n">
        <v>0.324729</v>
      </c>
      <c r="BS20" s="28" t="n">
        <v>0.268565</v>
      </c>
      <c r="BT20" s="28" t="n">
        <v>0.214025</v>
      </c>
      <c r="BU20" s="28" t="n">
        <v>0.161884</v>
      </c>
      <c r="BV20" s="28" t="n">
        <v>0.113056</v>
      </c>
      <c r="BW20" s="28" t="n">
        <v>0.068728</v>
      </c>
      <c r="BX20" s="28" t="n">
        <v>0.030696</v>
      </c>
      <c r="BY20" s="28" t="n">
        <v>0.003021</v>
      </c>
      <c r="BZ20" s="28" t="n">
        <v>0</v>
      </c>
      <c r="CA20" s="28" t="n">
        <v>0</v>
      </c>
      <c r="CB20" s="28" t="n">
        <v>0</v>
      </c>
      <c r="CC20" s="28" t="n">
        <v>0</v>
      </c>
      <c r="CD20" s="28" t="n">
        <v>0</v>
      </c>
      <c r="CE20" s="28" t="n">
        <v>0</v>
      </c>
      <c r="CF20" s="28" t="n">
        <v>0</v>
      </c>
      <c r="CG20" s="28" t="n">
        <v>0</v>
      </c>
      <c r="CH20" s="28" t="n">
        <v>0</v>
      </c>
      <c r="CI20" s="28" t="n">
        <v>0</v>
      </c>
      <c r="CJ20" s="28" t="n">
        <v>0</v>
      </c>
      <c r="CK20" s="28" t="n">
        <v>0</v>
      </c>
      <c r="CL20" s="28" t="n">
        <v>0</v>
      </c>
      <c r="CM20" s="28" t="n">
        <v>0</v>
      </c>
      <c r="CN20" s="28" t="n">
        <v>0</v>
      </c>
      <c r="CO20" s="28" t="n">
        <v>0</v>
      </c>
      <c r="CP20" s="28" t="n">
        <v>0</v>
      </c>
      <c r="CQ20" s="28" t="n">
        <v>0</v>
      </c>
      <c r="CR20" s="28" t="n">
        <v>0</v>
      </c>
      <c r="CS20" s="28" t="n">
        <v>0</v>
      </c>
      <c r="CT20" s="28" t="n">
        <v>0</v>
      </c>
    </row>
    <row r="21">
      <c r="A21" s="6" t="inlineStr">
        <is>
          <t>P8|6</t>
        </is>
      </c>
      <c r="B21" s="6" t="inlineStr">
        <is>
          <t>Jun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8" t="n">
        <v>0</v>
      </c>
      <c r="O21" s="28" t="n">
        <v>0</v>
      </c>
      <c r="P21" s="28" t="n">
        <v>0</v>
      </c>
      <c r="Q21" s="28" t="n">
        <v>0</v>
      </c>
      <c r="R21" s="28" t="n">
        <v>0</v>
      </c>
      <c r="S21" s="28" t="n">
        <v>0</v>
      </c>
      <c r="T21" s="28" t="n">
        <v>0</v>
      </c>
      <c r="U21" s="28" t="n">
        <v>0</v>
      </c>
      <c r="V21" s="28" t="n">
        <v>0</v>
      </c>
      <c r="W21" s="28" t="n">
        <v>0</v>
      </c>
      <c r="X21" s="28" t="n">
        <v>0</v>
      </c>
      <c r="Y21" s="28" t="n">
        <v>0</v>
      </c>
      <c r="Z21" s="28" t="n">
        <v>0.010053</v>
      </c>
      <c r="AA21" s="28" t="n">
        <v>0.035891</v>
      </c>
      <c r="AB21" s="28" t="n">
        <v>0.068082</v>
      </c>
      <c r="AC21" s="28" t="n">
        <v>0.104551</v>
      </c>
      <c r="AD21" s="28" t="n">
        <v>0.144152</v>
      </c>
      <c r="AE21" s="28" t="n">
        <v>0.186067</v>
      </c>
      <c r="AF21" s="28" t="n">
        <v>0.22964</v>
      </c>
      <c r="AG21" s="28" t="n">
        <v>0.274304</v>
      </c>
      <c r="AH21" s="28" t="n">
        <v>0.319551</v>
      </c>
      <c r="AI21" s="28" t="n">
        <v>0.364914</v>
      </c>
      <c r="AJ21" s="28" t="n">
        <v>0.409955</v>
      </c>
      <c r="AK21" s="28" t="n">
        <v>0.454265</v>
      </c>
      <c r="AL21" s="28" t="n">
        <v>0.497458</v>
      </c>
      <c r="AM21" s="28" t="n">
        <v>0.539169</v>
      </c>
      <c r="AN21" s="28" t="n">
        <v>0.579055</v>
      </c>
      <c r="AO21" s="28" t="n">
        <v>0.616795</v>
      </c>
      <c r="AP21" s="28" t="n">
        <v>0.652092</v>
      </c>
      <c r="AQ21" s="28" t="n">
        <v>0.684671</v>
      </c>
      <c r="AR21" s="28" t="n">
        <v>0.71428</v>
      </c>
      <c r="AS21" s="28" t="n">
        <v>0.740694</v>
      </c>
      <c r="AT21" s="28" t="n">
        <v>0.763713</v>
      </c>
      <c r="AU21" s="28" t="n">
        <v>0.783164</v>
      </c>
      <c r="AV21" s="28" t="n">
        <v>0.798902</v>
      </c>
      <c r="AW21" s="28" t="n">
        <v>0.810808</v>
      </c>
      <c r="AX21" s="28" t="n">
        <v>0.8187950000000001</v>
      </c>
      <c r="AY21" s="28" t="n">
        <v>0.822803</v>
      </c>
      <c r="AZ21" s="28" t="n">
        <v>0.822803</v>
      </c>
      <c r="BA21" s="28" t="n">
        <v>0.8187950000000001</v>
      </c>
      <c r="BB21" s="28" t="n">
        <v>0.810808</v>
      </c>
      <c r="BC21" s="28" t="n">
        <v>0.798902</v>
      </c>
      <c r="BD21" s="28" t="n">
        <v>0.783164</v>
      </c>
      <c r="BE21" s="28" t="n">
        <v>0.763713</v>
      </c>
      <c r="BF21" s="28" t="n">
        <v>0.740694</v>
      </c>
      <c r="BG21" s="28" t="n">
        <v>0.71428</v>
      </c>
      <c r="BH21" s="28" t="n">
        <v>0.684671</v>
      </c>
      <c r="BI21" s="28" t="n">
        <v>0.652092</v>
      </c>
      <c r="BJ21" s="28" t="n">
        <v>0.616795</v>
      </c>
      <c r="BK21" s="28" t="n">
        <v>0.579055</v>
      </c>
      <c r="BL21" s="28" t="n">
        <v>0.539169</v>
      </c>
      <c r="BM21" s="28" t="n">
        <v>0.497458</v>
      </c>
      <c r="BN21" s="28" t="n">
        <v>0.454265</v>
      </c>
      <c r="BO21" s="28" t="n">
        <v>0.409955</v>
      </c>
      <c r="BP21" s="28" t="n">
        <v>0.364914</v>
      </c>
      <c r="BQ21" s="28" t="n">
        <v>0.319551</v>
      </c>
      <c r="BR21" s="28" t="n">
        <v>0.274304</v>
      </c>
      <c r="BS21" s="28" t="n">
        <v>0.22964</v>
      </c>
      <c r="BT21" s="28" t="n">
        <v>0.186067</v>
      </c>
      <c r="BU21" s="28" t="n">
        <v>0.144152</v>
      </c>
      <c r="BV21" s="28" t="n">
        <v>0.104551</v>
      </c>
      <c r="BW21" s="28" t="n">
        <v>0.068082</v>
      </c>
      <c r="BX21" s="28" t="n">
        <v>0.035891</v>
      </c>
      <c r="BY21" s="28" t="n">
        <v>0.010053</v>
      </c>
      <c r="BZ21" s="28" t="n">
        <v>0</v>
      </c>
      <c r="CA21" s="28" t="n">
        <v>0</v>
      </c>
      <c r="CB21" s="28" t="n">
        <v>0</v>
      </c>
      <c r="CC21" s="28" t="n">
        <v>0</v>
      </c>
      <c r="CD21" s="28" t="n">
        <v>0</v>
      </c>
      <c r="CE21" s="28" t="n">
        <v>0</v>
      </c>
      <c r="CF21" s="28" t="n">
        <v>0</v>
      </c>
      <c r="CG21" s="28" t="n">
        <v>0</v>
      </c>
      <c r="CH21" s="28" t="n">
        <v>0</v>
      </c>
      <c r="CI21" s="28" t="n">
        <v>0</v>
      </c>
      <c r="CJ21" s="28" t="n">
        <v>0</v>
      </c>
      <c r="CK21" s="28" t="n">
        <v>0</v>
      </c>
      <c r="CL21" s="28" t="n">
        <v>0</v>
      </c>
      <c r="CM21" s="28" t="n">
        <v>0</v>
      </c>
      <c r="CN21" s="28" t="n">
        <v>0</v>
      </c>
      <c r="CO21" s="28" t="n">
        <v>0</v>
      </c>
      <c r="CP21" s="28" t="n">
        <v>0</v>
      </c>
      <c r="CQ21" s="28" t="n">
        <v>0</v>
      </c>
      <c r="CR21" s="28" t="n">
        <v>0</v>
      </c>
      <c r="CS21" s="28" t="n">
        <v>0</v>
      </c>
      <c r="CT21" s="28" t="n">
        <v>0</v>
      </c>
    </row>
    <row r="22">
      <c r="A22" s="6" t="inlineStr">
        <is>
          <t>P8|7</t>
        </is>
      </c>
      <c r="B22" s="6" t="inlineStr">
        <is>
          <t>Jul</t>
        </is>
      </c>
      <c r="C22" s="28" t="n">
        <v>0</v>
      </c>
      <c r="D22" s="28" t="n">
        <v>0</v>
      </c>
      <c r="E22" s="28" t="n">
        <v>0</v>
      </c>
      <c r="F22" s="28" t="n">
        <v>0</v>
      </c>
      <c r="G22" s="28" t="n">
        <v>0</v>
      </c>
      <c r="H22" s="28" t="n">
        <v>0</v>
      </c>
      <c r="I22" s="28" t="n">
        <v>0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</v>
      </c>
      <c r="O22" s="28" t="n">
        <v>0</v>
      </c>
      <c r="P22" s="28" t="n">
        <v>0</v>
      </c>
      <c r="Q22" s="28" t="n">
        <v>0</v>
      </c>
      <c r="R22" s="28" t="n">
        <v>0</v>
      </c>
      <c r="S22" s="28" t="n">
        <v>0</v>
      </c>
      <c r="T22" s="28" t="n">
        <v>0</v>
      </c>
      <c r="U22" s="28" t="n">
        <v>0</v>
      </c>
      <c r="V22" s="28" t="n">
        <v>0</v>
      </c>
      <c r="W22" s="28" t="n">
        <v>0</v>
      </c>
      <c r="X22" s="28" t="n">
        <v>0</v>
      </c>
      <c r="Y22" s="28" t="n">
        <v>0</v>
      </c>
      <c r="Z22" s="28" t="n">
        <v>0.005556</v>
      </c>
      <c r="AA22" s="28" t="n">
        <v>0.028286</v>
      </c>
      <c r="AB22" s="28" t="n">
        <v>0.057752</v>
      </c>
      <c r="AC22" s="28" t="n">
        <v>0.091571</v>
      </c>
      <c r="AD22" s="28" t="n">
        <v>0.128543</v>
      </c>
      <c r="AE22" s="28" t="n">
        <v>0.167843</v>
      </c>
      <c r="AF22" s="28" t="n">
        <v>0.20882</v>
      </c>
      <c r="AG22" s="28" t="n">
        <v>0.250918</v>
      </c>
      <c r="AH22" s="28" t="n">
        <v>0.293641</v>
      </c>
      <c r="AI22" s="28" t="n">
        <v>0.336535</v>
      </c>
      <c r="AJ22" s="28" t="n">
        <v>0.379177</v>
      </c>
      <c r="AK22" s="28" t="n">
        <v>0.42117</v>
      </c>
      <c r="AL22" s="28" t="n">
        <v>0.46214</v>
      </c>
      <c r="AM22" s="28" t="n">
        <v>0.501735</v>
      </c>
      <c r="AN22" s="28" t="n">
        <v>0.539623</v>
      </c>
      <c r="AO22" s="28" t="n">
        <v>0.575495</v>
      </c>
      <c r="AP22" s="28" t="n">
        <v>0.60906</v>
      </c>
      <c r="AQ22" s="28" t="n">
        <v>0.640055</v>
      </c>
      <c r="AR22" s="28" t="n">
        <v>0.668235</v>
      </c>
      <c r="AS22" s="28" t="n">
        <v>0.6933820000000001</v>
      </c>
      <c r="AT22" s="28" t="n">
        <v>0.7153040000000001</v>
      </c>
      <c r="AU22" s="28" t="n">
        <v>0.733831</v>
      </c>
      <c r="AV22" s="28" t="n">
        <v>0.748824</v>
      </c>
      <c r="AW22" s="28" t="n">
        <v>0.760169</v>
      </c>
      <c r="AX22" s="28" t="n">
        <v>0.76778</v>
      </c>
      <c r="AY22" s="28" t="n">
        <v>0.7716</v>
      </c>
      <c r="AZ22" s="28" t="n">
        <v>0.7716</v>
      </c>
      <c r="BA22" s="28" t="n">
        <v>0.76778</v>
      </c>
      <c r="BB22" s="28" t="n">
        <v>0.760169</v>
      </c>
      <c r="BC22" s="28" t="n">
        <v>0.748824</v>
      </c>
      <c r="BD22" s="28" t="n">
        <v>0.733831</v>
      </c>
      <c r="BE22" s="28" t="n">
        <v>0.7153040000000001</v>
      </c>
      <c r="BF22" s="28" t="n">
        <v>0.6933820000000001</v>
      </c>
      <c r="BG22" s="28" t="n">
        <v>0.668235</v>
      </c>
      <c r="BH22" s="28" t="n">
        <v>0.640055</v>
      </c>
      <c r="BI22" s="28" t="n">
        <v>0.60906</v>
      </c>
      <c r="BJ22" s="28" t="n">
        <v>0.575495</v>
      </c>
      <c r="BK22" s="28" t="n">
        <v>0.539623</v>
      </c>
      <c r="BL22" s="28" t="n">
        <v>0.501735</v>
      </c>
      <c r="BM22" s="28" t="n">
        <v>0.46214</v>
      </c>
      <c r="BN22" s="28" t="n">
        <v>0.42117</v>
      </c>
      <c r="BO22" s="28" t="n">
        <v>0.379177</v>
      </c>
      <c r="BP22" s="28" t="n">
        <v>0.336535</v>
      </c>
      <c r="BQ22" s="28" t="n">
        <v>0.293641</v>
      </c>
      <c r="BR22" s="28" t="n">
        <v>0.250918</v>
      </c>
      <c r="BS22" s="28" t="n">
        <v>0.20882</v>
      </c>
      <c r="BT22" s="28" t="n">
        <v>0.167843</v>
      </c>
      <c r="BU22" s="28" t="n">
        <v>0.128543</v>
      </c>
      <c r="BV22" s="28" t="n">
        <v>0.091571</v>
      </c>
      <c r="BW22" s="28" t="n">
        <v>0.057752</v>
      </c>
      <c r="BX22" s="28" t="n">
        <v>0.028286</v>
      </c>
      <c r="BY22" s="28" t="n">
        <v>0.005556</v>
      </c>
      <c r="BZ22" s="28" t="n">
        <v>0</v>
      </c>
      <c r="CA22" s="28" t="n">
        <v>0</v>
      </c>
      <c r="CB22" s="28" t="n">
        <v>0</v>
      </c>
      <c r="CC22" s="28" t="n">
        <v>0</v>
      </c>
      <c r="CD22" s="28" t="n">
        <v>0</v>
      </c>
      <c r="CE22" s="28" t="n">
        <v>0</v>
      </c>
      <c r="CF22" s="28" t="n">
        <v>0</v>
      </c>
      <c r="CG22" s="28" t="n">
        <v>0</v>
      </c>
      <c r="CH22" s="28" t="n">
        <v>0</v>
      </c>
      <c r="CI22" s="28" t="n">
        <v>0</v>
      </c>
      <c r="CJ22" s="28" t="n">
        <v>0</v>
      </c>
      <c r="CK22" s="28" t="n">
        <v>0</v>
      </c>
      <c r="CL22" s="28" t="n">
        <v>0</v>
      </c>
      <c r="CM22" s="28" t="n">
        <v>0</v>
      </c>
      <c r="CN22" s="28" t="n">
        <v>0</v>
      </c>
      <c r="CO22" s="28" t="n">
        <v>0</v>
      </c>
      <c r="CP22" s="28" t="n">
        <v>0</v>
      </c>
      <c r="CQ22" s="28" t="n">
        <v>0</v>
      </c>
      <c r="CR22" s="28" t="n">
        <v>0</v>
      </c>
      <c r="CS22" s="28" t="n">
        <v>0</v>
      </c>
      <c r="CT22" s="28" t="n">
        <v>0</v>
      </c>
    </row>
    <row r="23">
      <c r="A23" s="6" t="inlineStr">
        <is>
          <t>P8|8</t>
        </is>
      </c>
      <c r="B23" s="6" t="inlineStr">
        <is>
          <t>Aug</t>
        </is>
      </c>
      <c r="C23" s="28" t="n">
        <v>0</v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>
        <v>0</v>
      </c>
      <c r="O23" s="28" t="n">
        <v>0</v>
      </c>
      <c r="P23" s="28" t="n">
        <v>0</v>
      </c>
      <c r="Q23" s="28" t="n">
        <v>0</v>
      </c>
      <c r="R23" s="28" t="n">
        <v>0</v>
      </c>
      <c r="S23" s="28" t="n">
        <v>0</v>
      </c>
      <c r="T23" s="28" t="n">
        <v>0</v>
      </c>
      <c r="U23" s="28" t="n">
        <v>0</v>
      </c>
      <c r="V23" s="28" t="n">
        <v>0</v>
      </c>
      <c r="W23" s="28" t="n">
        <v>0</v>
      </c>
      <c r="X23" s="28" t="n">
        <v>0</v>
      </c>
      <c r="Y23" s="28" t="n">
        <v>0</v>
      </c>
      <c r="Z23" s="28" t="n">
        <v>0</v>
      </c>
      <c r="AA23" s="28" t="n">
        <v>0.011874</v>
      </c>
      <c r="AB23" s="28" t="n">
        <v>0.039831</v>
      </c>
      <c r="AC23" s="28" t="n">
        <v>0.074374</v>
      </c>
      <c r="AD23" s="28" t="n">
        <v>0.113361</v>
      </c>
      <c r="AE23" s="28" t="n">
        <v>0.155581</v>
      </c>
      <c r="AF23" s="28" t="n">
        <v>0.200152</v>
      </c>
      <c r="AG23" s="28" t="n">
        <v>0.246362</v>
      </c>
      <c r="AH23" s="28" t="n">
        <v>0.29359</v>
      </c>
      <c r="AI23" s="28" t="n">
        <v>0.341277</v>
      </c>
      <c r="AJ23" s="28" t="n">
        <v>0.388905</v>
      </c>
      <c r="AK23" s="28" t="n">
        <v>0.435994</v>
      </c>
      <c r="AL23" s="28" t="n">
        <v>0.482091</v>
      </c>
      <c r="AM23" s="28" t="n">
        <v>0.52677</v>
      </c>
      <c r="AN23" s="28" t="n">
        <v>0.569631</v>
      </c>
      <c r="AO23" s="28" t="n">
        <v>0.6103</v>
      </c>
      <c r="AP23" s="28" t="n">
        <v>0.648428</v>
      </c>
      <c r="AQ23" s="28" t="n">
        <v>0.683693</v>
      </c>
      <c r="AR23" s="28" t="n">
        <v>0.715802</v>
      </c>
      <c r="AS23" s="28" t="n">
        <v>0.744491</v>
      </c>
      <c r="AT23" s="28" t="n">
        <v>0.769526</v>
      </c>
      <c r="AU23" s="28" t="n">
        <v>0.790703</v>
      </c>
      <c r="AV23" s="28" t="n">
        <v>0.807852</v>
      </c>
      <c r="AW23" s="28" t="n">
        <v>0.820836</v>
      </c>
      <c r="AX23" s="28" t="n">
        <v>0.829549</v>
      </c>
      <c r="AY23" s="28" t="n">
        <v>0.833923</v>
      </c>
      <c r="AZ23" s="28" t="n">
        <v>0.833923</v>
      </c>
      <c r="BA23" s="28" t="n">
        <v>0.829549</v>
      </c>
      <c r="BB23" s="28" t="n">
        <v>0.820836</v>
      </c>
      <c r="BC23" s="28" t="n">
        <v>0.807852</v>
      </c>
      <c r="BD23" s="28" t="n">
        <v>0.790703</v>
      </c>
      <c r="BE23" s="28" t="n">
        <v>0.769526</v>
      </c>
      <c r="BF23" s="28" t="n">
        <v>0.744491</v>
      </c>
      <c r="BG23" s="28" t="n">
        <v>0.715802</v>
      </c>
      <c r="BH23" s="28" t="n">
        <v>0.683693</v>
      </c>
      <c r="BI23" s="28" t="n">
        <v>0.648428</v>
      </c>
      <c r="BJ23" s="28" t="n">
        <v>0.6103</v>
      </c>
      <c r="BK23" s="28" t="n">
        <v>0.569631</v>
      </c>
      <c r="BL23" s="28" t="n">
        <v>0.52677</v>
      </c>
      <c r="BM23" s="28" t="n">
        <v>0.482091</v>
      </c>
      <c r="BN23" s="28" t="n">
        <v>0.435994</v>
      </c>
      <c r="BO23" s="28" t="n">
        <v>0.388905</v>
      </c>
      <c r="BP23" s="28" t="n">
        <v>0.341277</v>
      </c>
      <c r="BQ23" s="28" t="n">
        <v>0.29359</v>
      </c>
      <c r="BR23" s="28" t="n">
        <v>0.246362</v>
      </c>
      <c r="BS23" s="28" t="n">
        <v>0.200152</v>
      </c>
      <c r="BT23" s="28" t="n">
        <v>0.155581</v>
      </c>
      <c r="BU23" s="28" t="n">
        <v>0.113361</v>
      </c>
      <c r="BV23" s="28" t="n">
        <v>0.074374</v>
      </c>
      <c r="BW23" s="28" t="n">
        <v>0.039831</v>
      </c>
      <c r="BX23" s="28" t="n">
        <v>0.011874</v>
      </c>
      <c r="BY23" s="28" t="n">
        <v>0</v>
      </c>
      <c r="BZ23" s="28" t="n">
        <v>0</v>
      </c>
      <c r="CA23" s="28" t="n">
        <v>0</v>
      </c>
      <c r="CB23" s="28" t="n">
        <v>0</v>
      </c>
      <c r="CC23" s="28" t="n">
        <v>0</v>
      </c>
      <c r="CD23" s="28" t="n">
        <v>0</v>
      </c>
      <c r="CE23" s="28" t="n">
        <v>0</v>
      </c>
      <c r="CF23" s="28" t="n">
        <v>0</v>
      </c>
      <c r="CG23" s="28" t="n">
        <v>0</v>
      </c>
      <c r="CH23" s="28" t="n">
        <v>0</v>
      </c>
      <c r="CI23" s="28" t="n">
        <v>0</v>
      </c>
      <c r="CJ23" s="28" t="n">
        <v>0</v>
      </c>
      <c r="CK23" s="28" t="n">
        <v>0</v>
      </c>
      <c r="CL23" s="28" t="n">
        <v>0</v>
      </c>
      <c r="CM23" s="28" t="n">
        <v>0</v>
      </c>
      <c r="CN23" s="28" t="n">
        <v>0</v>
      </c>
      <c r="CO23" s="28" t="n">
        <v>0</v>
      </c>
      <c r="CP23" s="28" t="n">
        <v>0</v>
      </c>
      <c r="CQ23" s="28" t="n">
        <v>0</v>
      </c>
      <c r="CR23" s="28" t="n">
        <v>0</v>
      </c>
      <c r="CS23" s="28" t="n">
        <v>0</v>
      </c>
      <c r="CT23" s="28" t="n">
        <v>0</v>
      </c>
    </row>
    <row r="24">
      <c r="A24" s="6" t="inlineStr">
        <is>
          <t>P8|9</t>
        </is>
      </c>
      <c r="B24" s="6" t="inlineStr">
        <is>
          <t>Sep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8" t="n">
        <v>0</v>
      </c>
      <c r="J24" s="28" t="n">
        <v>0</v>
      </c>
      <c r="K24" s="28" t="n">
        <v>0</v>
      </c>
      <c r="L24" s="28" t="n">
        <v>0</v>
      </c>
      <c r="M24" s="28" t="n">
        <v>0</v>
      </c>
      <c r="N24" s="28" t="n">
        <v>0</v>
      </c>
      <c r="O24" s="28" t="n">
        <v>0</v>
      </c>
      <c r="P24" s="28" t="n">
        <v>0</v>
      </c>
      <c r="Q24" s="28" t="n">
        <v>0</v>
      </c>
      <c r="R24" s="28" t="n">
        <v>0</v>
      </c>
      <c r="S24" s="28" t="n">
        <v>0</v>
      </c>
      <c r="T24" s="28" t="n">
        <v>0</v>
      </c>
      <c r="U24" s="28" t="n">
        <v>0</v>
      </c>
      <c r="V24" s="28" t="n">
        <v>0</v>
      </c>
      <c r="W24" s="28" t="n">
        <v>0</v>
      </c>
      <c r="X24" s="28" t="n">
        <v>0</v>
      </c>
      <c r="Y24" s="28" t="n">
        <v>0</v>
      </c>
      <c r="Z24" s="28" t="n">
        <v>0</v>
      </c>
      <c r="AA24" s="28" t="n">
        <v>0</v>
      </c>
      <c r="AB24" s="28" t="n">
        <v>0.014214</v>
      </c>
      <c r="AC24" s="28" t="n">
        <v>0.04786</v>
      </c>
      <c r="AD24" s="28" t="n">
        <v>0.089425</v>
      </c>
      <c r="AE24" s="28" t="n">
        <v>0.136301</v>
      </c>
      <c r="AF24" s="28" t="n">
        <v>0.186997</v>
      </c>
      <c r="AG24" s="28" t="n">
        <v>0.240423</v>
      </c>
      <c r="AH24" s="28" t="n">
        <v>0.29569</v>
      </c>
      <c r="AI24" s="28" t="n">
        <v>0.352022</v>
      </c>
      <c r="AJ24" s="28" t="n">
        <v>0.408714</v>
      </c>
      <c r="AK24" s="28" t="n">
        <v>0.465117</v>
      </c>
      <c r="AL24" s="28" t="n">
        <v>0.520627</v>
      </c>
      <c r="AM24" s="28" t="n">
        <v>0.574673</v>
      </c>
      <c r="AN24" s="28" t="n">
        <v>0.626723</v>
      </c>
      <c r="AO24" s="28" t="n">
        <v>0.676277</v>
      </c>
      <c r="AP24" s="28" t="n">
        <v>0.722872</v>
      </c>
      <c r="AQ24" s="28" t="n">
        <v>0.766078</v>
      </c>
      <c r="AR24" s="28" t="n">
        <v>0.805503</v>
      </c>
      <c r="AS24" s="28" t="n">
        <v>0.840795</v>
      </c>
      <c r="AT24" s="28" t="n">
        <v>0.87164</v>
      </c>
      <c r="AU24" s="28" t="n">
        <v>0.897766</v>
      </c>
      <c r="AV24" s="28" t="n">
        <v>0.918945</v>
      </c>
      <c r="AW24" s="28" t="n">
        <v>0.934992</v>
      </c>
      <c r="AX24" s="28" t="n">
        <v>0.9457680000000001</v>
      </c>
      <c r="AY24" s="28" t="n">
        <v>0.951179</v>
      </c>
      <c r="AZ24" s="28" t="n">
        <v>0.951179</v>
      </c>
      <c r="BA24" s="28" t="n">
        <v>0.9457680000000001</v>
      </c>
      <c r="BB24" s="28" t="n">
        <v>0.934992</v>
      </c>
      <c r="BC24" s="28" t="n">
        <v>0.918945</v>
      </c>
      <c r="BD24" s="28" t="n">
        <v>0.897766</v>
      </c>
      <c r="BE24" s="28" t="n">
        <v>0.87164</v>
      </c>
      <c r="BF24" s="28" t="n">
        <v>0.840795</v>
      </c>
      <c r="BG24" s="28" t="n">
        <v>0.805503</v>
      </c>
      <c r="BH24" s="28" t="n">
        <v>0.766078</v>
      </c>
      <c r="BI24" s="28" t="n">
        <v>0.722872</v>
      </c>
      <c r="BJ24" s="28" t="n">
        <v>0.676277</v>
      </c>
      <c r="BK24" s="28" t="n">
        <v>0.626723</v>
      </c>
      <c r="BL24" s="28" t="n">
        <v>0.574673</v>
      </c>
      <c r="BM24" s="28" t="n">
        <v>0.520627</v>
      </c>
      <c r="BN24" s="28" t="n">
        <v>0.465117</v>
      </c>
      <c r="BO24" s="28" t="n">
        <v>0.408714</v>
      </c>
      <c r="BP24" s="28" t="n">
        <v>0.352022</v>
      </c>
      <c r="BQ24" s="28" t="n">
        <v>0.29569</v>
      </c>
      <c r="BR24" s="28" t="n">
        <v>0.240423</v>
      </c>
      <c r="BS24" s="28" t="n">
        <v>0.186997</v>
      </c>
      <c r="BT24" s="28" t="n">
        <v>0.136301</v>
      </c>
      <c r="BU24" s="28" t="n">
        <v>0.089425</v>
      </c>
      <c r="BV24" s="28" t="n">
        <v>0.04786</v>
      </c>
      <c r="BW24" s="28" t="n">
        <v>0.014214</v>
      </c>
      <c r="BX24" s="28" t="n">
        <v>0</v>
      </c>
      <c r="BY24" s="28" t="n">
        <v>0</v>
      </c>
      <c r="BZ24" s="28" t="n">
        <v>0</v>
      </c>
      <c r="CA24" s="28" t="n">
        <v>0</v>
      </c>
      <c r="CB24" s="28" t="n">
        <v>0</v>
      </c>
      <c r="CC24" s="28" t="n">
        <v>0</v>
      </c>
      <c r="CD24" s="28" t="n">
        <v>0</v>
      </c>
      <c r="CE24" s="28" t="n">
        <v>0</v>
      </c>
      <c r="CF24" s="28" t="n">
        <v>0</v>
      </c>
      <c r="CG24" s="28" t="n">
        <v>0</v>
      </c>
      <c r="CH24" s="28" t="n">
        <v>0</v>
      </c>
      <c r="CI24" s="28" t="n">
        <v>0</v>
      </c>
      <c r="CJ24" s="28" t="n">
        <v>0</v>
      </c>
      <c r="CK24" s="28" t="n">
        <v>0</v>
      </c>
      <c r="CL24" s="28" t="n">
        <v>0</v>
      </c>
      <c r="CM24" s="28" t="n">
        <v>0</v>
      </c>
      <c r="CN24" s="28" t="n">
        <v>0</v>
      </c>
      <c r="CO24" s="28" t="n">
        <v>0</v>
      </c>
      <c r="CP24" s="28" t="n">
        <v>0</v>
      </c>
      <c r="CQ24" s="28" t="n">
        <v>0</v>
      </c>
      <c r="CR24" s="28" t="n">
        <v>0</v>
      </c>
      <c r="CS24" s="28" t="n">
        <v>0</v>
      </c>
      <c r="CT24" s="28" t="n">
        <v>0</v>
      </c>
    </row>
    <row r="25">
      <c r="A25" s="6" t="inlineStr">
        <is>
          <t>P8|10</t>
        </is>
      </c>
      <c r="B25" s="6" t="inlineStr">
        <is>
          <t>Oct</t>
        </is>
      </c>
      <c r="C25" s="28" t="n">
        <v>0</v>
      </c>
      <c r="D25" s="28" t="n">
        <v>0</v>
      </c>
      <c r="E25" s="28" t="n">
        <v>0</v>
      </c>
      <c r="F25" s="28" t="n">
        <v>0</v>
      </c>
      <c r="G25" s="28" t="n">
        <v>0</v>
      </c>
      <c r="H25" s="28" t="n">
        <v>0</v>
      </c>
      <c r="I25" s="28" t="n">
        <v>0</v>
      </c>
      <c r="J25" s="28" t="n">
        <v>0</v>
      </c>
      <c r="K25" s="28" t="n">
        <v>0</v>
      </c>
      <c r="L25" s="28" t="n">
        <v>0</v>
      </c>
      <c r="M25" s="28" t="n">
        <v>0</v>
      </c>
      <c r="N25" s="28" t="n">
        <v>0</v>
      </c>
      <c r="O25" s="28" t="n">
        <v>0</v>
      </c>
      <c r="P25" s="28" t="n">
        <v>0</v>
      </c>
      <c r="Q25" s="28" t="n">
        <v>0</v>
      </c>
      <c r="R25" s="28" t="n">
        <v>0</v>
      </c>
      <c r="S25" s="28" t="n">
        <v>0</v>
      </c>
      <c r="T25" s="28" t="n">
        <v>0</v>
      </c>
      <c r="U25" s="28" t="n">
        <v>0</v>
      </c>
      <c r="V25" s="28" t="n">
        <v>0</v>
      </c>
      <c r="W25" s="28" t="n">
        <v>0</v>
      </c>
      <c r="X25" s="28" t="n">
        <v>0</v>
      </c>
      <c r="Y25" s="28" t="n">
        <v>0</v>
      </c>
      <c r="Z25" s="28" t="n">
        <v>0</v>
      </c>
      <c r="AA25" s="28" t="n">
        <v>0</v>
      </c>
      <c r="AB25" s="28" t="n">
        <v>0</v>
      </c>
      <c r="AC25" s="28" t="n">
        <v>0.015569</v>
      </c>
      <c r="AD25" s="28" t="n">
        <v>0.054919</v>
      </c>
      <c r="AE25" s="28" t="n">
        <v>0.103787</v>
      </c>
      <c r="AF25" s="28" t="n">
        <v>0.158954</v>
      </c>
      <c r="AG25" s="28" t="n">
        <v>0.218592</v>
      </c>
      <c r="AH25" s="28" t="n">
        <v>0.28136</v>
      </c>
      <c r="AI25" s="28" t="n">
        <v>0.346158</v>
      </c>
      <c r="AJ25" s="28" t="n">
        <v>0.412023</v>
      </c>
      <c r="AK25" s="28" t="n">
        <v>0.478081</v>
      </c>
      <c r="AL25" s="28" t="n">
        <v>0.543525</v>
      </c>
      <c r="AM25" s="28" t="n">
        <v>0.6076009999999999</v>
      </c>
      <c r="AN25" s="28" t="n">
        <v>0.669605</v>
      </c>
      <c r="AO25" s="28" t="n">
        <v>0.728877</v>
      </c>
      <c r="AP25" s="28" t="n">
        <v>0.784806</v>
      </c>
      <c r="AQ25" s="28" t="n">
        <v>0.836825</v>
      </c>
      <c r="AR25" s="28" t="n">
        <v>0.884416</v>
      </c>
      <c r="AS25" s="28" t="n">
        <v>0.927111</v>
      </c>
      <c r="AT25" s="28" t="n">
        <v>0.964497</v>
      </c>
      <c r="AU25" s="28" t="n">
        <v>0.996212</v>
      </c>
      <c r="AV25" s="28" t="n">
        <v>1</v>
      </c>
      <c r="AW25" s="28" t="n">
        <v>1</v>
      </c>
      <c r="AX25" s="28" t="n">
        <v>1</v>
      </c>
      <c r="AY25" s="28" t="n">
        <v>1</v>
      </c>
      <c r="AZ25" s="28" t="n">
        <v>1</v>
      </c>
      <c r="BA25" s="28" t="n">
        <v>1</v>
      </c>
      <c r="BB25" s="28" t="n">
        <v>1</v>
      </c>
      <c r="BC25" s="28" t="n">
        <v>1</v>
      </c>
      <c r="BD25" s="28" t="n">
        <v>0.996212</v>
      </c>
      <c r="BE25" s="28" t="n">
        <v>0.964497</v>
      </c>
      <c r="BF25" s="28" t="n">
        <v>0.927111</v>
      </c>
      <c r="BG25" s="28" t="n">
        <v>0.884416</v>
      </c>
      <c r="BH25" s="28" t="n">
        <v>0.836825</v>
      </c>
      <c r="BI25" s="28" t="n">
        <v>0.784806</v>
      </c>
      <c r="BJ25" s="28" t="n">
        <v>0.728877</v>
      </c>
      <c r="BK25" s="28" t="n">
        <v>0.669605</v>
      </c>
      <c r="BL25" s="28" t="n">
        <v>0.6076009999999999</v>
      </c>
      <c r="BM25" s="28" t="n">
        <v>0.543525</v>
      </c>
      <c r="BN25" s="28" t="n">
        <v>0.478081</v>
      </c>
      <c r="BO25" s="28" t="n">
        <v>0.412023</v>
      </c>
      <c r="BP25" s="28" t="n">
        <v>0.346158</v>
      </c>
      <c r="BQ25" s="28" t="n">
        <v>0.28136</v>
      </c>
      <c r="BR25" s="28" t="n">
        <v>0.218592</v>
      </c>
      <c r="BS25" s="28" t="n">
        <v>0.158954</v>
      </c>
      <c r="BT25" s="28" t="n">
        <v>0.103787</v>
      </c>
      <c r="BU25" s="28" t="n">
        <v>0.054919</v>
      </c>
      <c r="BV25" s="28" t="n">
        <v>0.015569</v>
      </c>
      <c r="BW25" s="28" t="n">
        <v>0</v>
      </c>
      <c r="BX25" s="28" t="n">
        <v>0</v>
      </c>
      <c r="BY25" s="28" t="n">
        <v>0</v>
      </c>
      <c r="BZ25" s="28" t="n">
        <v>0</v>
      </c>
      <c r="CA25" s="28" t="n">
        <v>0</v>
      </c>
      <c r="CB25" s="28" t="n">
        <v>0</v>
      </c>
      <c r="CC25" s="28" t="n">
        <v>0</v>
      </c>
      <c r="CD25" s="28" t="n">
        <v>0</v>
      </c>
      <c r="CE25" s="28" t="n">
        <v>0</v>
      </c>
      <c r="CF25" s="28" t="n">
        <v>0</v>
      </c>
      <c r="CG25" s="28" t="n">
        <v>0</v>
      </c>
      <c r="CH25" s="28" t="n">
        <v>0</v>
      </c>
      <c r="CI25" s="28" t="n">
        <v>0</v>
      </c>
      <c r="CJ25" s="28" t="n">
        <v>0</v>
      </c>
      <c r="CK25" s="28" t="n">
        <v>0</v>
      </c>
      <c r="CL25" s="28" t="n">
        <v>0</v>
      </c>
      <c r="CM25" s="28" t="n">
        <v>0</v>
      </c>
      <c r="CN25" s="28" t="n">
        <v>0</v>
      </c>
      <c r="CO25" s="28" t="n">
        <v>0</v>
      </c>
      <c r="CP25" s="28" t="n">
        <v>0</v>
      </c>
      <c r="CQ25" s="28" t="n">
        <v>0</v>
      </c>
      <c r="CR25" s="28" t="n">
        <v>0</v>
      </c>
      <c r="CS25" s="28" t="n">
        <v>0</v>
      </c>
      <c r="CT25" s="28" t="n">
        <v>0</v>
      </c>
    </row>
    <row r="26">
      <c r="A26" s="6" t="inlineStr">
        <is>
          <t>P8|11</t>
        </is>
      </c>
      <c r="B26" s="6" t="inlineStr">
        <is>
          <t>Nov</t>
        </is>
      </c>
      <c r="C26" s="28" t="n">
        <v>0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0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</v>
      </c>
      <c r="O26" s="28" t="n">
        <v>0</v>
      </c>
      <c r="P26" s="28" t="n">
        <v>0</v>
      </c>
      <c r="Q26" s="28" t="n">
        <v>0</v>
      </c>
      <c r="R26" s="28" t="n">
        <v>0</v>
      </c>
      <c r="S26" s="28" t="n">
        <v>0</v>
      </c>
      <c r="T26" s="28" t="n">
        <v>0</v>
      </c>
      <c r="U26" s="28" t="n">
        <v>0</v>
      </c>
      <c r="V26" s="28" t="n">
        <v>0</v>
      </c>
      <c r="W26" s="28" t="n">
        <v>0</v>
      </c>
      <c r="X26" s="28" t="n">
        <v>0</v>
      </c>
      <c r="Y26" s="28" t="n">
        <v>0</v>
      </c>
      <c r="Z26" s="28" t="n">
        <v>0</v>
      </c>
      <c r="AA26" s="28" t="n">
        <v>0</v>
      </c>
      <c r="AB26" s="28" t="n">
        <v>0</v>
      </c>
      <c r="AC26" s="28" t="n">
        <v>0</v>
      </c>
      <c r="AD26" s="28" t="n">
        <v>0.02438</v>
      </c>
      <c r="AE26" s="28" t="n">
        <v>0.07378700000000001</v>
      </c>
      <c r="AF26" s="28" t="n">
        <v>0.133879</v>
      </c>
      <c r="AG26" s="28" t="n">
        <v>0.201122</v>
      </c>
      <c r="AH26" s="28" t="n">
        <v>0.273381</v>
      </c>
      <c r="AI26" s="28" t="n">
        <v>0.349049</v>
      </c>
      <c r="AJ26" s="28" t="n">
        <v>0.42678</v>
      </c>
      <c r="AK26" s="28" t="n">
        <v>0.505387</v>
      </c>
      <c r="AL26" s="28" t="n">
        <v>0.583786</v>
      </c>
      <c r="AM26" s="28" t="n">
        <v>0.660973</v>
      </c>
      <c r="AN26" s="28" t="n">
        <v>0.736013</v>
      </c>
      <c r="AO26" s="28" t="n">
        <v>0.808032</v>
      </c>
      <c r="AP26" s="28" t="n">
        <v>0.876219</v>
      </c>
      <c r="AQ26" s="28" t="n">
        <v>0.939823</v>
      </c>
      <c r="AR26" s="28" t="n">
        <v>0.998157</v>
      </c>
      <c r="AS26" s="28" t="n">
        <v>1</v>
      </c>
      <c r="AT26" s="28" t="n">
        <v>1</v>
      </c>
      <c r="AU26" s="28" t="n">
        <v>1</v>
      </c>
      <c r="AV26" s="28" t="n">
        <v>1</v>
      </c>
      <c r="AW26" s="28" t="n">
        <v>1</v>
      </c>
      <c r="AX26" s="28" t="n">
        <v>1</v>
      </c>
      <c r="AY26" s="28" t="n">
        <v>1</v>
      </c>
      <c r="AZ26" s="28" t="n">
        <v>1</v>
      </c>
      <c r="BA26" s="28" t="n">
        <v>1</v>
      </c>
      <c r="BB26" s="28" t="n">
        <v>1</v>
      </c>
      <c r="BC26" s="28" t="n">
        <v>1</v>
      </c>
      <c r="BD26" s="28" t="n">
        <v>1</v>
      </c>
      <c r="BE26" s="28" t="n">
        <v>1</v>
      </c>
      <c r="BF26" s="28" t="n">
        <v>1</v>
      </c>
      <c r="BG26" s="28" t="n">
        <v>0.998157</v>
      </c>
      <c r="BH26" s="28" t="n">
        <v>0.939823</v>
      </c>
      <c r="BI26" s="28" t="n">
        <v>0.876219</v>
      </c>
      <c r="BJ26" s="28" t="n">
        <v>0.808032</v>
      </c>
      <c r="BK26" s="28" t="n">
        <v>0.736013</v>
      </c>
      <c r="BL26" s="28" t="n">
        <v>0.660973</v>
      </c>
      <c r="BM26" s="28" t="n">
        <v>0.583786</v>
      </c>
      <c r="BN26" s="28" t="n">
        <v>0.505387</v>
      </c>
      <c r="BO26" s="28" t="n">
        <v>0.42678</v>
      </c>
      <c r="BP26" s="28" t="n">
        <v>0.349049</v>
      </c>
      <c r="BQ26" s="28" t="n">
        <v>0.273381</v>
      </c>
      <c r="BR26" s="28" t="n">
        <v>0.201122</v>
      </c>
      <c r="BS26" s="28" t="n">
        <v>0.133879</v>
      </c>
      <c r="BT26" s="28" t="n">
        <v>0.07378700000000001</v>
      </c>
      <c r="BU26" s="28" t="n">
        <v>0.02438</v>
      </c>
      <c r="BV26" s="28" t="n">
        <v>0</v>
      </c>
      <c r="BW26" s="28" t="n">
        <v>0</v>
      </c>
      <c r="BX26" s="28" t="n">
        <v>0</v>
      </c>
      <c r="BY26" s="28" t="n">
        <v>0</v>
      </c>
      <c r="BZ26" s="28" t="n">
        <v>0</v>
      </c>
      <c r="CA26" s="28" t="n">
        <v>0</v>
      </c>
      <c r="CB26" s="28" t="n">
        <v>0</v>
      </c>
      <c r="CC26" s="28" t="n">
        <v>0</v>
      </c>
      <c r="CD26" s="28" t="n">
        <v>0</v>
      </c>
      <c r="CE26" s="28" t="n">
        <v>0</v>
      </c>
      <c r="CF26" s="28" t="n">
        <v>0</v>
      </c>
      <c r="CG26" s="28" t="n">
        <v>0</v>
      </c>
      <c r="CH26" s="28" t="n">
        <v>0</v>
      </c>
      <c r="CI26" s="28" t="n">
        <v>0</v>
      </c>
      <c r="CJ26" s="28" t="n">
        <v>0</v>
      </c>
      <c r="CK26" s="28" t="n">
        <v>0</v>
      </c>
      <c r="CL26" s="28" t="n">
        <v>0</v>
      </c>
      <c r="CM26" s="28" t="n">
        <v>0</v>
      </c>
      <c r="CN26" s="28" t="n">
        <v>0</v>
      </c>
      <c r="CO26" s="28" t="n">
        <v>0</v>
      </c>
      <c r="CP26" s="28" t="n">
        <v>0</v>
      </c>
      <c r="CQ26" s="28" t="n">
        <v>0</v>
      </c>
      <c r="CR26" s="28" t="n">
        <v>0</v>
      </c>
      <c r="CS26" s="28" t="n">
        <v>0</v>
      </c>
      <c r="CT26" s="28" t="n">
        <v>0</v>
      </c>
    </row>
    <row r="27">
      <c r="A27" s="6" t="inlineStr">
        <is>
          <t>P8|12</t>
        </is>
      </c>
      <c r="B27" s="6" t="inlineStr">
        <is>
          <t>Dec</t>
        </is>
      </c>
      <c r="C27" s="28" t="n">
        <v>0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0</v>
      </c>
      <c r="J27" s="28" t="n">
        <v>0</v>
      </c>
      <c r="K27" s="28" t="n">
        <v>0</v>
      </c>
      <c r="L27" s="28" t="n">
        <v>0</v>
      </c>
      <c r="M27" s="28" t="n">
        <v>0</v>
      </c>
      <c r="N27" s="28" t="n">
        <v>0</v>
      </c>
      <c r="O27" s="28" t="n">
        <v>0</v>
      </c>
      <c r="P27" s="28" t="n">
        <v>0</v>
      </c>
      <c r="Q27" s="28" t="n">
        <v>0</v>
      </c>
      <c r="R27" s="28" t="n">
        <v>0</v>
      </c>
      <c r="S27" s="28" t="n">
        <v>0</v>
      </c>
      <c r="T27" s="28" t="n">
        <v>0</v>
      </c>
      <c r="U27" s="28" t="n">
        <v>0</v>
      </c>
      <c r="V27" s="28" t="n">
        <v>0</v>
      </c>
      <c r="W27" s="28" t="n">
        <v>0</v>
      </c>
      <c r="X27" s="28" t="n">
        <v>0</v>
      </c>
      <c r="Y27" s="28" t="n">
        <v>0</v>
      </c>
      <c r="Z27" s="28" t="n">
        <v>0</v>
      </c>
      <c r="AA27" s="28" t="n">
        <v>0</v>
      </c>
      <c r="AB27" s="28" t="n">
        <v>0</v>
      </c>
      <c r="AC27" s="28" t="n">
        <v>0</v>
      </c>
      <c r="AD27" s="28" t="n">
        <v>0.009676000000000001</v>
      </c>
      <c r="AE27" s="28" t="n">
        <v>0.057522</v>
      </c>
      <c r="AF27" s="28" t="n">
        <v>0.120353</v>
      </c>
      <c r="AG27" s="28" t="n">
        <v>0.192497</v>
      </c>
      <c r="AH27" s="28" t="n">
        <v>0.271089</v>
      </c>
      <c r="AI27" s="28" t="n">
        <v>0.354112</v>
      </c>
      <c r="AJ27" s="28" t="n">
        <v>0.439933</v>
      </c>
      <c r="AK27" s="28" t="n">
        <v>0.527134</v>
      </c>
      <c r="AL27" s="28" t="n">
        <v>0.6144309999999999</v>
      </c>
      <c r="AM27" s="28" t="n">
        <v>0.700642</v>
      </c>
      <c r="AN27" s="28" t="n">
        <v>0.78467</v>
      </c>
      <c r="AO27" s="28" t="n">
        <v>0.865489</v>
      </c>
      <c r="AP27" s="28" t="n">
        <v>0.942148</v>
      </c>
      <c r="AQ27" s="28" t="n">
        <v>1</v>
      </c>
      <c r="AR27" s="28" t="n">
        <v>1</v>
      </c>
      <c r="AS27" s="28" t="n">
        <v>1</v>
      </c>
      <c r="AT27" s="28" t="n">
        <v>1</v>
      </c>
      <c r="AU27" s="28" t="n">
        <v>1</v>
      </c>
      <c r="AV27" s="28" t="n">
        <v>1</v>
      </c>
      <c r="AW27" s="28" t="n">
        <v>1</v>
      </c>
      <c r="AX27" s="28" t="n">
        <v>1</v>
      </c>
      <c r="AY27" s="28" t="n">
        <v>1</v>
      </c>
      <c r="AZ27" s="28" t="n">
        <v>1</v>
      </c>
      <c r="BA27" s="28" t="n">
        <v>1</v>
      </c>
      <c r="BB27" s="28" t="n">
        <v>1</v>
      </c>
      <c r="BC27" s="28" t="n">
        <v>1</v>
      </c>
      <c r="BD27" s="28" t="n">
        <v>1</v>
      </c>
      <c r="BE27" s="28" t="n">
        <v>1</v>
      </c>
      <c r="BF27" s="28" t="n">
        <v>1</v>
      </c>
      <c r="BG27" s="28" t="n">
        <v>1</v>
      </c>
      <c r="BH27" s="28" t="n">
        <v>1</v>
      </c>
      <c r="BI27" s="28" t="n">
        <v>0.942148</v>
      </c>
      <c r="BJ27" s="28" t="n">
        <v>0.865489</v>
      </c>
      <c r="BK27" s="28" t="n">
        <v>0.78467</v>
      </c>
      <c r="BL27" s="28" t="n">
        <v>0.700642</v>
      </c>
      <c r="BM27" s="28" t="n">
        <v>0.6144309999999999</v>
      </c>
      <c r="BN27" s="28" t="n">
        <v>0.527134</v>
      </c>
      <c r="BO27" s="28" t="n">
        <v>0.439933</v>
      </c>
      <c r="BP27" s="28" t="n">
        <v>0.354112</v>
      </c>
      <c r="BQ27" s="28" t="n">
        <v>0.271089</v>
      </c>
      <c r="BR27" s="28" t="n">
        <v>0.192497</v>
      </c>
      <c r="BS27" s="28" t="n">
        <v>0.120353</v>
      </c>
      <c r="BT27" s="28" t="n">
        <v>0.057522</v>
      </c>
      <c r="BU27" s="28" t="n">
        <v>0.009676000000000001</v>
      </c>
      <c r="BV27" s="28" t="n">
        <v>0</v>
      </c>
      <c r="BW27" s="28" t="n">
        <v>0</v>
      </c>
      <c r="BX27" s="28" t="n">
        <v>0</v>
      </c>
      <c r="BY27" s="28" t="n">
        <v>0</v>
      </c>
      <c r="BZ27" s="28" t="n">
        <v>0</v>
      </c>
      <c r="CA27" s="28" t="n">
        <v>0</v>
      </c>
      <c r="CB27" s="28" t="n">
        <v>0</v>
      </c>
      <c r="CC27" s="28" t="n">
        <v>0</v>
      </c>
      <c r="CD27" s="28" t="n">
        <v>0</v>
      </c>
      <c r="CE27" s="28" t="n">
        <v>0</v>
      </c>
      <c r="CF27" s="28" t="n">
        <v>0</v>
      </c>
      <c r="CG27" s="28" t="n">
        <v>0</v>
      </c>
      <c r="CH27" s="28" t="n">
        <v>0</v>
      </c>
      <c r="CI27" s="28" t="n">
        <v>0</v>
      </c>
      <c r="CJ27" s="28" t="n">
        <v>0</v>
      </c>
      <c r="CK27" s="28" t="n">
        <v>0</v>
      </c>
      <c r="CL27" s="28" t="n">
        <v>0</v>
      </c>
      <c r="CM27" s="28" t="n">
        <v>0</v>
      </c>
      <c r="CN27" s="28" t="n">
        <v>0</v>
      </c>
      <c r="CO27" s="28" t="n">
        <v>0</v>
      </c>
      <c r="CP27" s="28" t="n">
        <v>0</v>
      </c>
      <c r="CQ27" s="28" t="n">
        <v>0</v>
      </c>
      <c r="CR27" s="28" t="n">
        <v>0</v>
      </c>
      <c r="CS27" s="28" t="n">
        <v>0</v>
      </c>
      <c r="CT27" s="28" t="n">
        <v>0</v>
      </c>
    </row>
    <row r="28">
      <c r="A28" s="6" t="inlineStr">
        <is>
          <t>P12|1</t>
        </is>
      </c>
      <c r="B28" s="6" t="inlineStr">
        <is>
          <t>Jan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  <c r="Q28" s="28" t="n">
        <v>0</v>
      </c>
      <c r="R28" s="28" t="n">
        <v>0</v>
      </c>
      <c r="S28" s="28" t="n">
        <v>0</v>
      </c>
      <c r="T28" s="28" t="n">
        <v>0</v>
      </c>
      <c r="U28" s="28" t="n">
        <v>0</v>
      </c>
      <c r="V28" s="28" t="n">
        <v>0</v>
      </c>
      <c r="W28" s="28" t="n">
        <v>0</v>
      </c>
      <c r="X28" s="28" t="n">
        <v>0</v>
      </c>
      <c r="Y28" s="28" t="n">
        <v>0</v>
      </c>
      <c r="Z28" s="28" t="n">
        <v>0</v>
      </c>
      <c r="AA28" s="28" t="n">
        <v>0</v>
      </c>
      <c r="AB28" s="28" t="n">
        <v>0</v>
      </c>
      <c r="AC28" s="28" t="n">
        <v>0</v>
      </c>
      <c r="AD28" s="28" t="n">
        <v>0.030648</v>
      </c>
      <c r="AE28" s="28" t="n">
        <v>0.08745</v>
      </c>
      <c r="AF28" s="28" t="n">
        <v>0.155975</v>
      </c>
      <c r="AG28" s="28" t="n">
        <v>0.232402</v>
      </c>
      <c r="AH28" s="28" t="n">
        <v>0.314379</v>
      </c>
      <c r="AI28" s="28" t="n">
        <v>0.400117</v>
      </c>
      <c r="AJ28" s="28" t="n">
        <v>0.488117</v>
      </c>
      <c r="AK28" s="28" t="n">
        <v>0.577047</v>
      </c>
      <c r="AL28" s="28" t="n">
        <v>0.665693</v>
      </c>
      <c r="AM28" s="28" t="n">
        <v>0.752929</v>
      </c>
      <c r="AN28" s="28" t="n">
        <v>0.837708</v>
      </c>
      <c r="AO28" s="28" t="n">
        <v>0.919048</v>
      </c>
      <c r="AP28" s="28" t="n">
        <v>0.996038</v>
      </c>
      <c r="AQ28" s="28" t="n">
        <v>1</v>
      </c>
      <c r="AR28" s="28" t="n">
        <v>1</v>
      </c>
      <c r="AS28" s="28" t="n">
        <v>1</v>
      </c>
      <c r="AT28" s="28" t="n">
        <v>1</v>
      </c>
      <c r="AU28" s="28" t="n">
        <v>1</v>
      </c>
      <c r="AV28" s="28" t="n">
        <v>1</v>
      </c>
      <c r="AW28" s="28" t="n">
        <v>1</v>
      </c>
      <c r="AX28" s="28" t="n">
        <v>1</v>
      </c>
      <c r="AY28" s="28" t="n">
        <v>1</v>
      </c>
      <c r="AZ28" s="28" t="n">
        <v>1</v>
      </c>
      <c r="BA28" s="28" t="n">
        <v>1</v>
      </c>
      <c r="BB28" s="28" t="n">
        <v>1</v>
      </c>
      <c r="BC28" s="28" t="n">
        <v>1</v>
      </c>
      <c r="BD28" s="28" t="n">
        <v>1</v>
      </c>
      <c r="BE28" s="28" t="n">
        <v>1</v>
      </c>
      <c r="BF28" s="28" t="n">
        <v>1</v>
      </c>
      <c r="BG28" s="28" t="n">
        <v>1</v>
      </c>
      <c r="BH28" s="28" t="n">
        <v>1</v>
      </c>
      <c r="BI28" s="28" t="n">
        <v>0.996038</v>
      </c>
      <c r="BJ28" s="28" t="n">
        <v>0.919048</v>
      </c>
      <c r="BK28" s="28" t="n">
        <v>0.837708</v>
      </c>
      <c r="BL28" s="28" t="n">
        <v>0.752929</v>
      </c>
      <c r="BM28" s="28" t="n">
        <v>0.665693</v>
      </c>
      <c r="BN28" s="28" t="n">
        <v>0.577047</v>
      </c>
      <c r="BO28" s="28" t="n">
        <v>0.488117</v>
      </c>
      <c r="BP28" s="28" t="n">
        <v>0.400117</v>
      </c>
      <c r="BQ28" s="28" t="n">
        <v>0.314379</v>
      </c>
      <c r="BR28" s="28" t="n">
        <v>0.232402</v>
      </c>
      <c r="BS28" s="28" t="n">
        <v>0.155975</v>
      </c>
      <c r="BT28" s="28" t="n">
        <v>0.08745</v>
      </c>
      <c r="BU28" s="28" t="n">
        <v>0.030648</v>
      </c>
      <c r="BV28" s="28" t="n">
        <v>0</v>
      </c>
      <c r="BW28" s="28" t="n">
        <v>0</v>
      </c>
      <c r="BX28" s="28" t="n">
        <v>0</v>
      </c>
      <c r="BY28" s="28" t="n">
        <v>0</v>
      </c>
      <c r="BZ28" s="28" t="n">
        <v>0</v>
      </c>
      <c r="CA28" s="28" t="n">
        <v>0</v>
      </c>
      <c r="CB28" s="28" t="n">
        <v>0</v>
      </c>
      <c r="CC28" s="28" t="n">
        <v>0</v>
      </c>
      <c r="CD28" s="28" t="n">
        <v>0</v>
      </c>
      <c r="CE28" s="28" t="n">
        <v>0</v>
      </c>
      <c r="CF28" s="28" t="n">
        <v>0</v>
      </c>
      <c r="CG28" s="28" t="n">
        <v>0</v>
      </c>
      <c r="CH28" s="28" t="n">
        <v>0</v>
      </c>
      <c r="CI28" s="28" t="n">
        <v>0</v>
      </c>
      <c r="CJ28" s="28" t="n">
        <v>0</v>
      </c>
      <c r="CK28" s="28" t="n">
        <v>0</v>
      </c>
      <c r="CL28" s="28" t="n">
        <v>0</v>
      </c>
      <c r="CM28" s="28" t="n">
        <v>0</v>
      </c>
      <c r="CN28" s="28" t="n">
        <v>0</v>
      </c>
      <c r="CO28" s="28" t="n">
        <v>0</v>
      </c>
      <c r="CP28" s="28" t="n">
        <v>0</v>
      </c>
      <c r="CQ28" s="28" t="n">
        <v>0</v>
      </c>
      <c r="CR28" s="28" t="n">
        <v>0</v>
      </c>
      <c r="CS28" s="28" t="n">
        <v>0</v>
      </c>
      <c r="CT28" s="28" t="n">
        <v>0</v>
      </c>
    </row>
    <row r="29">
      <c r="A29" s="6" t="inlineStr">
        <is>
          <t>P12|2</t>
        </is>
      </c>
      <c r="B29" s="6" t="inlineStr">
        <is>
          <t>Feb</t>
        </is>
      </c>
      <c r="C29" s="28" t="n">
        <v>0</v>
      </c>
      <c r="D29" s="28" t="n">
        <v>0</v>
      </c>
      <c r="E29" s="28" t="n">
        <v>0</v>
      </c>
      <c r="F29" s="28" t="n">
        <v>0</v>
      </c>
      <c r="G29" s="28" t="n">
        <v>0</v>
      </c>
      <c r="H29" s="28" t="n">
        <v>0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  <c r="N29" s="28" t="n">
        <v>0</v>
      </c>
      <c r="O29" s="28" t="n">
        <v>0</v>
      </c>
      <c r="P29" s="28" t="n">
        <v>0</v>
      </c>
      <c r="Q29" s="28" t="n">
        <v>0</v>
      </c>
      <c r="R29" s="28" t="n">
        <v>0</v>
      </c>
      <c r="S29" s="28" t="n">
        <v>0</v>
      </c>
      <c r="T29" s="28" t="n">
        <v>0</v>
      </c>
      <c r="U29" s="28" t="n">
        <v>0</v>
      </c>
      <c r="V29" s="28" t="n">
        <v>0</v>
      </c>
      <c r="W29" s="28" t="n">
        <v>0</v>
      </c>
      <c r="X29" s="28" t="n">
        <v>0</v>
      </c>
      <c r="Y29" s="28" t="n">
        <v>0</v>
      </c>
      <c r="Z29" s="28" t="n">
        <v>0</v>
      </c>
      <c r="AA29" s="28" t="n">
        <v>0</v>
      </c>
      <c r="AB29" s="28" t="n">
        <v>0</v>
      </c>
      <c r="AC29" s="28" t="n">
        <v>0.015267</v>
      </c>
      <c r="AD29" s="28" t="n">
        <v>0.06922399999999999</v>
      </c>
      <c r="AE29" s="28" t="n">
        <v>0.138218</v>
      </c>
      <c r="AF29" s="28" t="n">
        <v>0.216884</v>
      </c>
      <c r="AG29" s="28" t="n">
        <v>0.30237</v>
      </c>
      <c r="AH29" s="28" t="n">
        <v>0.392646</v>
      </c>
      <c r="AI29" s="28" t="n">
        <v>0.486064</v>
      </c>
      <c r="AJ29" s="28" t="n">
        <v>0.581192</v>
      </c>
      <c r="AK29" s="28" t="n">
        <v>0.6767339999999999</v>
      </c>
      <c r="AL29" s="28" t="n">
        <v>0.771499</v>
      </c>
      <c r="AM29" s="28" t="n">
        <v>0.864374</v>
      </c>
      <c r="AN29" s="28" t="n">
        <v>0.954319</v>
      </c>
      <c r="AO29" s="28" t="n">
        <v>1</v>
      </c>
      <c r="AP29" s="28" t="n">
        <v>1</v>
      </c>
      <c r="AQ29" s="28" t="n">
        <v>1</v>
      </c>
      <c r="AR29" s="28" t="n">
        <v>1</v>
      </c>
      <c r="AS29" s="28" t="n">
        <v>1</v>
      </c>
      <c r="AT29" s="28" t="n">
        <v>1</v>
      </c>
      <c r="AU29" s="28" t="n">
        <v>1</v>
      </c>
      <c r="AV29" s="28" t="n">
        <v>1</v>
      </c>
      <c r="AW29" s="28" t="n">
        <v>1</v>
      </c>
      <c r="AX29" s="28" t="n">
        <v>1</v>
      </c>
      <c r="AY29" s="28" t="n">
        <v>1</v>
      </c>
      <c r="AZ29" s="28" t="n">
        <v>1</v>
      </c>
      <c r="BA29" s="28" t="n">
        <v>1</v>
      </c>
      <c r="BB29" s="28" t="n">
        <v>1</v>
      </c>
      <c r="BC29" s="28" t="n">
        <v>1</v>
      </c>
      <c r="BD29" s="28" t="n">
        <v>1</v>
      </c>
      <c r="BE29" s="28" t="n">
        <v>1</v>
      </c>
      <c r="BF29" s="28" t="n">
        <v>1</v>
      </c>
      <c r="BG29" s="28" t="n">
        <v>1</v>
      </c>
      <c r="BH29" s="28" t="n">
        <v>1</v>
      </c>
      <c r="BI29" s="28" t="n">
        <v>1</v>
      </c>
      <c r="BJ29" s="28" t="n">
        <v>1</v>
      </c>
      <c r="BK29" s="28" t="n">
        <v>0.954319</v>
      </c>
      <c r="BL29" s="28" t="n">
        <v>0.864374</v>
      </c>
      <c r="BM29" s="28" t="n">
        <v>0.771499</v>
      </c>
      <c r="BN29" s="28" t="n">
        <v>0.6767339999999999</v>
      </c>
      <c r="BO29" s="28" t="n">
        <v>0.581192</v>
      </c>
      <c r="BP29" s="28" t="n">
        <v>0.486064</v>
      </c>
      <c r="BQ29" s="28" t="n">
        <v>0.392646</v>
      </c>
      <c r="BR29" s="28" t="n">
        <v>0.30237</v>
      </c>
      <c r="BS29" s="28" t="n">
        <v>0.216884</v>
      </c>
      <c r="BT29" s="28" t="n">
        <v>0.138218</v>
      </c>
      <c r="BU29" s="28" t="n">
        <v>0.06922399999999999</v>
      </c>
      <c r="BV29" s="28" t="n">
        <v>0.015267</v>
      </c>
      <c r="BW29" s="28" t="n">
        <v>0</v>
      </c>
      <c r="BX29" s="28" t="n">
        <v>0</v>
      </c>
      <c r="BY29" s="28" t="n">
        <v>0</v>
      </c>
      <c r="BZ29" s="28" t="n">
        <v>0</v>
      </c>
      <c r="CA29" s="28" t="n">
        <v>0</v>
      </c>
      <c r="CB29" s="28" t="n">
        <v>0</v>
      </c>
      <c r="CC29" s="28" t="n">
        <v>0</v>
      </c>
      <c r="CD29" s="28" t="n">
        <v>0</v>
      </c>
      <c r="CE29" s="28" t="n">
        <v>0</v>
      </c>
      <c r="CF29" s="28" t="n">
        <v>0</v>
      </c>
      <c r="CG29" s="28" t="n">
        <v>0</v>
      </c>
      <c r="CH29" s="28" t="n">
        <v>0</v>
      </c>
      <c r="CI29" s="28" t="n">
        <v>0</v>
      </c>
      <c r="CJ29" s="28" t="n">
        <v>0</v>
      </c>
      <c r="CK29" s="28" t="n">
        <v>0</v>
      </c>
      <c r="CL29" s="28" t="n">
        <v>0</v>
      </c>
      <c r="CM29" s="28" t="n">
        <v>0</v>
      </c>
      <c r="CN29" s="28" t="n">
        <v>0</v>
      </c>
      <c r="CO29" s="28" t="n">
        <v>0</v>
      </c>
      <c r="CP29" s="28" t="n">
        <v>0</v>
      </c>
      <c r="CQ29" s="28" t="n">
        <v>0</v>
      </c>
      <c r="CR29" s="28" t="n">
        <v>0</v>
      </c>
      <c r="CS29" s="28" t="n">
        <v>0</v>
      </c>
      <c r="CT29" s="28" t="n">
        <v>0</v>
      </c>
    </row>
    <row r="30">
      <c r="A30" s="6" t="inlineStr">
        <is>
          <t>P12|3</t>
        </is>
      </c>
      <c r="B30" s="6" t="inlineStr">
        <is>
          <t>Mar</t>
        </is>
      </c>
      <c r="C30" s="28" t="n">
        <v>0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</v>
      </c>
      <c r="O30" s="28" t="n">
        <v>0</v>
      </c>
      <c r="P30" s="28" t="n">
        <v>0</v>
      </c>
      <c r="Q30" s="28" t="n">
        <v>0</v>
      </c>
      <c r="R30" s="28" t="n">
        <v>0</v>
      </c>
      <c r="S30" s="28" t="n">
        <v>0</v>
      </c>
      <c r="T30" s="28" t="n">
        <v>0</v>
      </c>
      <c r="U30" s="28" t="n">
        <v>0</v>
      </c>
      <c r="V30" s="28" t="n">
        <v>0</v>
      </c>
      <c r="W30" s="28" t="n">
        <v>0</v>
      </c>
      <c r="X30" s="28" t="n">
        <v>0</v>
      </c>
      <c r="Y30" s="28" t="n">
        <v>0</v>
      </c>
      <c r="Z30" s="28" t="n">
        <v>0</v>
      </c>
      <c r="AA30" s="28" t="n">
        <v>0</v>
      </c>
      <c r="AB30" s="28" t="n">
        <v>0.008506</v>
      </c>
      <c r="AC30" s="28" t="n">
        <v>0.053305</v>
      </c>
      <c r="AD30" s="28" t="n">
        <v>0.112494</v>
      </c>
      <c r="AE30" s="28" t="n">
        <v>0.180698</v>
      </c>
      <c r="AF30" s="28" t="n">
        <v>0.255288</v>
      </c>
      <c r="AG30" s="28" t="n">
        <v>0.334455</v>
      </c>
      <c r="AH30" s="28" t="n">
        <v>0.416758</v>
      </c>
      <c r="AI30" s="28" t="n">
        <v>0.500962</v>
      </c>
      <c r="AJ30" s="28" t="n">
        <v>0.585958</v>
      </c>
      <c r="AK30" s="28" t="n">
        <v>0.670727</v>
      </c>
      <c r="AL30" s="28" t="n">
        <v>0.754321</v>
      </c>
      <c r="AM30" s="28" t="n">
        <v>0.835851</v>
      </c>
      <c r="AN30" s="28" t="n">
        <v>0.914485</v>
      </c>
      <c r="AO30" s="28" t="n">
        <v>0.989443</v>
      </c>
      <c r="AP30" s="28" t="n">
        <v>1</v>
      </c>
      <c r="AQ30" s="28" t="n">
        <v>1</v>
      </c>
      <c r="AR30" s="28" t="n">
        <v>1</v>
      </c>
      <c r="AS30" s="28" t="n">
        <v>1</v>
      </c>
      <c r="AT30" s="28" t="n">
        <v>1</v>
      </c>
      <c r="AU30" s="28" t="n">
        <v>1</v>
      </c>
      <c r="AV30" s="28" t="n">
        <v>1</v>
      </c>
      <c r="AW30" s="28" t="n">
        <v>1</v>
      </c>
      <c r="AX30" s="28" t="n">
        <v>1</v>
      </c>
      <c r="AY30" s="28" t="n">
        <v>1</v>
      </c>
      <c r="AZ30" s="28" t="n">
        <v>1</v>
      </c>
      <c r="BA30" s="28" t="n">
        <v>1</v>
      </c>
      <c r="BB30" s="28" t="n">
        <v>1</v>
      </c>
      <c r="BC30" s="28" t="n">
        <v>1</v>
      </c>
      <c r="BD30" s="28" t="n">
        <v>1</v>
      </c>
      <c r="BE30" s="28" t="n">
        <v>1</v>
      </c>
      <c r="BF30" s="28" t="n">
        <v>1</v>
      </c>
      <c r="BG30" s="28" t="n">
        <v>1</v>
      </c>
      <c r="BH30" s="28" t="n">
        <v>1</v>
      </c>
      <c r="BI30" s="28" t="n">
        <v>1</v>
      </c>
      <c r="BJ30" s="28" t="n">
        <v>0.989443</v>
      </c>
      <c r="BK30" s="28" t="n">
        <v>0.914485</v>
      </c>
      <c r="BL30" s="28" t="n">
        <v>0.835851</v>
      </c>
      <c r="BM30" s="28" t="n">
        <v>0.754321</v>
      </c>
      <c r="BN30" s="28" t="n">
        <v>0.670727</v>
      </c>
      <c r="BO30" s="28" t="n">
        <v>0.585958</v>
      </c>
      <c r="BP30" s="28" t="n">
        <v>0.500962</v>
      </c>
      <c r="BQ30" s="28" t="n">
        <v>0.416758</v>
      </c>
      <c r="BR30" s="28" t="n">
        <v>0.334455</v>
      </c>
      <c r="BS30" s="28" t="n">
        <v>0.255288</v>
      </c>
      <c r="BT30" s="28" t="n">
        <v>0.180698</v>
      </c>
      <c r="BU30" s="28" t="n">
        <v>0.112494</v>
      </c>
      <c r="BV30" s="28" t="n">
        <v>0.053305</v>
      </c>
      <c r="BW30" s="28" t="n">
        <v>0.008506</v>
      </c>
      <c r="BX30" s="28" t="n">
        <v>0</v>
      </c>
      <c r="BY30" s="28" t="n">
        <v>0</v>
      </c>
      <c r="BZ30" s="28" t="n">
        <v>0</v>
      </c>
      <c r="CA30" s="28" t="n">
        <v>0</v>
      </c>
      <c r="CB30" s="28" t="n">
        <v>0</v>
      </c>
      <c r="CC30" s="28" t="n">
        <v>0</v>
      </c>
      <c r="CD30" s="28" t="n">
        <v>0</v>
      </c>
      <c r="CE30" s="28" t="n">
        <v>0</v>
      </c>
      <c r="CF30" s="28" t="n">
        <v>0</v>
      </c>
      <c r="CG30" s="28" t="n">
        <v>0</v>
      </c>
      <c r="CH30" s="28" t="n">
        <v>0</v>
      </c>
      <c r="CI30" s="28" t="n">
        <v>0</v>
      </c>
      <c r="CJ30" s="28" t="n">
        <v>0</v>
      </c>
      <c r="CK30" s="28" t="n">
        <v>0</v>
      </c>
      <c r="CL30" s="28" t="n">
        <v>0</v>
      </c>
      <c r="CM30" s="28" t="n">
        <v>0</v>
      </c>
      <c r="CN30" s="28" t="n">
        <v>0</v>
      </c>
      <c r="CO30" s="28" t="n">
        <v>0</v>
      </c>
      <c r="CP30" s="28" t="n">
        <v>0</v>
      </c>
      <c r="CQ30" s="28" t="n">
        <v>0</v>
      </c>
      <c r="CR30" s="28" t="n">
        <v>0</v>
      </c>
      <c r="CS30" s="28" t="n">
        <v>0</v>
      </c>
      <c r="CT30" s="28" t="n">
        <v>0</v>
      </c>
    </row>
    <row r="31">
      <c r="A31" s="6" t="inlineStr">
        <is>
          <t>P12|4</t>
        </is>
      </c>
      <c r="B31" s="6" t="inlineStr">
        <is>
          <t>Apr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8" t="n">
        <v>0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8" t="n">
        <v>0</v>
      </c>
      <c r="AA31" s="28" t="n">
        <v>0.00419</v>
      </c>
      <c r="AB31" s="28" t="n">
        <v>0.039094</v>
      </c>
      <c r="AC31" s="28" t="n">
        <v>0.08674999999999999</v>
      </c>
      <c r="AD31" s="28" t="n">
        <v>0.142173</v>
      </c>
      <c r="AE31" s="28" t="n">
        <v>0.203112</v>
      </c>
      <c r="AF31" s="28" t="n">
        <v>0.268061</v>
      </c>
      <c r="AG31" s="28" t="n">
        <v>0.335849</v>
      </c>
      <c r="AH31" s="28" t="n">
        <v>0.405477</v>
      </c>
      <c r="AI31" s="28" t="n">
        <v>0.47606</v>
      </c>
      <c r="AJ31" s="28" t="n">
        <v>0.546783</v>
      </c>
      <c r="AK31" s="28" t="n">
        <v>0.6168940000000001</v>
      </c>
      <c r="AL31" s="28" t="n">
        <v>0.685683</v>
      </c>
      <c r="AM31" s="28" t="n">
        <v>0.752487</v>
      </c>
      <c r="AN31" s="28" t="n">
        <v>0.81668</v>
      </c>
      <c r="AO31" s="28" t="n">
        <v>0.877678</v>
      </c>
      <c r="AP31" s="28" t="n">
        <v>0.934937</v>
      </c>
      <c r="AQ31" s="28" t="n">
        <v>0.9879559999999999</v>
      </c>
      <c r="AR31" s="28" t="n">
        <v>1</v>
      </c>
      <c r="AS31" s="28" t="n">
        <v>1</v>
      </c>
      <c r="AT31" s="28" t="n">
        <v>1</v>
      </c>
      <c r="AU31" s="28" t="n">
        <v>1</v>
      </c>
      <c r="AV31" s="28" t="n">
        <v>1</v>
      </c>
      <c r="AW31" s="28" t="n">
        <v>1</v>
      </c>
      <c r="AX31" s="28" t="n">
        <v>1</v>
      </c>
      <c r="AY31" s="28" t="n">
        <v>1</v>
      </c>
      <c r="AZ31" s="28" t="n">
        <v>1</v>
      </c>
      <c r="BA31" s="28" t="n">
        <v>1</v>
      </c>
      <c r="BB31" s="28" t="n">
        <v>1</v>
      </c>
      <c r="BC31" s="28" t="n">
        <v>1</v>
      </c>
      <c r="BD31" s="28" t="n">
        <v>1</v>
      </c>
      <c r="BE31" s="28" t="n">
        <v>1</v>
      </c>
      <c r="BF31" s="28" t="n">
        <v>1</v>
      </c>
      <c r="BG31" s="28" t="n">
        <v>1</v>
      </c>
      <c r="BH31" s="28" t="n">
        <v>0.9879559999999999</v>
      </c>
      <c r="BI31" s="28" t="n">
        <v>0.934937</v>
      </c>
      <c r="BJ31" s="28" t="n">
        <v>0.877678</v>
      </c>
      <c r="BK31" s="28" t="n">
        <v>0.81668</v>
      </c>
      <c r="BL31" s="28" t="n">
        <v>0.752487</v>
      </c>
      <c r="BM31" s="28" t="n">
        <v>0.685683</v>
      </c>
      <c r="BN31" s="28" t="n">
        <v>0.6168940000000001</v>
      </c>
      <c r="BO31" s="28" t="n">
        <v>0.546783</v>
      </c>
      <c r="BP31" s="28" t="n">
        <v>0.47606</v>
      </c>
      <c r="BQ31" s="28" t="n">
        <v>0.405477</v>
      </c>
      <c r="BR31" s="28" t="n">
        <v>0.335849</v>
      </c>
      <c r="BS31" s="28" t="n">
        <v>0.268061</v>
      </c>
      <c r="BT31" s="28" t="n">
        <v>0.203112</v>
      </c>
      <c r="BU31" s="28" t="n">
        <v>0.142173</v>
      </c>
      <c r="BV31" s="28" t="n">
        <v>0.08674999999999999</v>
      </c>
      <c r="BW31" s="28" t="n">
        <v>0.039094</v>
      </c>
      <c r="BX31" s="28" t="n">
        <v>0.00419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  <c r="CT31" s="28" t="n">
        <v>0</v>
      </c>
    </row>
    <row r="32">
      <c r="A32" s="6" t="inlineStr">
        <is>
          <t>P12|5</t>
        </is>
      </c>
      <c r="B32" s="6" t="inlineStr">
        <is>
          <t>May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8" t="n">
        <v>0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8" t="n">
        <v>0</v>
      </c>
      <c r="AA32" s="28" t="n">
        <v>0.0233</v>
      </c>
      <c r="AB32" s="28" t="n">
        <v>0.060282</v>
      </c>
      <c r="AC32" s="28" t="n">
        <v>0.104366</v>
      </c>
      <c r="AD32" s="28" t="n">
        <v>0.153419</v>
      </c>
      <c r="AE32" s="28" t="n">
        <v>0.206115</v>
      </c>
      <c r="AF32" s="28" t="n">
        <v>0.261458</v>
      </c>
      <c r="AG32" s="28" t="n">
        <v>0.318618</v>
      </c>
      <c r="AH32" s="28" t="n">
        <v>0.376868</v>
      </c>
      <c r="AI32" s="28" t="n">
        <v>0.435548</v>
      </c>
      <c r="AJ32" s="28" t="n">
        <v>0.494046</v>
      </c>
      <c r="AK32" s="28" t="n">
        <v>0.551789</v>
      </c>
      <c r="AL32" s="28" t="n">
        <v>0.6082379999999999</v>
      </c>
      <c r="AM32" s="28" t="n">
        <v>0.662888</v>
      </c>
      <c r="AN32" s="28" t="n">
        <v>0.715261</v>
      </c>
      <c r="AO32" s="28" t="n">
        <v>0.764911</v>
      </c>
      <c r="AP32" s="28" t="n">
        <v>0.811423</v>
      </c>
      <c r="AQ32" s="28" t="n">
        <v>0.854415</v>
      </c>
      <c r="AR32" s="28" t="n">
        <v>0.893537</v>
      </c>
      <c r="AS32" s="28" t="n">
        <v>0.928474</v>
      </c>
      <c r="AT32" s="28" t="n">
        <v>0.9589490000000001</v>
      </c>
      <c r="AU32" s="28" t="n">
        <v>0.984719</v>
      </c>
      <c r="AV32" s="28" t="n">
        <v>1</v>
      </c>
      <c r="AW32" s="28" t="n">
        <v>1</v>
      </c>
      <c r="AX32" s="28" t="n">
        <v>1</v>
      </c>
      <c r="AY32" s="28" t="n">
        <v>1</v>
      </c>
      <c r="AZ32" s="28" t="n">
        <v>1</v>
      </c>
      <c r="BA32" s="28" t="n">
        <v>1</v>
      </c>
      <c r="BB32" s="28" t="n">
        <v>1</v>
      </c>
      <c r="BC32" s="28" t="n">
        <v>1</v>
      </c>
      <c r="BD32" s="28" t="n">
        <v>0.984719</v>
      </c>
      <c r="BE32" s="28" t="n">
        <v>0.9589490000000001</v>
      </c>
      <c r="BF32" s="28" t="n">
        <v>0.928474</v>
      </c>
      <c r="BG32" s="28" t="n">
        <v>0.893537</v>
      </c>
      <c r="BH32" s="28" t="n">
        <v>0.854415</v>
      </c>
      <c r="BI32" s="28" t="n">
        <v>0.811423</v>
      </c>
      <c r="BJ32" s="28" t="n">
        <v>0.764911</v>
      </c>
      <c r="BK32" s="28" t="n">
        <v>0.715261</v>
      </c>
      <c r="BL32" s="28" t="n">
        <v>0.662888</v>
      </c>
      <c r="BM32" s="28" t="n">
        <v>0.6082379999999999</v>
      </c>
      <c r="BN32" s="28" t="n">
        <v>0.551789</v>
      </c>
      <c r="BO32" s="28" t="n">
        <v>0.494046</v>
      </c>
      <c r="BP32" s="28" t="n">
        <v>0.435548</v>
      </c>
      <c r="BQ32" s="28" t="n">
        <v>0.376868</v>
      </c>
      <c r="BR32" s="28" t="n">
        <v>0.318618</v>
      </c>
      <c r="BS32" s="28" t="n">
        <v>0.261458</v>
      </c>
      <c r="BT32" s="28" t="n">
        <v>0.206115</v>
      </c>
      <c r="BU32" s="28" t="n">
        <v>0.153419</v>
      </c>
      <c r="BV32" s="28" t="n">
        <v>0.104366</v>
      </c>
      <c r="BW32" s="28" t="n">
        <v>0.060282</v>
      </c>
      <c r="BX32" s="28" t="n">
        <v>0.0233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8" t="n">
        <v>0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  <c r="CT32" s="28" t="n">
        <v>0</v>
      </c>
    </row>
    <row r="33">
      <c r="A33" s="6" t="inlineStr">
        <is>
          <t>P12|6</t>
        </is>
      </c>
      <c r="B33" s="6" t="inlineStr">
        <is>
          <t>Jun</t>
        </is>
      </c>
      <c r="C33" s="28" t="n">
        <v>0</v>
      </c>
      <c r="D33" s="28" t="n">
        <v>0</v>
      </c>
      <c r="E33" s="28" t="n">
        <v>0</v>
      </c>
      <c r="F33" s="28" t="n">
        <v>0</v>
      </c>
      <c r="G33" s="28" t="n">
        <v>0</v>
      </c>
      <c r="H33" s="28" t="n">
        <v>0</v>
      </c>
      <c r="I33" s="28" t="n">
        <v>0</v>
      </c>
      <c r="J33" s="28" t="n">
        <v>0</v>
      </c>
      <c r="K33" s="28" t="n">
        <v>0</v>
      </c>
      <c r="L33" s="28" t="n">
        <v>0</v>
      </c>
      <c r="M33" s="28" t="n">
        <v>0</v>
      </c>
      <c r="N33" s="28" t="n">
        <v>0</v>
      </c>
      <c r="O33" s="28" t="n">
        <v>0</v>
      </c>
      <c r="P33" s="28" t="n">
        <v>0</v>
      </c>
      <c r="Q33" s="28" t="n">
        <v>0</v>
      </c>
      <c r="R33" s="28" t="n">
        <v>0</v>
      </c>
      <c r="S33" s="28" t="n">
        <v>0</v>
      </c>
      <c r="T33" s="28" t="n">
        <v>0</v>
      </c>
      <c r="U33" s="28" t="n">
        <v>0</v>
      </c>
      <c r="V33" s="28" t="n">
        <v>0</v>
      </c>
      <c r="W33" s="28" t="n">
        <v>0</v>
      </c>
      <c r="X33" s="28" t="n">
        <v>0</v>
      </c>
      <c r="Y33" s="28" t="n">
        <v>0</v>
      </c>
      <c r="Z33" s="28" t="n">
        <v>0.00431</v>
      </c>
      <c r="AA33" s="28" t="n">
        <v>0.027984</v>
      </c>
      <c r="AB33" s="28" t="n">
        <v>0.059391</v>
      </c>
      <c r="AC33" s="28" t="n">
        <v>0.095676</v>
      </c>
      <c r="AD33" s="28" t="n">
        <v>0.135474</v>
      </c>
      <c r="AE33" s="28" t="n">
        <v>0.177864</v>
      </c>
      <c r="AF33" s="28" t="n">
        <v>0.222124</v>
      </c>
      <c r="AG33" s="28" t="n">
        <v>0.267643</v>
      </c>
      <c r="AH33" s="28" t="n">
        <v>0.313877</v>
      </c>
      <c r="AI33" s="28" t="n">
        <v>0.360326</v>
      </c>
      <c r="AJ33" s="28" t="n">
        <v>0.406529</v>
      </c>
      <c r="AK33" s="28" t="n">
        <v>0.45205</v>
      </c>
      <c r="AL33" s="28" t="n">
        <v>0.49648</v>
      </c>
      <c r="AM33" s="28" t="n">
        <v>0.5394330000000001</v>
      </c>
      <c r="AN33" s="28" t="n">
        <v>0.580548</v>
      </c>
      <c r="AO33" s="28" t="n">
        <v>0.619484</v>
      </c>
      <c r="AP33" s="28" t="n">
        <v>0.655926</v>
      </c>
      <c r="AQ33" s="28" t="n">
        <v>0.6895829999999999</v>
      </c>
      <c r="AR33" s="28" t="n">
        <v>0.72019</v>
      </c>
      <c r="AS33" s="28" t="n">
        <v>0.747506</v>
      </c>
      <c r="AT33" s="28" t="n">
        <v>0.771322</v>
      </c>
      <c r="AU33" s="28" t="n">
        <v>0.791452</v>
      </c>
      <c r="AV33" s="28" t="n">
        <v>0.807744</v>
      </c>
      <c r="AW33" s="28" t="n">
        <v>0.820072</v>
      </c>
      <c r="AX33" s="28" t="n">
        <v>0.8283430000000001</v>
      </c>
      <c r="AY33" s="28" t="n">
        <v>0.832495</v>
      </c>
      <c r="AZ33" s="28" t="n">
        <v>0.832495</v>
      </c>
      <c r="BA33" s="28" t="n">
        <v>0.8283430000000001</v>
      </c>
      <c r="BB33" s="28" t="n">
        <v>0.820072</v>
      </c>
      <c r="BC33" s="28" t="n">
        <v>0.807744</v>
      </c>
      <c r="BD33" s="28" t="n">
        <v>0.791452</v>
      </c>
      <c r="BE33" s="28" t="n">
        <v>0.771322</v>
      </c>
      <c r="BF33" s="28" t="n">
        <v>0.747506</v>
      </c>
      <c r="BG33" s="28" t="n">
        <v>0.72019</v>
      </c>
      <c r="BH33" s="28" t="n">
        <v>0.6895829999999999</v>
      </c>
      <c r="BI33" s="28" t="n">
        <v>0.655926</v>
      </c>
      <c r="BJ33" s="28" t="n">
        <v>0.619484</v>
      </c>
      <c r="BK33" s="28" t="n">
        <v>0.580548</v>
      </c>
      <c r="BL33" s="28" t="n">
        <v>0.5394330000000001</v>
      </c>
      <c r="BM33" s="28" t="n">
        <v>0.49648</v>
      </c>
      <c r="BN33" s="28" t="n">
        <v>0.45205</v>
      </c>
      <c r="BO33" s="28" t="n">
        <v>0.406529</v>
      </c>
      <c r="BP33" s="28" t="n">
        <v>0.360326</v>
      </c>
      <c r="BQ33" s="28" t="n">
        <v>0.313877</v>
      </c>
      <c r="BR33" s="28" t="n">
        <v>0.267643</v>
      </c>
      <c r="BS33" s="28" t="n">
        <v>0.222124</v>
      </c>
      <c r="BT33" s="28" t="n">
        <v>0.177864</v>
      </c>
      <c r="BU33" s="28" t="n">
        <v>0.135474</v>
      </c>
      <c r="BV33" s="28" t="n">
        <v>0.095676</v>
      </c>
      <c r="BW33" s="28" t="n">
        <v>0.059391</v>
      </c>
      <c r="BX33" s="28" t="n">
        <v>0.027984</v>
      </c>
      <c r="BY33" s="28" t="n">
        <v>0.00431</v>
      </c>
      <c r="BZ33" s="28" t="n">
        <v>0</v>
      </c>
      <c r="CA33" s="28" t="n">
        <v>0</v>
      </c>
      <c r="CB33" s="28" t="n">
        <v>0</v>
      </c>
      <c r="CC33" s="28" t="n">
        <v>0</v>
      </c>
      <c r="CD33" s="28" t="n">
        <v>0</v>
      </c>
      <c r="CE33" s="28" t="n">
        <v>0</v>
      </c>
      <c r="CF33" s="28" t="n">
        <v>0</v>
      </c>
      <c r="CG33" s="28" t="n">
        <v>0</v>
      </c>
      <c r="CH33" s="28" t="n">
        <v>0</v>
      </c>
      <c r="CI33" s="28" t="n">
        <v>0</v>
      </c>
      <c r="CJ33" s="28" t="n">
        <v>0</v>
      </c>
      <c r="CK33" s="28" t="n">
        <v>0</v>
      </c>
      <c r="CL33" s="28" t="n">
        <v>0</v>
      </c>
      <c r="CM33" s="28" t="n">
        <v>0</v>
      </c>
      <c r="CN33" s="28" t="n">
        <v>0</v>
      </c>
      <c r="CO33" s="28" t="n">
        <v>0</v>
      </c>
      <c r="CP33" s="28" t="n">
        <v>0</v>
      </c>
      <c r="CQ33" s="28" t="n">
        <v>0</v>
      </c>
      <c r="CR33" s="28" t="n">
        <v>0</v>
      </c>
      <c r="CS33" s="28" t="n">
        <v>0</v>
      </c>
      <c r="CT33" s="28" t="n">
        <v>0</v>
      </c>
    </row>
    <row r="34">
      <c r="A34" s="6" t="inlineStr">
        <is>
          <t>P12|7</t>
        </is>
      </c>
      <c r="B34" s="6" t="inlineStr">
        <is>
          <t>Jul</t>
        </is>
      </c>
      <c r="C34" s="28" t="n">
        <v>0</v>
      </c>
      <c r="D34" s="28" t="n">
        <v>0</v>
      </c>
      <c r="E34" s="28" t="n">
        <v>0</v>
      </c>
      <c r="F34" s="28" t="n">
        <v>0</v>
      </c>
      <c r="G34" s="28" t="n">
        <v>0</v>
      </c>
      <c r="H34" s="28" t="n">
        <v>0</v>
      </c>
      <c r="I34" s="28" t="n">
        <v>0</v>
      </c>
      <c r="J34" s="28" t="n">
        <v>0</v>
      </c>
      <c r="K34" s="28" t="n">
        <v>0</v>
      </c>
      <c r="L34" s="28" t="n">
        <v>0</v>
      </c>
      <c r="M34" s="28" t="n">
        <v>0</v>
      </c>
      <c r="N34" s="28" t="n">
        <v>0</v>
      </c>
      <c r="O34" s="28" t="n">
        <v>0</v>
      </c>
      <c r="P34" s="28" t="n">
        <v>0</v>
      </c>
      <c r="Q34" s="28" t="n">
        <v>0</v>
      </c>
      <c r="R34" s="28" t="n">
        <v>0</v>
      </c>
      <c r="S34" s="28" t="n">
        <v>0</v>
      </c>
      <c r="T34" s="28" t="n">
        <v>0</v>
      </c>
      <c r="U34" s="28" t="n">
        <v>0</v>
      </c>
      <c r="V34" s="28" t="n">
        <v>0</v>
      </c>
      <c r="W34" s="28" t="n">
        <v>0</v>
      </c>
      <c r="X34" s="28" t="n">
        <v>0</v>
      </c>
      <c r="Y34" s="28" t="n">
        <v>0</v>
      </c>
      <c r="Z34" s="28" t="n">
        <v>0.00143</v>
      </c>
      <c r="AA34" s="28" t="n">
        <v>0.02177</v>
      </c>
      <c r="AB34" s="28" t="n">
        <v>0.050433</v>
      </c>
      <c r="AC34" s="28" t="n">
        <v>0.084024</v>
      </c>
      <c r="AD34" s="28" t="n">
        <v>0.12112</v>
      </c>
      <c r="AE34" s="28" t="n">
        <v>0.160794</v>
      </c>
      <c r="AF34" s="28" t="n">
        <v>0.202337</v>
      </c>
      <c r="AG34" s="28" t="n">
        <v>0.24515</v>
      </c>
      <c r="AH34" s="28" t="n">
        <v>0.288707</v>
      </c>
      <c r="AI34" s="28" t="n">
        <v>0.332524</v>
      </c>
      <c r="AJ34" s="28" t="n">
        <v>0.376157</v>
      </c>
      <c r="AK34" s="28" t="n">
        <v>0.419185</v>
      </c>
      <c r="AL34" s="28" t="n">
        <v>0.461216</v>
      </c>
      <c r="AM34" s="28" t="n">
        <v>0.501878</v>
      </c>
      <c r="AN34" s="28" t="n">
        <v>0.540822</v>
      </c>
      <c r="AO34" s="28" t="n">
        <v>0.577722</v>
      </c>
      <c r="AP34" s="28" t="n">
        <v>0.612274</v>
      </c>
      <c r="AQ34" s="28" t="n">
        <v>0.644199</v>
      </c>
      <c r="AR34" s="28" t="n">
        <v>0.673239</v>
      </c>
      <c r="AS34" s="28" t="n">
        <v>0.699166</v>
      </c>
      <c r="AT34" s="28" t="n">
        <v>0.7217750000000001</v>
      </c>
      <c r="AU34" s="28" t="n">
        <v>0.74089</v>
      </c>
      <c r="AV34" s="28" t="n">
        <v>0.756362</v>
      </c>
      <c r="AW34" s="28" t="n">
        <v>0.7680709999999999</v>
      </c>
      <c r="AX34" s="28" t="n">
        <v>0.775928</v>
      </c>
      <c r="AY34" s="28" t="n">
        <v>0.779872</v>
      </c>
      <c r="AZ34" s="28" t="n">
        <v>0.779872</v>
      </c>
      <c r="BA34" s="28" t="n">
        <v>0.775928</v>
      </c>
      <c r="BB34" s="28" t="n">
        <v>0.7680709999999999</v>
      </c>
      <c r="BC34" s="28" t="n">
        <v>0.756362</v>
      </c>
      <c r="BD34" s="28" t="n">
        <v>0.74089</v>
      </c>
      <c r="BE34" s="28" t="n">
        <v>0.7217750000000001</v>
      </c>
      <c r="BF34" s="28" t="n">
        <v>0.699166</v>
      </c>
      <c r="BG34" s="28" t="n">
        <v>0.673239</v>
      </c>
      <c r="BH34" s="28" t="n">
        <v>0.644199</v>
      </c>
      <c r="BI34" s="28" t="n">
        <v>0.612274</v>
      </c>
      <c r="BJ34" s="28" t="n">
        <v>0.577722</v>
      </c>
      <c r="BK34" s="28" t="n">
        <v>0.540822</v>
      </c>
      <c r="BL34" s="28" t="n">
        <v>0.501878</v>
      </c>
      <c r="BM34" s="28" t="n">
        <v>0.461216</v>
      </c>
      <c r="BN34" s="28" t="n">
        <v>0.419185</v>
      </c>
      <c r="BO34" s="28" t="n">
        <v>0.376157</v>
      </c>
      <c r="BP34" s="28" t="n">
        <v>0.332524</v>
      </c>
      <c r="BQ34" s="28" t="n">
        <v>0.288707</v>
      </c>
      <c r="BR34" s="28" t="n">
        <v>0.24515</v>
      </c>
      <c r="BS34" s="28" t="n">
        <v>0.202337</v>
      </c>
      <c r="BT34" s="28" t="n">
        <v>0.160794</v>
      </c>
      <c r="BU34" s="28" t="n">
        <v>0.12112</v>
      </c>
      <c r="BV34" s="28" t="n">
        <v>0.084024</v>
      </c>
      <c r="BW34" s="28" t="n">
        <v>0.050433</v>
      </c>
      <c r="BX34" s="28" t="n">
        <v>0.02177</v>
      </c>
      <c r="BY34" s="28" t="n">
        <v>0.00143</v>
      </c>
      <c r="BZ34" s="28" t="n">
        <v>0</v>
      </c>
      <c r="CA34" s="28" t="n">
        <v>0</v>
      </c>
      <c r="CB34" s="28" t="n">
        <v>0</v>
      </c>
      <c r="CC34" s="28" t="n">
        <v>0</v>
      </c>
      <c r="CD34" s="28" t="n">
        <v>0</v>
      </c>
      <c r="CE34" s="28" t="n">
        <v>0</v>
      </c>
      <c r="CF34" s="28" t="n">
        <v>0</v>
      </c>
      <c r="CG34" s="28" t="n">
        <v>0</v>
      </c>
      <c r="CH34" s="28" t="n">
        <v>0</v>
      </c>
      <c r="CI34" s="28" t="n">
        <v>0</v>
      </c>
      <c r="CJ34" s="28" t="n">
        <v>0</v>
      </c>
      <c r="CK34" s="28" t="n">
        <v>0</v>
      </c>
      <c r="CL34" s="28" t="n">
        <v>0</v>
      </c>
      <c r="CM34" s="28" t="n">
        <v>0</v>
      </c>
      <c r="CN34" s="28" t="n">
        <v>0</v>
      </c>
      <c r="CO34" s="28" t="n">
        <v>0</v>
      </c>
      <c r="CP34" s="28" t="n">
        <v>0</v>
      </c>
      <c r="CQ34" s="28" t="n">
        <v>0</v>
      </c>
      <c r="CR34" s="28" t="n">
        <v>0</v>
      </c>
      <c r="CS34" s="28" t="n">
        <v>0</v>
      </c>
      <c r="CT34" s="28" t="n">
        <v>0</v>
      </c>
    </row>
    <row r="35">
      <c r="A35" s="6" t="inlineStr">
        <is>
          <t>P12|8</t>
        </is>
      </c>
      <c r="B35" s="6" t="inlineStr">
        <is>
          <t>Aug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8" t="n">
        <v>0</v>
      </c>
      <c r="K35" s="28" t="n">
        <v>0</v>
      </c>
      <c r="L35" s="28" t="n">
        <v>0</v>
      </c>
      <c r="M35" s="28" t="n">
        <v>0</v>
      </c>
      <c r="N35" s="28" t="n">
        <v>0</v>
      </c>
      <c r="O35" s="28" t="n">
        <v>0</v>
      </c>
      <c r="P35" s="28" t="n">
        <v>0</v>
      </c>
      <c r="Q35" s="28" t="n">
        <v>0</v>
      </c>
      <c r="R35" s="28" t="n">
        <v>0</v>
      </c>
      <c r="S35" s="28" t="n">
        <v>0</v>
      </c>
      <c r="T35" s="28" t="n">
        <v>0</v>
      </c>
      <c r="U35" s="28" t="n">
        <v>0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0.008260999999999999</v>
      </c>
      <c r="AB35" s="28" t="n">
        <v>0.035132</v>
      </c>
      <c r="AC35" s="28" t="n">
        <v>0.06929</v>
      </c>
      <c r="AD35" s="28" t="n">
        <v>0.108227</v>
      </c>
      <c r="AE35" s="28" t="n">
        <v>0.150612</v>
      </c>
      <c r="AF35" s="28" t="n">
        <v>0.195509</v>
      </c>
      <c r="AG35" s="28" t="n">
        <v>0.242166</v>
      </c>
      <c r="AH35" s="28" t="n">
        <v>0.289937</v>
      </c>
      <c r="AI35" s="28" t="n">
        <v>0.338241</v>
      </c>
      <c r="AJ35" s="28" t="n">
        <v>0.386542</v>
      </c>
      <c r="AK35" s="28" t="n">
        <v>0.434342</v>
      </c>
      <c r="AL35" s="28" t="n">
        <v>0.481174</v>
      </c>
      <c r="AM35" s="28" t="n">
        <v>0.526597</v>
      </c>
      <c r="AN35" s="28" t="n">
        <v>0.570199</v>
      </c>
      <c r="AO35" s="28" t="n">
        <v>0.6115930000000001</v>
      </c>
      <c r="AP35" s="28" t="n">
        <v>0.6504180000000001</v>
      </c>
      <c r="AQ35" s="28" t="n">
        <v>0.686343</v>
      </c>
      <c r="AR35" s="28" t="n">
        <v>0.719065</v>
      </c>
      <c r="AS35" s="28" t="n">
        <v>0.748309</v>
      </c>
      <c r="AT35" s="28" t="n">
        <v>0.7738350000000001</v>
      </c>
      <c r="AU35" s="28" t="n">
        <v>0.795432</v>
      </c>
      <c r="AV35" s="28" t="n">
        <v>0.812924</v>
      </c>
      <c r="AW35" s="28" t="n">
        <v>0.826169</v>
      </c>
      <c r="AX35" s="28" t="n">
        <v>0.835058</v>
      </c>
      <c r="AY35" s="28" t="n">
        <v>0.839521</v>
      </c>
      <c r="AZ35" s="28" t="n">
        <v>0.839521</v>
      </c>
      <c r="BA35" s="28" t="n">
        <v>0.835058</v>
      </c>
      <c r="BB35" s="28" t="n">
        <v>0.826169</v>
      </c>
      <c r="BC35" s="28" t="n">
        <v>0.812924</v>
      </c>
      <c r="BD35" s="28" t="n">
        <v>0.795432</v>
      </c>
      <c r="BE35" s="28" t="n">
        <v>0.7738350000000001</v>
      </c>
      <c r="BF35" s="28" t="n">
        <v>0.748309</v>
      </c>
      <c r="BG35" s="28" t="n">
        <v>0.719065</v>
      </c>
      <c r="BH35" s="28" t="n">
        <v>0.686343</v>
      </c>
      <c r="BI35" s="28" t="n">
        <v>0.6504180000000001</v>
      </c>
      <c r="BJ35" s="28" t="n">
        <v>0.6115930000000001</v>
      </c>
      <c r="BK35" s="28" t="n">
        <v>0.570199</v>
      </c>
      <c r="BL35" s="28" t="n">
        <v>0.526597</v>
      </c>
      <c r="BM35" s="28" t="n">
        <v>0.481174</v>
      </c>
      <c r="BN35" s="28" t="n">
        <v>0.434342</v>
      </c>
      <c r="BO35" s="28" t="n">
        <v>0.386542</v>
      </c>
      <c r="BP35" s="28" t="n">
        <v>0.338241</v>
      </c>
      <c r="BQ35" s="28" t="n">
        <v>0.289937</v>
      </c>
      <c r="BR35" s="28" t="n">
        <v>0.242166</v>
      </c>
      <c r="BS35" s="28" t="n">
        <v>0.195509</v>
      </c>
      <c r="BT35" s="28" t="n">
        <v>0.150612</v>
      </c>
      <c r="BU35" s="28" t="n">
        <v>0.108227</v>
      </c>
      <c r="BV35" s="28" t="n">
        <v>0.06929</v>
      </c>
      <c r="BW35" s="28" t="n">
        <v>0.035132</v>
      </c>
      <c r="BX35" s="28" t="n">
        <v>0.008260999999999999</v>
      </c>
      <c r="BY35" s="28" t="n">
        <v>0</v>
      </c>
      <c r="BZ35" s="28" t="n">
        <v>0</v>
      </c>
      <c r="CA35" s="28" t="n">
        <v>0</v>
      </c>
      <c r="CB35" s="28" t="n">
        <v>0</v>
      </c>
      <c r="CC35" s="28" t="n">
        <v>0</v>
      </c>
      <c r="CD35" s="28" t="n">
        <v>0</v>
      </c>
      <c r="CE35" s="28" t="n">
        <v>0</v>
      </c>
      <c r="CF35" s="28" t="n">
        <v>0</v>
      </c>
      <c r="CG35" s="28" t="n">
        <v>0</v>
      </c>
      <c r="CH35" s="28" t="n">
        <v>0</v>
      </c>
      <c r="CI35" s="28" t="n">
        <v>0</v>
      </c>
      <c r="CJ35" s="28" t="n">
        <v>0</v>
      </c>
      <c r="CK35" s="28" t="n">
        <v>0</v>
      </c>
      <c r="CL35" s="28" t="n">
        <v>0</v>
      </c>
      <c r="CM35" s="28" t="n">
        <v>0</v>
      </c>
      <c r="CN35" s="28" t="n">
        <v>0</v>
      </c>
      <c r="CO35" s="28" t="n">
        <v>0</v>
      </c>
      <c r="CP35" s="28" t="n">
        <v>0</v>
      </c>
      <c r="CQ35" s="28" t="n">
        <v>0</v>
      </c>
      <c r="CR35" s="28" t="n">
        <v>0</v>
      </c>
      <c r="CS35" s="28" t="n">
        <v>0</v>
      </c>
      <c r="CT35" s="28" t="n">
        <v>0</v>
      </c>
    </row>
    <row r="36">
      <c r="A36" s="6" t="inlineStr">
        <is>
          <t>P12|9</t>
        </is>
      </c>
      <c r="B36" s="6" t="inlineStr">
        <is>
          <t>Sep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</v>
      </c>
      <c r="Q36" s="28" t="n">
        <v>0</v>
      </c>
      <c r="R36" s="28" t="n">
        <v>0</v>
      </c>
      <c r="S36" s="28" t="n">
        <v>0</v>
      </c>
      <c r="T36" s="28" t="n">
        <v>0</v>
      </c>
      <c r="U36" s="28" t="n">
        <v>0</v>
      </c>
      <c r="V36" s="28" t="n">
        <v>0</v>
      </c>
      <c r="W36" s="28" t="n">
        <v>0</v>
      </c>
      <c r="X36" s="28" t="n">
        <v>0</v>
      </c>
      <c r="Y36" s="28" t="n">
        <v>0</v>
      </c>
      <c r="Z36" s="28" t="n">
        <v>0</v>
      </c>
      <c r="AA36" s="28" t="n">
        <v>0</v>
      </c>
      <c r="AB36" s="28" t="n">
        <v>0.013524</v>
      </c>
      <c r="AC36" s="28" t="n">
        <v>0.046987</v>
      </c>
      <c r="AD36" s="28" t="n">
        <v>0.088491</v>
      </c>
      <c r="AE36" s="28" t="n">
        <v>0.135366</v>
      </c>
      <c r="AF36" s="28" t="n">
        <v>0.1861</v>
      </c>
      <c r="AG36" s="28" t="n">
        <v>0.239595</v>
      </c>
      <c r="AH36" s="28" t="n">
        <v>0.294953</v>
      </c>
      <c r="AI36" s="28" t="n">
        <v>0.351393</v>
      </c>
      <c r="AJ36" s="28" t="n">
        <v>0.408206</v>
      </c>
      <c r="AK36" s="28" t="n">
        <v>0.464741</v>
      </c>
      <c r="AL36" s="28" t="n">
        <v>0.520387</v>
      </c>
      <c r="AM36" s="28" t="n">
        <v>0.574574</v>
      </c>
      <c r="AN36" s="28" t="n">
        <v>0.626765</v>
      </c>
      <c r="AO36" s="28" t="n">
        <v>0.676459</v>
      </c>
      <c r="AP36" s="28" t="n">
        <v>0.7231880000000001</v>
      </c>
      <c r="AQ36" s="28" t="n">
        <v>0.766522</v>
      </c>
      <c r="AR36" s="28" t="n">
        <v>0.8060659999999999</v>
      </c>
      <c r="AS36" s="28" t="n">
        <v>0.841467</v>
      </c>
      <c r="AT36" s="28" t="n">
        <v>0.872408</v>
      </c>
      <c r="AU36" s="28" t="n">
        <v>0.898616</v>
      </c>
      <c r="AV36" s="28" t="n">
        <v>0.919862</v>
      </c>
      <c r="AW36" s="28" t="n">
        <v>0.935961</v>
      </c>
      <c r="AX36" s="28" t="n">
        <v>0.9467719999999999</v>
      </c>
      <c r="AY36" s="28" t="n">
        <v>0.9522</v>
      </c>
      <c r="AZ36" s="28" t="n">
        <v>0.9522</v>
      </c>
      <c r="BA36" s="28" t="n">
        <v>0.9467719999999999</v>
      </c>
      <c r="BB36" s="28" t="n">
        <v>0.935961</v>
      </c>
      <c r="BC36" s="28" t="n">
        <v>0.919862</v>
      </c>
      <c r="BD36" s="28" t="n">
        <v>0.898616</v>
      </c>
      <c r="BE36" s="28" t="n">
        <v>0.872408</v>
      </c>
      <c r="BF36" s="28" t="n">
        <v>0.841467</v>
      </c>
      <c r="BG36" s="28" t="n">
        <v>0.8060659999999999</v>
      </c>
      <c r="BH36" s="28" t="n">
        <v>0.766522</v>
      </c>
      <c r="BI36" s="28" t="n">
        <v>0.7231880000000001</v>
      </c>
      <c r="BJ36" s="28" t="n">
        <v>0.676459</v>
      </c>
      <c r="BK36" s="28" t="n">
        <v>0.626765</v>
      </c>
      <c r="BL36" s="28" t="n">
        <v>0.574574</v>
      </c>
      <c r="BM36" s="28" t="n">
        <v>0.520387</v>
      </c>
      <c r="BN36" s="28" t="n">
        <v>0.464741</v>
      </c>
      <c r="BO36" s="28" t="n">
        <v>0.408206</v>
      </c>
      <c r="BP36" s="28" t="n">
        <v>0.351393</v>
      </c>
      <c r="BQ36" s="28" t="n">
        <v>0.294953</v>
      </c>
      <c r="BR36" s="28" t="n">
        <v>0.239595</v>
      </c>
      <c r="BS36" s="28" t="n">
        <v>0.1861</v>
      </c>
      <c r="BT36" s="28" t="n">
        <v>0.135366</v>
      </c>
      <c r="BU36" s="28" t="n">
        <v>0.088491</v>
      </c>
      <c r="BV36" s="28" t="n">
        <v>0.046987</v>
      </c>
      <c r="BW36" s="28" t="n">
        <v>0.013524</v>
      </c>
      <c r="BX36" s="28" t="n">
        <v>0</v>
      </c>
      <c r="BY36" s="28" t="n">
        <v>0</v>
      </c>
      <c r="BZ36" s="28" t="n">
        <v>0</v>
      </c>
      <c r="CA36" s="28" t="n">
        <v>0</v>
      </c>
      <c r="CB36" s="28" t="n">
        <v>0</v>
      </c>
      <c r="CC36" s="28" t="n">
        <v>0</v>
      </c>
      <c r="CD36" s="28" t="n">
        <v>0</v>
      </c>
      <c r="CE36" s="28" t="n">
        <v>0</v>
      </c>
      <c r="CF36" s="28" t="n">
        <v>0</v>
      </c>
      <c r="CG36" s="28" t="n">
        <v>0</v>
      </c>
      <c r="CH36" s="28" t="n">
        <v>0</v>
      </c>
      <c r="CI36" s="28" t="n">
        <v>0</v>
      </c>
      <c r="CJ36" s="28" t="n">
        <v>0</v>
      </c>
      <c r="CK36" s="28" t="n">
        <v>0</v>
      </c>
      <c r="CL36" s="28" t="n">
        <v>0</v>
      </c>
      <c r="CM36" s="28" t="n">
        <v>0</v>
      </c>
      <c r="CN36" s="28" t="n">
        <v>0</v>
      </c>
      <c r="CO36" s="28" t="n">
        <v>0</v>
      </c>
      <c r="CP36" s="28" t="n">
        <v>0</v>
      </c>
      <c r="CQ36" s="28" t="n">
        <v>0</v>
      </c>
      <c r="CR36" s="28" t="n">
        <v>0</v>
      </c>
      <c r="CS36" s="28" t="n">
        <v>0</v>
      </c>
      <c r="CT36" s="28" t="n">
        <v>0</v>
      </c>
    </row>
    <row r="37">
      <c r="A37" s="6" t="inlineStr">
        <is>
          <t>P12|10</t>
        </is>
      </c>
      <c r="B37" s="6" t="inlineStr">
        <is>
          <t>Oct</t>
        </is>
      </c>
      <c r="C37" s="28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</v>
      </c>
      <c r="O37" s="28" t="n">
        <v>0</v>
      </c>
      <c r="P37" s="28" t="n">
        <v>0</v>
      </c>
      <c r="Q37" s="28" t="n">
        <v>0</v>
      </c>
      <c r="R37" s="28" t="n">
        <v>0</v>
      </c>
      <c r="S37" s="28" t="n">
        <v>0</v>
      </c>
      <c r="T37" s="28" t="n">
        <v>0</v>
      </c>
      <c r="U37" s="28" t="n">
        <v>0</v>
      </c>
      <c r="V37" s="28" t="n">
        <v>0</v>
      </c>
      <c r="W37" s="28" t="n">
        <v>0</v>
      </c>
      <c r="X37" s="28" t="n">
        <v>0</v>
      </c>
      <c r="Y37" s="28" t="n">
        <v>0</v>
      </c>
      <c r="Z37" s="28" t="n">
        <v>0</v>
      </c>
      <c r="AA37" s="28" t="n">
        <v>0</v>
      </c>
      <c r="AB37" s="28" t="n">
        <v>0</v>
      </c>
      <c r="AC37" s="28" t="n">
        <v>0.019345</v>
      </c>
      <c r="AD37" s="28" t="n">
        <v>0.059552</v>
      </c>
      <c r="AE37" s="28" t="n">
        <v>0.108608</v>
      </c>
      <c r="AF37" s="28" t="n">
        <v>0.163622</v>
      </c>
      <c r="AG37" s="28" t="n">
        <v>0.222879</v>
      </c>
      <c r="AH37" s="28" t="n">
        <v>0.2851</v>
      </c>
      <c r="AI37" s="28" t="n">
        <v>0.349225</v>
      </c>
      <c r="AJ37" s="28" t="n">
        <v>0.41432</v>
      </c>
      <c r="AK37" s="28" t="n">
        <v>0.47954</v>
      </c>
      <c r="AL37" s="28" t="n">
        <v>0.5440970000000001</v>
      </c>
      <c r="AM37" s="28" t="n">
        <v>0.607262</v>
      </c>
      <c r="AN37" s="28" t="n">
        <v>0.668347</v>
      </c>
      <c r="AO37" s="28" t="n">
        <v>0.726711</v>
      </c>
      <c r="AP37" s="28" t="n">
        <v>0.781759</v>
      </c>
      <c r="AQ37" s="28" t="n">
        <v>0.832939</v>
      </c>
      <c r="AR37" s="28" t="n">
        <v>0.8797469999999999</v>
      </c>
      <c r="AS37" s="28" t="n">
        <v>0.921729</v>
      </c>
      <c r="AT37" s="28" t="n">
        <v>0.9584819999999999</v>
      </c>
      <c r="AU37" s="28" t="n">
        <v>0.989653</v>
      </c>
      <c r="AV37" s="28" t="n">
        <v>1</v>
      </c>
      <c r="AW37" s="28" t="n">
        <v>1</v>
      </c>
      <c r="AX37" s="28" t="n">
        <v>1</v>
      </c>
      <c r="AY37" s="28" t="n">
        <v>1</v>
      </c>
      <c r="AZ37" s="28" t="n">
        <v>1</v>
      </c>
      <c r="BA37" s="28" t="n">
        <v>1</v>
      </c>
      <c r="BB37" s="28" t="n">
        <v>1</v>
      </c>
      <c r="BC37" s="28" t="n">
        <v>1</v>
      </c>
      <c r="BD37" s="28" t="n">
        <v>0.989653</v>
      </c>
      <c r="BE37" s="28" t="n">
        <v>0.9584819999999999</v>
      </c>
      <c r="BF37" s="28" t="n">
        <v>0.921729</v>
      </c>
      <c r="BG37" s="28" t="n">
        <v>0.8797469999999999</v>
      </c>
      <c r="BH37" s="28" t="n">
        <v>0.832939</v>
      </c>
      <c r="BI37" s="28" t="n">
        <v>0.781759</v>
      </c>
      <c r="BJ37" s="28" t="n">
        <v>0.726711</v>
      </c>
      <c r="BK37" s="28" t="n">
        <v>0.668347</v>
      </c>
      <c r="BL37" s="28" t="n">
        <v>0.607262</v>
      </c>
      <c r="BM37" s="28" t="n">
        <v>0.5440970000000001</v>
      </c>
      <c r="BN37" s="28" t="n">
        <v>0.47954</v>
      </c>
      <c r="BO37" s="28" t="n">
        <v>0.41432</v>
      </c>
      <c r="BP37" s="28" t="n">
        <v>0.349225</v>
      </c>
      <c r="BQ37" s="28" t="n">
        <v>0.2851</v>
      </c>
      <c r="BR37" s="28" t="n">
        <v>0.222879</v>
      </c>
      <c r="BS37" s="28" t="n">
        <v>0.163622</v>
      </c>
      <c r="BT37" s="28" t="n">
        <v>0.108608</v>
      </c>
      <c r="BU37" s="28" t="n">
        <v>0.059552</v>
      </c>
      <c r="BV37" s="28" t="n">
        <v>0.019345</v>
      </c>
      <c r="BW37" s="28" t="n">
        <v>0</v>
      </c>
      <c r="BX37" s="28" t="n">
        <v>0</v>
      </c>
      <c r="BY37" s="28" t="n">
        <v>0</v>
      </c>
      <c r="BZ37" s="28" t="n">
        <v>0</v>
      </c>
      <c r="CA37" s="28" t="n">
        <v>0</v>
      </c>
      <c r="CB37" s="28" t="n">
        <v>0</v>
      </c>
      <c r="CC37" s="28" t="n">
        <v>0</v>
      </c>
      <c r="CD37" s="28" t="n">
        <v>0</v>
      </c>
      <c r="CE37" s="28" t="n">
        <v>0</v>
      </c>
      <c r="CF37" s="28" t="n">
        <v>0</v>
      </c>
      <c r="CG37" s="28" t="n">
        <v>0</v>
      </c>
      <c r="CH37" s="28" t="n">
        <v>0</v>
      </c>
      <c r="CI37" s="28" t="n">
        <v>0</v>
      </c>
      <c r="CJ37" s="28" t="n">
        <v>0</v>
      </c>
      <c r="CK37" s="28" t="n">
        <v>0</v>
      </c>
      <c r="CL37" s="28" t="n">
        <v>0</v>
      </c>
      <c r="CM37" s="28" t="n">
        <v>0</v>
      </c>
      <c r="CN37" s="28" t="n">
        <v>0</v>
      </c>
      <c r="CO37" s="28" t="n">
        <v>0</v>
      </c>
      <c r="CP37" s="28" t="n">
        <v>0</v>
      </c>
      <c r="CQ37" s="28" t="n">
        <v>0</v>
      </c>
      <c r="CR37" s="28" t="n">
        <v>0</v>
      </c>
      <c r="CS37" s="28" t="n">
        <v>0</v>
      </c>
      <c r="CT37" s="28" t="n">
        <v>0</v>
      </c>
    </row>
    <row r="38">
      <c r="A38" s="6" t="inlineStr">
        <is>
          <t>P12|11</t>
        </is>
      </c>
      <c r="B38" s="6" t="inlineStr">
        <is>
          <t>Nov</t>
        </is>
      </c>
      <c r="C38" s="28" t="n">
        <v>0</v>
      </c>
      <c r="D38" s="28" t="n">
        <v>0</v>
      </c>
      <c r="E38" s="28" t="n">
        <v>0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8" t="n">
        <v>0</v>
      </c>
      <c r="M38" s="28" t="n">
        <v>0</v>
      </c>
      <c r="N38" s="28" t="n">
        <v>0</v>
      </c>
      <c r="O38" s="28" t="n">
        <v>0</v>
      </c>
      <c r="P38" s="28" t="n">
        <v>0</v>
      </c>
      <c r="Q38" s="28" t="n">
        <v>0</v>
      </c>
      <c r="R38" s="28" t="n">
        <v>0</v>
      </c>
      <c r="S38" s="28" t="n">
        <v>0</v>
      </c>
      <c r="T38" s="28" t="n">
        <v>0</v>
      </c>
      <c r="U38" s="28" t="n">
        <v>0</v>
      </c>
      <c r="V38" s="28" t="n">
        <v>0</v>
      </c>
      <c r="W38" s="28" t="n">
        <v>0</v>
      </c>
      <c r="X38" s="28" t="n">
        <v>0</v>
      </c>
      <c r="Y38" s="28" t="n">
        <v>0</v>
      </c>
      <c r="Z38" s="28" t="n">
        <v>0</v>
      </c>
      <c r="AA38" s="28" t="n">
        <v>0</v>
      </c>
      <c r="AB38" s="28" t="n">
        <v>0</v>
      </c>
      <c r="AC38" s="28" t="n">
        <v>0.000252</v>
      </c>
      <c r="AD38" s="28" t="n">
        <v>0.033888</v>
      </c>
      <c r="AE38" s="28" t="n">
        <v>0.084563</v>
      </c>
      <c r="AF38" s="28" t="n">
        <v>0.144501</v>
      </c>
      <c r="AG38" s="28" t="n">
        <v>0.210793</v>
      </c>
      <c r="AH38" s="28" t="n">
        <v>0.281554</v>
      </c>
      <c r="AI38" s="28" t="n">
        <v>0.355323</v>
      </c>
      <c r="AJ38" s="28" t="n">
        <v>0.430857</v>
      </c>
      <c r="AK38" s="28" t="n">
        <v>0.50705</v>
      </c>
      <c r="AL38" s="28" t="n">
        <v>0.582888</v>
      </c>
      <c r="AM38" s="28" t="n">
        <v>0.65743</v>
      </c>
      <c r="AN38" s="28" t="n">
        <v>0.729797</v>
      </c>
      <c r="AO38" s="28" t="n">
        <v>0.79917</v>
      </c>
      <c r="AP38" s="28" t="n">
        <v>0.864785</v>
      </c>
      <c r="AQ38" s="28" t="n">
        <v>0.925938</v>
      </c>
      <c r="AR38" s="28" t="n">
        <v>0.981982</v>
      </c>
      <c r="AS38" s="28" t="n">
        <v>1</v>
      </c>
      <c r="AT38" s="28" t="n">
        <v>1</v>
      </c>
      <c r="AU38" s="28" t="n">
        <v>1</v>
      </c>
      <c r="AV38" s="28" t="n">
        <v>1</v>
      </c>
      <c r="AW38" s="28" t="n">
        <v>1</v>
      </c>
      <c r="AX38" s="28" t="n">
        <v>1</v>
      </c>
      <c r="AY38" s="28" t="n">
        <v>1</v>
      </c>
      <c r="AZ38" s="28" t="n">
        <v>1</v>
      </c>
      <c r="BA38" s="28" t="n">
        <v>1</v>
      </c>
      <c r="BB38" s="28" t="n">
        <v>1</v>
      </c>
      <c r="BC38" s="28" t="n">
        <v>1</v>
      </c>
      <c r="BD38" s="28" t="n">
        <v>1</v>
      </c>
      <c r="BE38" s="28" t="n">
        <v>1</v>
      </c>
      <c r="BF38" s="28" t="n">
        <v>1</v>
      </c>
      <c r="BG38" s="28" t="n">
        <v>0.981982</v>
      </c>
      <c r="BH38" s="28" t="n">
        <v>0.925938</v>
      </c>
      <c r="BI38" s="28" t="n">
        <v>0.864785</v>
      </c>
      <c r="BJ38" s="28" t="n">
        <v>0.79917</v>
      </c>
      <c r="BK38" s="28" t="n">
        <v>0.729797</v>
      </c>
      <c r="BL38" s="28" t="n">
        <v>0.65743</v>
      </c>
      <c r="BM38" s="28" t="n">
        <v>0.582888</v>
      </c>
      <c r="BN38" s="28" t="n">
        <v>0.50705</v>
      </c>
      <c r="BO38" s="28" t="n">
        <v>0.430857</v>
      </c>
      <c r="BP38" s="28" t="n">
        <v>0.355323</v>
      </c>
      <c r="BQ38" s="28" t="n">
        <v>0.281554</v>
      </c>
      <c r="BR38" s="28" t="n">
        <v>0.210793</v>
      </c>
      <c r="BS38" s="28" t="n">
        <v>0.144501</v>
      </c>
      <c r="BT38" s="28" t="n">
        <v>0.084563</v>
      </c>
      <c r="BU38" s="28" t="n">
        <v>0.033888</v>
      </c>
      <c r="BV38" s="28" t="n">
        <v>0.000252</v>
      </c>
      <c r="BW38" s="28" t="n">
        <v>0</v>
      </c>
      <c r="BX38" s="28" t="n">
        <v>0</v>
      </c>
      <c r="BY38" s="28" t="n">
        <v>0</v>
      </c>
      <c r="BZ38" s="28" t="n">
        <v>0</v>
      </c>
      <c r="CA38" s="28" t="n">
        <v>0</v>
      </c>
      <c r="CB38" s="28" t="n">
        <v>0</v>
      </c>
      <c r="CC38" s="28" t="n">
        <v>0</v>
      </c>
      <c r="CD38" s="28" t="n">
        <v>0</v>
      </c>
      <c r="CE38" s="28" t="n">
        <v>0</v>
      </c>
      <c r="CF38" s="28" t="n">
        <v>0</v>
      </c>
      <c r="CG38" s="28" t="n">
        <v>0</v>
      </c>
      <c r="CH38" s="28" t="n">
        <v>0</v>
      </c>
      <c r="CI38" s="28" t="n">
        <v>0</v>
      </c>
      <c r="CJ38" s="28" t="n">
        <v>0</v>
      </c>
      <c r="CK38" s="28" t="n">
        <v>0</v>
      </c>
      <c r="CL38" s="28" t="n">
        <v>0</v>
      </c>
      <c r="CM38" s="28" t="n">
        <v>0</v>
      </c>
      <c r="CN38" s="28" t="n">
        <v>0</v>
      </c>
      <c r="CO38" s="28" t="n">
        <v>0</v>
      </c>
      <c r="CP38" s="28" t="n">
        <v>0</v>
      </c>
      <c r="CQ38" s="28" t="n">
        <v>0</v>
      </c>
      <c r="CR38" s="28" t="n">
        <v>0</v>
      </c>
      <c r="CS38" s="28" t="n">
        <v>0</v>
      </c>
      <c r="CT38" s="28" t="n">
        <v>0</v>
      </c>
    </row>
    <row r="39">
      <c r="A39" s="6" t="inlineStr">
        <is>
          <t>P12|12</t>
        </is>
      </c>
      <c r="B39" s="6" t="inlineStr">
        <is>
          <t>Dec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  <c r="Z39" s="28" t="n">
        <v>0</v>
      </c>
      <c r="AA39" s="28" t="n">
        <v>0</v>
      </c>
      <c r="AB39" s="28" t="n">
        <v>0</v>
      </c>
      <c r="AC39" s="28" t="n">
        <v>0</v>
      </c>
      <c r="AD39" s="28" t="n">
        <v>0.02086</v>
      </c>
      <c r="AE39" s="28" t="n">
        <v>0.07163</v>
      </c>
      <c r="AF39" s="28" t="n">
        <v>0.134417</v>
      </c>
      <c r="AG39" s="28" t="n">
        <v>0.205121</v>
      </c>
      <c r="AH39" s="28" t="n">
        <v>0.281365</v>
      </c>
      <c r="AI39" s="28" t="n">
        <v>0.361389</v>
      </c>
      <c r="AJ39" s="28" t="n">
        <v>0.443731</v>
      </c>
      <c r="AK39" s="28" t="n">
        <v>0.527105</v>
      </c>
      <c r="AL39" s="28" t="n">
        <v>0.6103420000000001</v>
      </c>
      <c r="AM39" s="28" t="n">
        <v>0.69236</v>
      </c>
      <c r="AN39" s="28" t="n">
        <v>0.7721519999999999</v>
      </c>
      <c r="AO39" s="28" t="n">
        <v>0.848776</v>
      </c>
      <c r="AP39" s="28" t="n">
        <v>0.921359</v>
      </c>
      <c r="AQ39" s="28" t="n">
        <v>0.9890910000000001</v>
      </c>
      <c r="AR39" s="28" t="n">
        <v>1</v>
      </c>
      <c r="AS39" s="28" t="n">
        <v>1</v>
      </c>
      <c r="AT39" s="28" t="n">
        <v>1</v>
      </c>
      <c r="AU39" s="28" t="n">
        <v>1</v>
      </c>
      <c r="AV39" s="28" t="n">
        <v>1</v>
      </c>
      <c r="AW39" s="28" t="n">
        <v>1</v>
      </c>
      <c r="AX39" s="28" t="n">
        <v>1</v>
      </c>
      <c r="AY39" s="28" t="n">
        <v>1</v>
      </c>
      <c r="AZ39" s="28" t="n">
        <v>1</v>
      </c>
      <c r="BA39" s="28" t="n">
        <v>1</v>
      </c>
      <c r="BB39" s="28" t="n">
        <v>1</v>
      </c>
      <c r="BC39" s="28" t="n">
        <v>1</v>
      </c>
      <c r="BD39" s="28" t="n">
        <v>1</v>
      </c>
      <c r="BE39" s="28" t="n">
        <v>1</v>
      </c>
      <c r="BF39" s="28" t="n">
        <v>1</v>
      </c>
      <c r="BG39" s="28" t="n">
        <v>1</v>
      </c>
      <c r="BH39" s="28" t="n">
        <v>0.9890910000000001</v>
      </c>
      <c r="BI39" s="28" t="n">
        <v>0.921359</v>
      </c>
      <c r="BJ39" s="28" t="n">
        <v>0.848776</v>
      </c>
      <c r="BK39" s="28" t="n">
        <v>0.7721519999999999</v>
      </c>
      <c r="BL39" s="28" t="n">
        <v>0.69236</v>
      </c>
      <c r="BM39" s="28" t="n">
        <v>0.6103420000000001</v>
      </c>
      <c r="BN39" s="28" t="n">
        <v>0.527105</v>
      </c>
      <c r="BO39" s="28" t="n">
        <v>0.443731</v>
      </c>
      <c r="BP39" s="28" t="n">
        <v>0.361389</v>
      </c>
      <c r="BQ39" s="28" t="n">
        <v>0.281365</v>
      </c>
      <c r="BR39" s="28" t="n">
        <v>0.205121</v>
      </c>
      <c r="BS39" s="28" t="n">
        <v>0.134417</v>
      </c>
      <c r="BT39" s="28" t="n">
        <v>0.07163</v>
      </c>
      <c r="BU39" s="28" t="n">
        <v>0.02086</v>
      </c>
      <c r="BV39" s="28" t="n">
        <v>0</v>
      </c>
      <c r="BW39" s="28" t="n">
        <v>0</v>
      </c>
      <c r="BX39" s="28" t="n">
        <v>0</v>
      </c>
      <c r="BY39" s="28" t="n">
        <v>0</v>
      </c>
      <c r="BZ39" s="28" t="n">
        <v>0</v>
      </c>
      <c r="CA39" s="28" t="n">
        <v>0</v>
      </c>
      <c r="CB39" s="28" t="n">
        <v>0</v>
      </c>
      <c r="CC39" s="28" t="n">
        <v>0</v>
      </c>
      <c r="CD39" s="28" t="n">
        <v>0</v>
      </c>
      <c r="CE39" s="28" t="n">
        <v>0</v>
      </c>
      <c r="CF39" s="28" t="n">
        <v>0</v>
      </c>
      <c r="CG39" s="28" t="n">
        <v>0</v>
      </c>
      <c r="CH39" s="28" t="n">
        <v>0</v>
      </c>
      <c r="CI39" s="28" t="n">
        <v>0</v>
      </c>
      <c r="CJ39" s="28" t="n">
        <v>0</v>
      </c>
      <c r="CK39" s="28" t="n">
        <v>0</v>
      </c>
      <c r="CL39" s="28" t="n">
        <v>0</v>
      </c>
      <c r="CM39" s="28" t="n">
        <v>0</v>
      </c>
      <c r="CN39" s="28" t="n">
        <v>0</v>
      </c>
      <c r="CO39" s="28" t="n">
        <v>0</v>
      </c>
      <c r="CP39" s="28" t="n">
        <v>0</v>
      </c>
      <c r="CQ39" s="28" t="n">
        <v>0</v>
      </c>
      <c r="CR39" s="28" t="n">
        <v>0</v>
      </c>
      <c r="CS39" s="28" t="n">
        <v>0</v>
      </c>
      <c r="CT39" s="28" t="n">
        <v>0</v>
      </c>
    </row>
    <row r="41">
      <c r="A41" s="5" t="inlineStr">
        <is>
          <t>Days in the price data by month</t>
        </is>
      </c>
    </row>
    <row r="42">
      <c r="A42" s="6" t="n">
        <v>1</v>
      </c>
      <c r="B42" s="7" t="n">
        <v>31</v>
      </c>
      <c r="C42" s="2" t="inlineStr">
        <is>
          <t>Jan</t>
        </is>
      </c>
    </row>
    <row r="43">
      <c r="A43" s="6" t="n">
        <v>2</v>
      </c>
      <c r="B43" s="7" t="n">
        <v>28</v>
      </c>
      <c r="C43" s="2" t="inlineStr">
        <is>
          <t>Feb</t>
        </is>
      </c>
    </row>
    <row r="44">
      <c r="A44" s="6" t="n">
        <v>3</v>
      </c>
      <c r="B44" s="7" t="n">
        <v>31</v>
      </c>
      <c r="C44" s="2" t="inlineStr">
        <is>
          <t>Mar</t>
        </is>
      </c>
    </row>
    <row r="45">
      <c r="A45" s="6" t="n">
        <v>4</v>
      </c>
      <c r="B45" s="7" t="n">
        <v>30</v>
      </c>
      <c r="C45" s="2" t="inlineStr">
        <is>
          <t>Apr</t>
        </is>
      </c>
    </row>
    <row r="46">
      <c r="A46" s="6" t="n">
        <v>5</v>
      </c>
      <c r="B46" s="7" t="n">
        <v>31</v>
      </c>
      <c r="C46" s="2" t="inlineStr">
        <is>
          <t>May</t>
        </is>
      </c>
    </row>
    <row r="47">
      <c r="A47" s="6" t="n">
        <v>6</v>
      </c>
      <c r="B47" s="7" t="n">
        <v>30</v>
      </c>
      <c r="C47" s="2" t="inlineStr">
        <is>
          <t>Jun</t>
        </is>
      </c>
    </row>
    <row r="48">
      <c r="A48" s="6" t="n">
        <v>7</v>
      </c>
      <c r="B48" s="7" t="n">
        <v>29</v>
      </c>
      <c r="C48" s="2" t="inlineStr">
        <is>
          <t>Jul</t>
        </is>
      </c>
    </row>
    <row r="49">
      <c r="A49" s="6" t="n">
        <v>8</v>
      </c>
      <c r="B49" s="7" t="n">
        <v>29</v>
      </c>
      <c r="C49" s="2" t="inlineStr">
        <is>
          <t>Aug</t>
        </is>
      </c>
    </row>
    <row r="50">
      <c r="A50" s="6" t="n">
        <v>9</v>
      </c>
      <c r="B50" s="7" t="n">
        <v>34</v>
      </c>
      <c r="C50" s="2" t="inlineStr">
        <is>
          <t>Sep</t>
        </is>
      </c>
    </row>
    <row r="51">
      <c r="A51" s="6" t="n">
        <v>10</v>
      </c>
      <c r="B51" s="7" t="n">
        <v>31</v>
      </c>
      <c r="C51" s="2" t="inlineStr">
        <is>
          <t>Oct</t>
        </is>
      </c>
    </row>
    <row r="52">
      <c r="A52" s="6" t="n">
        <v>11</v>
      </c>
      <c r="B52" s="7" t="n">
        <v>30</v>
      </c>
      <c r="C52" s="2" t="inlineStr">
        <is>
          <t>Nov</t>
        </is>
      </c>
    </row>
    <row r="53">
      <c r="A53" s="6" t="n">
        <v>12</v>
      </c>
      <c r="B53" s="7" t="n">
        <v>31</v>
      </c>
      <c r="C53" s="2" t="inlineStr">
        <is>
          <t>Dec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L39"/>
  <sheetViews>
    <sheetView showGridLines="0"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8" t="inlineStr">
        <is>
          <t>IEX MCP monthly average by 15-minute block, ₹/MWh</t>
        </is>
      </c>
    </row>
    <row r="2">
      <c r="A2" s="2" t="inlineStr">
        <is>
          <t>One row per market and calendar month of the price data. Columns repeat blocks 0–95 twice so windows can run past midnight.</t>
        </is>
      </c>
    </row>
    <row r="3">
      <c r="A3" s="5" t="inlineStr">
        <is>
          <t>Market|month</t>
        </is>
      </c>
      <c r="B3" s="5" t="inlineStr">
        <is>
          <t>Block →</t>
        </is>
      </c>
      <c r="C3" s="5" t="n">
        <v>0</v>
      </c>
      <c r="D3" s="5" t="n">
        <v>1</v>
      </c>
      <c r="E3" s="5" t="n">
        <v>2</v>
      </c>
      <c r="F3" s="5" t="n">
        <v>3</v>
      </c>
      <c r="G3" s="5" t="n">
        <v>4</v>
      </c>
      <c r="H3" s="5" t="n">
        <v>5</v>
      </c>
      <c r="I3" s="5" t="n">
        <v>6</v>
      </c>
      <c r="J3" s="5" t="n">
        <v>7</v>
      </c>
      <c r="K3" s="5" t="n">
        <v>8</v>
      </c>
      <c r="L3" s="5" t="n">
        <v>9</v>
      </c>
      <c r="M3" s="5" t="n">
        <v>10</v>
      </c>
      <c r="N3" s="5" t="n">
        <v>11</v>
      </c>
      <c r="O3" s="5" t="n">
        <v>12</v>
      </c>
      <c r="P3" s="5" t="n">
        <v>13</v>
      </c>
      <c r="Q3" s="5" t="n">
        <v>14</v>
      </c>
      <c r="R3" s="5" t="n">
        <v>15</v>
      </c>
      <c r="S3" s="5" t="n">
        <v>16</v>
      </c>
      <c r="T3" s="5" t="n">
        <v>17</v>
      </c>
      <c r="U3" s="5" t="n">
        <v>18</v>
      </c>
      <c r="V3" s="5" t="n">
        <v>19</v>
      </c>
      <c r="W3" s="5" t="n">
        <v>20</v>
      </c>
      <c r="X3" s="5" t="n">
        <v>21</v>
      </c>
      <c r="Y3" s="5" t="n">
        <v>22</v>
      </c>
      <c r="Z3" s="5" t="n">
        <v>23</v>
      </c>
      <c r="AA3" s="5" t="n">
        <v>24</v>
      </c>
      <c r="AB3" s="5" t="n">
        <v>25</v>
      </c>
      <c r="AC3" s="5" t="n">
        <v>26</v>
      </c>
      <c r="AD3" s="5" t="n">
        <v>27</v>
      </c>
      <c r="AE3" s="5" t="n">
        <v>28</v>
      </c>
      <c r="AF3" s="5" t="n">
        <v>29</v>
      </c>
      <c r="AG3" s="5" t="n">
        <v>30</v>
      </c>
      <c r="AH3" s="5" t="n">
        <v>31</v>
      </c>
      <c r="AI3" s="5" t="n">
        <v>32</v>
      </c>
      <c r="AJ3" s="5" t="n">
        <v>33</v>
      </c>
      <c r="AK3" s="5" t="n">
        <v>34</v>
      </c>
      <c r="AL3" s="5" t="n">
        <v>35</v>
      </c>
      <c r="AM3" s="5" t="n">
        <v>36</v>
      </c>
      <c r="AN3" s="5" t="n">
        <v>37</v>
      </c>
      <c r="AO3" s="5" t="n">
        <v>38</v>
      </c>
      <c r="AP3" s="5" t="n">
        <v>39</v>
      </c>
      <c r="AQ3" s="5" t="n">
        <v>40</v>
      </c>
      <c r="AR3" s="5" t="n">
        <v>41</v>
      </c>
      <c r="AS3" s="5" t="n">
        <v>42</v>
      </c>
      <c r="AT3" s="5" t="n">
        <v>43</v>
      </c>
      <c r="AU3" s="5" t="n">
        <v>44</v>
      </c>
      <c r="AV3" s="5" t="n">
        <v>45</v>
      </c>
      <c r="AW3" s="5" t="n">
        <v>46</v>
      </c>
      <c r="AX3" s="5" t="n">
        <v>47</v>
      </c>
      <c r="AY3" s="5" t="n">
        <v>48</v>
      </c>
      <c r="AZ3" s="5" t="n">
        <v>49</v>
      </c>
      <c r="BA3" s="5" t="n">
        <v>50</v>
      </c>
      <c r="BB3" s="5" t="n">
        <v>51</v>
      </c>
      <c r="BC3" s="5" t="n">
        <v>52</v>
      </c>
      <c r="BD3" s="5" t="n">
        <v>53</v>
      </c>
      <c r="BE3" s="5" t="n">
        <v>54</v>
      </c>
      <c r="BF3" s="5" t="n">
        <v>55</v>
      </c>
      <c r="BG3" s="5" t="n">
        <v>56</v>
      </c>
      <c r="BH3" s="5" t="n">
        <v>57</v>
      </c>
      <c r="BI3" s="5" t="n">
        <v>58</v>
      </c>
      <c r="BJ3" s="5" t="n">
        <v>59</v>
      </c>
      <c r="BK3" s="5" t="n">
        <v>60</v>
      </c>
      <c r="BL3" s="5" t="n">
        <v>61</v>
      </c>
      <c r="BM3" s="5" t="n">
        <v>62</v>
      </c>
      <c r="BN3" s="5" t="n">
        <v>63</v>
      </c>
      <c r="BO3" s="5" t="n">
        <v>64</v>
      </c>
      <c r="BP3" s="5" t="n">
        <v>65</v>
      </c>
      <c r="BQ3" s="5" t="n">
        <v>66</v>
      </c>
      <c r="BR3" s="5" t="n">
        <v>67</v>
      </c>
      <c r="BS3" s="5" t="n">
        <v>68</v>
      </c>
      <c r="BT3" s="5" t="n">
        <v>69</v>
      </c>
      <c r="BU3" s="5" t="n">
        <v>70</v>
      </c>
      <c r="BV3" s="5" t="n">
        <v>71</v>
      </c>
      <c r="BW3" s="5" t="n">
        <v>72</v>
      </c>
      <c r="BX3" s="5" t="n">
        <v>73</v>
      </c>
      <c r="BY3" s="5" t="n">
        <v>74</v>
      </c>
      <c r="BZ3" s="5" t="n">
        <v>75</v>
      </c>
      <c r="CA3" s="5" t="n">
        <v>76</v>
      </c>
      <c r="CB3" s="5" t="n">
        <v>77</v>
      </c>
      <c r="CC3" s="5" t="n">
        <v>78</v>
      </c>
      <c r="CD3" s="5" t="n">
        <v>79</v>
      </c>
      <c r="CE3" s="5" t="n">
        <v>80</v>
      </c>
      <c r="CF3" s="5" t="n">
        <v>81</v>
      </c>
      <c r="CG3" s="5" t="n">
        <v>82</v>
      </c>
      <c r="CH3" s="5" t="n">
        <v>83</v>
      </c>
      <c r="CI3" s="5" t="n">
        <v>84</v>
      </c>
      <c r="CJ3" s="5" t="n">
        <v>85</v>
      </c>
      <c r="CK3" s="5" t="n">
        <v>86</v>
      </c>
      <c r="CL3" s="5" t="n">
        <v>87</v>
      </c>
      <c r="CM3" s="5" t="n">
        <v>88</v>
      </c>
      <c r="CN3" s="5" t="n">
        <v>89</v>
      </c>
      <c r="CO3" s="5" t="n">
        <v>90</v>
      </c>
      <c r="CP3" s="5" t="n">
        <v>91</v>
      </c>
      <c r="CQ3" s="5" t="n">
        <v>92</v>
      </c>
      <c r="CR3" s="5" t="n">
        <v>93</v>
      </c>
      <c r="CS3" s="5" t="n">
        <v>94</v>
      </c>
      <c r="CT3" s="5" t="n">
        <v>95</v>
      </c>
      <c r="CU3" s="5" t="n">
        <v>96</v>
      </c>
      <c r="CV3" s="5" t="n">
        <v>97</v>
      </c>
      <c r="CW3" s="5" t="n">
        <v>98</v>
      </c>
      <c r="CX3" s="5" t="n">
        <v>99</v>
      </c>
      <c r="CY3" s="5" t="n">
        <v>100</v>
      </c>
      <c r="CZ3" s="5" t="n">
        <v>101</v>
      </c>
      <c r="DA3" s="5" t="n">
        <v>102</v>
      </c>
      <c r="DB3" s="5" t="n">
        <v>103</v>
      </c>
      <c r="DC3" s="5" t="n">
        <v>104</v>
      </c>
      <c r="DD3" s="5" t="n">
        <v>105</v>
      </c>
      <c r="DE3" s="5" t="n">
        <v>106</v>
      </c>
      <c r="DF3" s="5" t="n">
        <v>107</v>
      </c>
      <c r="DG3" s="5" t="n">
        <v>108</v>
      </c>
      <c r="DH3" s="5" t="n">
        <v>109</v>
      </c>
      <c r="DI3" s="5" t="n">
        <v>110</v>
      </c>
      <c r="DJ3" s="5" t="n">
        <v>111</v>
      </c>
      <c r="DK3" s="5" t="n">
        <v>112</v>
      </c>
      <c r="DL3" s="5" t="n">
        <v>113</v>
      </c>
      <c r="DM3" s="5" t="n">
        <v>114</v>
      </c>
      <c r="DN3" s="5" t="n">
        <v>115</v>
      </c>
      <c r="DO3" s="5" t="n">
        <v>116</v>
      </c>
      <c r="DP3" s="5" t="n">
        <v>117</v>
      </c>
      <c r="DQ3" s="5" t="n">
        <v>118</v>
      </c>
      <c r="DR3" s="5" t="n">
        <v>119</v>
      </c>
      <c r="DS3" s="5" t="n">
        <v>120</v>
      </c>
      <c r="DT3" s="5" t="n">
        <v>121</v>
      </c>
      <c r="DU3" s="5" t="n">
        <v>122</v>
      </c>
      <c r="DV3" s="5" t="n">
        <v>123</v>
      </c>
      <c r="DW3" s="5" t="n">
        <v>124</v>
      </c>
      <c r="DX3" s="5" t="n">
        <v>125</v>
      </c>
      <c r="DY3" s="5" t="n">
        <v>126</v>
      </c>
      <c r="DZ3" s="5" t="n">
        <v>127</v>
      </c>
      <c r="EA3" s="5" t="n">
        <v>128</v>
      </c>
      <c r="EB3" s="5" t="n">
        <v>129</v>
      </c>
      <c r="EC3" s="5" t="n">
        <v>130</v>
      </c>
      <c r="ED3" s="5" t="n">
        <v>131</v>
      </c>
      <c r="EE3" s="5" t="n">
        <v>132</v>
      </c>
      <c r="EF3" s="5" t="n">
        <v>133</v>
      </c>
      <c r="EG3" s="5" t="n">
        <v>134</v>
      </c>
      <c r="EH3" s="5" t="n">
        <v>135</v>
      </c>
      <c r="EI3" s="5" t="n">
        <v>136</v>
      </c>
      <c r="EJ3" s="5" t="n">
        <v>137</v>
      </c>
      <c r="EK3" s="5" t="n">
        <v>138</v>
      </c>
      <c r="EL3" s="5" t="n">
        <v>139</v>
      </c>
      <c r="EM3" s="5" t="n">
        <v>140</v>
      </c>
      <c r="EN3" s="5" t="n">
        <v>141</v>
      </c>
      <c r="EO3" s="5" t="n">
        <v>142</v>
      </c>
      <c r="EP3" s="5" t="n">
        <v>143</v>
      </c>
      <c r="EQ3" s="5" t="n">
        <v>144</v>
      </c>
      <c r="ER3" s="5" t="n">
        <v>145</v>
      </c>
      <c r="ES3" s="5" t="n">
        <v>146</v>
      </c>
      <c r="ET3" s="5" t="n">
        <v>147</v>
      </c>
      <c r="EU3" s="5" t="n">
        <v>148</v>
      </c>
      <c r="EV3" s="5" t="n">
        <v>149</v>
      </c>
      <c r="EW3" s="5" t="n">
        <v>150</v>
      </c>
      <c r="EX3" s="5" t="n">
        <v>151</v>
      </c>
      <c r="EY3" s="5" t="n">
        <v>152</v>
      </c>
      <c r="EZ3" s="5" t="n">
        <v>153</v>
      </c>
      <c r="FA3" s="5" t="n">
        <v>154</v>
      </c>
      <c r="FB3" s="5" t="n">
        <v>155</v>
      </c>
      <c r="FC3" s="5" t="n">
        <v>156</v>
      </c>
      <c r="FD3" s="5" t="n">
        <v>157</v>
      </c>
      <c r="FE3" s="5" t="n">
        <v>158</v>
      </c>
      <c r="FF3" s="5" t="n">
        <v>159</v>
      </c>
      <c r="FG3" s="5" t="n">
        <v>160</v>
      </c>
      <c r="FH3" s="5" t="n">
        <v>161</v>
      </c>
      <c r="FI3" s="5" t="n">
        <v>162</v>
      </c>
      <c r="FJ3" s="5" t="n">
        <v>163</v>
      </c>
      <c r="FK3" s="5" t="n">
        <v>164</v>
      </c>
      <c r="FL3" s="5" t="n">
        <v>165</v>
      </c>
      <c r="FM3" s="5" t="n">
        <v>166</v>
      </c>
      <c r="FN3" s="5" t="n">
        <v>167</v>
      </c>
      <c r="FO3" s="5" t="n">
        <v>168</v>
      </c>
      <c r="FP3" s="5" t="n">
        <v>169</v>
      </c>
      <c r="FQ3" s="5" t="n">
        <v>170</v>
      </c>
      <c r="FR3" s="5" t="n">
        <v>171</v>
      </c>
      <c r="FS3" s="5" t="n">
        <v>172</v>
      </c>
      <c r="FT3" s="5" t="n">
        <v>173</v>
      </c>
      <c r="FU3" s="5" t="n">
        <v>174</v>
      </c>
      <c r="FV3" s="5" t="n">
        <v>175</v>
      </c>
      <c r="FW3" s="5" t="n">
        <v>176</v>
      </c>
      <c r="FX3" s="5" t="n">
        <v>177</v>
      </c>
      <c r="FY3" s="5" t="n">
        <v>178</v>
      </c>
      <c r="FZ3" s="5" t="n">
        <v>179</v>
      </c>
      <c r="GA3" s="5" t="n">
        <v>180</v>
      </c>
      <c r="GB3" s="5" t="n">
        <v>181</v>
      </c>
      <c r="GC3" s="5" t="n">
        <v>182</v>
      </c>
      <c r="GD3" s="5" t="n">
        <v>183</v>
      </c>
      <c r="GE3" s="5" t="n">
        <v>184</v>
      </c>
      <c r="GF3" s="5" t="n">
        <v>185</v>
      </c>
      <c r="GG3" s="5" t="n">
        <v>186</v>
      </c>
      <c r="GH3" s="5" t="n">
        <v>187</v>
      </c>
      <c r="GI3" s="5" t="n">
        <v>188</v>
      </c>
      <c r="GJ3" s="5" t="n">
        <v>189</v>
      </c>
      <c r="GK3" s="5" t="n">
        <v>190</v>
      </c>
      <c r="GL3" s="5" t="n">
        <v>191</v>
      </c>
    </row>
    <row r="4">
      <c r="A4" s="6" t="inlineStr">
        <is>
          <t>DAM|1</t>
        </is>
      </c>
      <c r="B4" s="2" t="n">
        <v>31</v>
      </c>
      <c r="C4" s="27" t="n">
        <v>2521.61</v>
      </c>
      <c r="D4" s="27" t="n">
        <v>2565.19</v>
      </c>
      <c r="E4" s="27" t="n">
        <v>2577.26</v>
      </c>
      <c r="F4" s="27" t="n">
        <v>2560.45</v>
      </c>
      <c r="G4" s="27" t="n">
        <v>2498.32</v>
      </c>
      <c r="H4" s="27" t="n">
        <v>2481.29</v>
      </c>
      <c r="I4" s="27" t="n">
        <v>2463.74</v>
      </c>
      <c r="J4" s="27" t="n">
        <v>2439.23</v>
      </c>
      <c r="K4" s="27" t="n">
        <v>2416.52</v>
      </c>
      <c r="L4" s="27" t="n">
        <v>2431.45</v>
      </c>
      <c r="M4" s="27" t="n">
        <v>2434.84</v>
      </c>
      <c r="N4" s="27" t="n">
        <v>2455.77</v>
      </c>
      <c r="O4" s="27" t="n">
        <v>2458.61</v>
      </c>
      <c r="P4" s="27" t="n">
        <v>2475.19</v>
      </c>
      <c r="Q4" s="27" t="n">
        <v>2495.03</v>
      </c>
      <c r="R4" s="27" t="n">
        <v>2509.39</v>
      </c>
      <c r="S4" s="27" t="n">
        <v>2518.06</v>
      </c>
      <c r="T4" s="27" t="n">
        <v>2581.42</v>
      </c>
      <c r="U4" s="27" t="n">
        <v>2620.19</v>
      </c>
      <c r="V4" s="27" t="n">
        <v>2677.61</v>
      </c>
      <c r="W4" s="27" t="n">
        <v>2792.29</v>
      </c>
      <c r="X4" s="27" t="n">
        <v>2834.03</v>
      </c>
      <c r="Y4" s="27" t="n">
        <v>2993.16</v>
      </c>
      <c r="Z4" s="27" t="n">
        <v>3171.58</v>
      </c>
      <c r="AA4" s="27" t="n">
        <v>3600.32</v>
      </c>
      <c r="AB4" s="27" t="n">
        <v>3875.77</v>
      </c>
      <c r="AC4" s="27" t="n">
        <v>4281.74</v>
      </c>
      <c r="AD4" s="27" t="n">
        <v>4627.48</v>
      </c>
      <c r="AE4" s="27" t="n">
        <v>6184.9</v>
      </c>
      <c r="AF4" s="27" t="n">
        <v>7414.9</v>
      </c>
      <c r="AG4" s="27" t="n">
        <v>8415.549999999999</v>
      </c>
      <c r="AH4" s="27" t="n">
        <v>8224.190000000001</v>
      </c>
      <c r="AI4" s="27" t="n">
        <v>7837.26</v>
      </c>
      <c r="AJ4" s="27" t="n">
        <v>7423.81</v>
      </c>
      <c r="AK4" s="27" t="n">
        <v>6026.45</v>
      </c>
      <c r="AL4" s="27" t="n">
        <v>5409.1</v>
      </c>
      <c r="AM4" s="27" t="n">
        <v>4666.77</v>
      </c>
      <c r="AN4" s="27" t="n">
        <v>4514.39</v>
      </c>
      <c r="AO4" s="27" t="n">
        <v>4048.23</v>
      </c>
      <c r="AP4" s="27" t="n">
        <v>3788.26</v>
      </c>
      <c r="AQ4" s="27" t="n">
        <v>3388.16</v>
      </c>
      <c r="AR4" s="27" t="n">
        <v>3205.9</v>
      </c>
      <c r="AS4" s="27" t="n">
        <v>3085</v>
      </c>
      <c r="AT4" s="27" t="n">
        <v>2982.06</v>
      </c>
      <c r="AU4" s="27" t="n">
        <v>2880.48</v>
      </c>
      <c r="AV4" s="27" t="n">
        <v>2843.97</v>
      </c>
      <c r="AW4" s="27" t="n">
        <v>2772.23</v>
      </c>
      <c r="AX4" s="27" t="n">
        <v>2698.39</v>
      </c>
      <c r="AY4" s="27" t="n">
        <v>2638.77</v>
      </c>
      <c r="AZ4" s="27" t="n">
        <v>2608.65</v>
      </c>
      <c r="BA4" s="27" t="n">
        <v>2595.35</v>
      </c>
      <c r="BB4" s="27" t="n">
        <v>2493.1</v>
      </c>
      <c r="BC4" s="27" t="n">
        <v>2322.71</v>
      </c>
      <c r="BD4" s="27" t="n">
        <v>2243.71</v>
      </c>
      <c r="BE4" s="27" t="n">
        <v>2256.23</v>
      </c>
      <c r="BF4" s="27" t="n">
        <v>2285.74</v>
      </c>
      <c r="BG4" s="27" t="n">
        <v>2389.55</v>
      </c>
      <c r="BH4" s="27" t="n">
        <v>2414.87</v>
      </c>
      <c r="BI4" s="27" t="n">
        <v>2477.58</v>
      </c>
      <c r="BJ4" s="27" t="n">
        <v>2493.94</v>
      </c>
      <c r="BK4" s="27" t="n">
        <v>2582</v>
      </c>
      <c r="BL4" s="27" t="n">
        <v>2697.84</v>
      </c>
      <c r="BM4" s="27" t="n">
        <v>2798.42</v>
      </c>
      <c r="BN4" s="27" t="n">
        <v>2897.65</v>
      </c>
      <c r="BO4" s="27" t="n">
        <v>2886.16</v>
      </c>
      <c r="BP4" s="27" t="n">
        <v>3039.65</v>
      </c>
      <c r="BQ4" s="27" t="n">
        <v>3273.87</v>
      </c>
      <c r="BR4" s="27" t="n">
        <v>3926.87</v>
      </c>
      <c r="BS4" s="27" t="n">
        <v>4304.68</v>
      </c>
      <c r="BT4" s="27" t="n">
        <v>5132.13</v>
      </c>
      <c r="BU4" s="27" t="n">
        <v>6281.87</v>
      </c>
      <c r="BV4" s="27" t="n">
        <v>7881.48</v>
      </c>
      <c r="BW4" s="27" t="n">
        <v>8228.58</v>
      </c>
      <c r="BX4" s="27" t="n">
        <v>8608.32</v>
      </c>
      <c r="BY4" s="27" t="n">
        <v>8633.77</v>
      </c>
      <c r="BZ4" s="27" t="n">
        <v>8440.450000000001</v>
      </c>
      <c r="CA4" s="27" t="n">
        <v>8209.450000000001</v>
      </c>
      <c r="CB4" s="27" t="n">
        <v>7350.45</v>
      </c>
      <c r="CC4" s="27" t="n">
        <v>6375.03</v>
      </c>
      <c r="CD4" s="27" t="n">
        <v>5851.77</v>
      </c>
      <c r="CE4" s="27" t="n">
        <v>4644.81</v>
      </c>
      <c r="CF4" s="27" t="n">
        <v>4414.68</v>
      </c>
      <c r="CG4" s="27" t="n">
        <v>4247.74</v>
      </c>
      <c r="CH4" s="27" t="n">
        <v>4096.55</v>
      </c>
      <c r="CI4" s="27" t="n">
        <v>3911.35</v>
      </c>
      <c r="CJ4" s="27" t="n">
        <v>3760.94</v>
      </c>
      <c r="CK4" s="27" t="n">
        <v>3736.48</v>
      </c>
      <c r="CL4" s="27" t="n">
        <v>3661.32</v>
      </c>
      <c r="CM4" s="27" t="n">
        <v>3281.03</v>
      </c>
      <c r="CN4" s="27" t="n">
        <v>3242.65</v>
      </c>
      <c r="CO4" s="27" t="n">
        <v>3181.16</v>
      </c>
      <c r="CP4" s="27" t="n">
        <v>3104.1</v>
      </c>
      <c r="CQ4" s="27" t="n">
        <v>2872.74</v>
      </c>
      <c r="CR4" s="27" t="n">
        <v>2753.48</v>
      </c>
      <c r="CS4" s="27" t="n">
        <v>2688.74</v>
      </c>
      <c r="CT4" s="27" t="n">
        <v>2602.9</v>
      </c>
      <c r="CU4" s="27" t="n">
        <v>2521.61</v>
      </c>
      <c r="CV4" s="27" t="n">
        <v>2565.19</v>
      </c>
      <c r="CW4" s="27" t="n">
        <v>2577.26</v>
      </c>
      <c r="CX4" s="27" t="n">
        <v>2560.45</v>
      </c>
      <c r="CY4" s="27" t="n">
        <v>2498.32</v>
      </c>
      <c r="CZ4" s="27" t="n">
        <v>2481.29</v>
      </c>
      <c r="DA4" s="27" t="n">
        <v>2463.74</v>
      </c>
      <c r="DB4" s="27" t="n">
        <v>2439.23</v>
      </c>
      <c r="DC4" s="27" t="n">
        <v>2416.52</v>
      </c>
      <c r="DD4" s="27" t="n">
        <v>2431.45</v>
      </c>
      <c r="DE4" s="27" t="n">
        <v>2434.84</v>
      </c>
      <c r="DF4" s="27" t="n">
        <v>2455.77</v>
      </c>
      <c r="DG4" s="27" t="n">
        <v>2458.61</v>
      </c>
      <c r="DH4" s="27" t="n">
        <v>2475.19</v>
      </c>
      <c r="DI4" s="27" t="n">
        <v>2495.03</v>
      </c>
      <c r="DJ4" s="27" t="n">
        <v>2509.39</v>
      </c>
      <c r="DK4" s="27" t="n">
        <v>2518.06</v>
      </c>
      <c r="DL4" s="27" t="n">
        <v>2581.42</v>
      </c>
      <c r="DM4" s="27" t="n">
        <v>2620.19</v>
      </c>
      <c r="DN4" s="27" t="n">
        <v>2677.61</v>
      </c>
      <c r="DO4" s="27" t="n">
        <v>2792.29</v>
      </c>
      <c r="DP4" s="27" t="n">
        <v>2834.03</v>
      </c>
      <c r="DQ4" s="27" t="n">
        <v>2993.16</v>
      </c>
      <c r="DR4" s="27" t="n">
        <v>3171.58</v>
      </c>
      <c r="DS4" s="27" t="n">
        <v>3600.32</v>
      </c>
      <c r="DT4" s="27" t="n">
        <v>3875.77</v>
      </c>
      <c r="DU4" s="27" t="n">
        <v>4281.74</v>
      </c>
      <c r="DV4" s="27" t="n">
        <v>4627.48</v>
      </c>
      <c r="DW4" s="27" t="n">
        <v>6184.9</v>
      </c>
      <c r="DX4" s="27" t="n">
        <v>7414.9</v>
      </c>
      <c r="DY4" s="27" t="n">
        <v>8415.549999999999</v>
      </c>
      <c r="DZ4" s="27" t="n">
        <v>8224.190000000001</v>
      </c>
      <c r="EA4" s="27" t="n">
        <v>7837.26</v>
      </c>
      <c r="EB4" s="27" t="n">
        <v>7423.81</v>
      </c>
      <c r="EC4" s="27" t="n">
        <v>6026.45</v>
      </c>
      <c r="ED4" s="27" t="n">
        <v>5409.1</v>
      </c>
      <c r="EE4" s="27" t="n">
        <v>4666.77</v>
      </c>
      <c r="EF4" s="27" t="n">
        <v>4514.39</v>
      </c>
      <c r="EG4" s="27" t="n">
        <v>4048.23</v>
      </c>
      <c r="EH4" s="27" t="n">
        <v>3788.26</v>
      </c>
      <c r="EI4" s="27" t="n">
        <v>3388.16</v>
      </c>
      <c r="EJ4" s="27" t="n">
        <v>3205.9</v>
      </c>
      <c r="EK4" s="27" t="n">
        <v>3085</v>
      </c>
      <c r="EL4" s="27" t="n">
        <v>2982.06</v>
      </c>
      <c r="EM4" s="27" t="n">
        <v>2880.48</v>
      </c>
      <c r="EN4" s="27" t="n">
        <v>2843.97</v>
      </c>
      <c r="EO4" s="27" t="n">
        <v>2772.23</v>
      </c>
      <c r="EP4" s="27" t="n">
        <v>2698.39</v>
      </c>
      <c r="EQ4" s="27" t="n">
        <v>2638.77</v>
      </c>
      <c r="ER4" s="27" t="n">
        <v>2608.65</v>
      </c>
      <c r="ES4" s="27" t="n">
        <v>2595.35</v>
      </c>
      <c r="ET4" s="27" t="n">
        <v>2493.1</v>
      </c>
      <c r="EU4" s="27" t="n">
        <v>2322.71</v>
      </c>
      <c r="EV4" s="27" t="n">
        <v>2243.71</v>
      </c>
      <c r="EW4" s="27" t="n">
        <v>2256.23</v>
      </c>
      <c r="EX4" s="27" t="n">
        <v>2285.74</v>
      </c>
      <c r="EY4" s="27" t="n">
        <v>2389.55</v>
      </c>
      <c r="EZ4" s="27" t="n">
        <v>2414.87</v>
      </c>
      <c r="FA4" s="27" t="n">
        <v>2477.58</v>
      </c>
      <c r="FB4" s="27" t="n">
        <v>2493.94</v>
      </c>
      <c r="FC4" s="27" t="n">
        <v>2582</v>
      </c>
      <c r="FD4" s="27" t="n">
        <v>2697.84</v>
      </c>
      <c r="FE4" s="27" t="n">
        <v>2798.42</v>
      </c>
      <c r="FF4" s="27" t="n">
        <v>2897.65</v>
      </c>
      <c r="FG4" s="27" t="n">
        <v>2886.16</v>
      </c>
      <c r="FH4" s="27" t="n">
        <v>3039.65</v>
      </c>
      <c r="FI4" s="27" t="n">
        <v>3273.87</v>
      </c>
      <c r="FJ4" s="27" t="n">
        <v>3926.87</v>
      </c>
      <c r="FK4" s="27" t="n">
        <v>4304.68</v>
      </c>
      <c r="FL4" s="27" t="n">
        <v>5132.13</v>
      </c>
      <c r="FM4" s="27" t="n">
        <v>6281.87</v>
      </c>
      <c r="FN4" s="27" t="n">
        <v>7881.48</v>
      </c>
      <c r="FO4" s="27" t="n">
        <v>8228.58</v>
      </c>
      <c r="FP4" s="27" t="n">
        <v>8608.32</v>
      </c>
      <c r="FQ4" s="27" t="n">
        <v>8633.77</v>
      </c>
      <c r="FR4" s="27" t="n">
        <v>8440.450000000001</v>
      </c>
      <c r="FS4" s="27" t="n">
        <v>8209.450000000001</v>
      </c>
      <c r="FT4" s="27" t="n">
        <v>7350.45</v>
      </c>
      <c r="FU4" s="27" t="n">
        <v>6375.03</v>
      </c>
      <c r="FV4" s="27" t="n">
        <v>5851.77</v>
      </c>
      <c r="FW4" s="27" t="n">
        <v>4644.81</v>
      </c>
      <c r="FX4" s="27" t="n">
        <v>4414.68</v>
      </c>
      <c r="FY4" s="27" t="n">
        <v>4247.74</v>
      </c>
      <c r="FZ4" s="27" t="n">
        <v>4096.55</v>
      </c>
      <c r="GA4" s="27" t="n">
        <v>3911.35</v>
      </c>
      <c r="GB4" s="27" t="n">
        <v>3760.94</v>
      </c>
      <c r="GC4" s="27" t="n">
        <v>3736.48</v>
      </c>
      <c r="GD4" s="27" t="n">
        <v>3661.32</v>
      </c>
      <c r="GE4" s="27" t="n">
        <v>3281.03</v>
      </c>
      <c r="GF4" s="27" t="n">
        <v>3242.65</v>
      </c>
      <c r="GG4" s="27" t="n">
        <v>3181.16</v>
      </c>
      <c r="GH4" s="27" t="n">
        <v>3104.1</v>
      </c>
      <c r="GI4" s="27" t="n">
        <v>2872.74</v>
      </c>
      <c r="GJ4" s="27" t="n">
        <v>2753.48</v>
      </c>
      <c r="GK4" s="27" t="n">
        <v>2688.74</v>
      </c>
      <c r="GL4" s="27" t="n">
        <v>2602.9</v>
      </c>
    </row>
    <row r="5">
      <c r="A5" s="6" t="inlineStr">
        <is>
          <t>DAM|2</t>
        </is>
      </c>
      <c r="B5" s="2" t="n">
        <v>28</v>
      </c>
      <c r="C5" s="27" t="n">
        <v>2840.36</v>
      </c>
      <c r="D5" s="27" t="n">
        <v>2872.32</v>
      </c>
      <c r="E5" s="27" t="n">
        <v>2929.39</v>
      </c>
      <c r="F5" s="27" t="n">
        <v>2918.32</v>
      </c>
      <c r="G5" s="27" t="n">
        <v>2906.89</v>
      </c>
      <c r="H5" s="27" t="n">
        <v>2889.36</v>
      </c>
      <c r="I5" s="27" t="n">
        <v>2869.14</v>
      </c>
      <c r="J5" s="27" t="n">
        <v>2849.96</v>
      </c>
      <c r="K5" s="27" t="n">
        <v>2841.68</v>
      </c>
      <c r="L5" s="27" t="n">
        <v>2850.5</v>
      </c>
      <c r="M5" s="27" t="n">
        <v>2845.36</v>
      </c>
      <c r="N5" s="27" t="n">
        <v>2857.5</v>
      </c>
      <c r="O5" s="27" t="n">
        <v>2849.86</v>
      </c>
      <c r="P5" s="27" t="n">
        <v>2852.5</v>
      </c>
      <c r="Q5" s="27" t="n">
        <v>2881.71</v>
      </c>
      <c r="R5" s="27" t="n">
        <v>2905.79</v>
      </c>
      <c r="S5" s="27" t="n">
        <v>2921.29</v>
      </c>
      <c r="T5" s="27" t="n">
        <v>2980.21</v>
      </c>
      <c r="U5" s="27" t="n">
        <v>3021.36</v>
      </c>
      <c r="V5" s="27" t="n">
        <v>3045.89</v>
      </c>
      <c r="W5" s="27" t="n">
        <v>3116.11</v>
      </c>
      <c r="X5" s="27" t="n">
        <v>3329</v>
      </c>
      <c r="Y5" s="27" t="n">
        <v>3564.57</v>
      </c>
      <c r="Z5" s="27" t="n">
        <v>3677.79</v>
      </c>
      <c r="AA5" s="27" t="n">
        <v>3875.36</v>
      </c>
      <c r="AB5" s="27" t="n">
        <v>4520</v>
      </c>
      <c r="AC5" s="27" t="n">
        <v>5218.39</v>
      </c>
      <c r="AD5" s="27" t="n">
        <v>6299.43</v>
      </c>
      <c r="AE5" s="27" t="n">
        <v>7748.61</v>
      </c>
      <c r="AF5" s="27" t="n">
        <v>8418.5</v>
      </c>
      <c r="AG5" s="27" t="n">
        <v>8939.709999999999</v>
      </c>
      <c r="AH5" s="27" t="n">
        <v>8830.110000000001</v>
      </c>
      <c r="AI5" s="27" t="n">
        <v>7549.36</v>
      </c>
      <c r="AJ5" s="27" t="n">
        <v>5160.89</v>
      </c>
      <c r="AK5" s="27" t="n">
        <v>4229.11</v>
      </c>
      <c r="AL5" s="27" t="n">
        <v>3714.75</v>
      </c>
      <c r="AM5" s="27" t="n">
        <v>3521</v>
      </c>
      <c r="AN5" s="27" t="n">
        <v>3350.36</v>
      </c>
      <c r="AO5" s="27" t="n">
        <v>3210.21</v>
      </c>
      <c r="AP5" s="27" t="n">
        <v>2925.61</v>
      </c>
      <c r="AQ5" s="27" t="n">
        <v>2693.61</v>
      </c>
      <c r="AR5" s="27" t="n">
        <v>2568.71</v>
      </c>
      <c r="AS5" s="27" t="n">
        <v>2562.21</v>
      </c>
      <c r="AT5" s="27" t="n">
        <v>2492.89</v>
      </c>
      <c r="AU5" s="27" t="n">
        <v>2436.64</v>
      </c>
      <c r="AV5" s="27" t="n">
        <v>2394.64</v>
      </c>
      <c r="AW5" s="27" t="n">
        <v>2329</v>
      </c>
      <c r="AX5" s="27" t="n">
        <v>2250.18</v>
      </c>
      <c r="AY5" s="27" t="n">
        <v>2196.93</v>
      </c>
      <c r="AZ5" s="27" t="n">
        <v>2154.43</v>
      </c>
      <c r="BA5" s="27" t="n">
        <v>2106.93</v>
      </c>
      <c r="BB5" s="27" t="n">
        <v>2023.93</v>
      </c>
      <c r="BC5" s="27" t="n">
        <v>1832.39</v>
      </c>
      <c r="BD5" s="27" t="n">
        <v>1783.14</v>
      </c>
      <c r="BE5" s="27" t="n">
        <v>1818.64</v>
      </c>
      <c r="BF5" s="27" t="n">
        <v>1908.86</v>
      </c>
      <c r="BG5" s="27" t="n">
        <v>1988.36</v>
      </c>
      <c r="BH5" s="27" t="n">
        <v>2047.68</v>
      </c>
      <c r="BI5" s="27" t="n">
        <v>2099.75</v>
      </c>
      <c r="BJ5" s="27" t="n">
        <v>2165.5</v>
      </c>
      <c r="BK5" s="27" t="n">
        <v>2323.5</v>
      </c>
      <c r="BL5" s="27" t="n">
        <v>2432.25</v>
      </c>
      <c r="BM5" s="27" t="n">
        <v>2605.5</v>
      </c>
      <c r="BN5" s="27" t="n">
        <v>2711.36</v>
      </c>
      <c r="BO5" s="27" t="n">
        <v>2662.61</v>
      </c>
      <c r="BP5" s="27" t="n">
        <v>2658.96</v>
      </c>
      <c r="BQ5" s="27" t="n">
        <v>2785.96</v>
      </c>
      <c r="BR5" s="27" t="n">
        <v>2981.96</v>
      </c>
      <c r="BS5" s="27" t="n">
        <v>3051.18</v>
      </c>
      <c r="BT5" s="27" t="n">
        <v>3364.75</v>
      </c>
      <c r="BU5" s="27" t="n">
        <v>3719.04</v>
      </c>
      <c r="BV5" s="27" t="n">
        <v>4448.71</v>
      </c>
      <c r="BW5" s="27" t="n">
        <v>5295.75</v>
      </c>
      <c r="BX5" s="27" t="n">
        <v>6736.79</v>
      </c>
      <c r="BY5" s="27" t="n">
        <v>7259.64</v>
      </c>
      <c r="BZ5" s="27" t="n">
        <v>7235.43</v>
      </c>
      <c r="CA5" s="27" t="n">
        <v>6911.93</v>
      </c>
      <c r="CB5" s="27" t="n">
        <v>6479.61</v>
      </c>
      <c r="CC5" s="27" t="n">
        <v>5464.61</v>
      </c>
      <c r="CD5" s="27" t="n">
        <v>4463.57</v>
      </c>
      <c r="CE5" s="27" t="n">
        <v>4242.11</v>
      </c>
      <c r="CF5" s="27" t="n">
        <v>4172.93</v>
      </c>
      <c r="CG5" s="27" t="n">
        <v>3978.61</v>
      </c>
      <c r="CH5" s="27" t="n">
        <v>3886.25</v>
      </c>
      <c r="CI5" s="27" t="n">
        <v>3683.07</v>
      </c>
      <c r="CJ5" s="27" t="n">
        <v>3509.46</v>
      </c>
      <c r="CK5" s="27" t="n">
        <v>3474.93</v>
      </c>
      <c r="CL5" s="27" t="n">
        <v>3444.43</v>
      </c>
      <c r="CM5" s="27" t="n">
        <v>3314.86</v>
      </c>
      <c r="CN5" s="27" t="n">
        <v>3287.21</v>
      </c>
      <c r="CO5" s="27" t="n">
        <v>3216.68</v>
      </c>
      <c r="CP5" s="27" t="n">
        <v>3149.71</v>
      </c>
      <c r="CQ5" s="27" t="n">
        <v>3057.64</v>
      </c>
      <c r="CR5" s="27" t="n">
        <v>3001.89</v>
      </c>
      <c r="CS5" s="27" t="n">
        <v>2948.71</v>
      </c>
      <c r="CT5" s="27" t="n">
        <v>2885.11</v>
      </c>
      <c r="CU5" s="27" t="n">
        <v>2840.36</v>
      </c>
      <c r="CV5" s="27" t="n">
        <v>2872.32</v>
      </c>
      <c r="CW5" s="27" t="n">
        <v>2929.39</v>
      </c>
      <c r="CX5" s="27" t="n">
        <v>2918.32</v>
      </c>
      <c r="CY5" s="27" t="n">
        <v>2906.89</v>
      </c>
      <c r="CZ5" s="27" t="n">
        <v>2889.36</v>
      </c>
      <c r="DA5" s="27" t="n">
        <v>2869.14</v>
      </c>
      <c r="DB5" s="27" t="n">
        <v>2849.96</v>
      </c>
      <c r="DC5" s="27" t="n">
        <v>2841.68</v>
      </c>
      <c r="DD5" s="27" t="n">
        <v>2850.5</v>
      </c>
      <c r="DE5" s="27" t="n">
        <v>2845.36</v>
      </c>
      <c r="DF5" s="27" t="n">
        <v>2857.5</v>
      </c>
      <c r="DG5" s="27" t="n">
        <v>2849.86</v>
      </c>
      <c r="DH5" s="27" t="n">
        <v>2852.5</v>
      </c>
      <c r="DI5" s="27" t="n">
        <v>2881.71</v>
      </c>
      <c r="DJ5" s="27" t="n">
        <v>2905.79</v>
      </c>
      <c r="DK5" s="27" t="n">
        <v>2921.29</v>
      </c>
      <c r="DL5" s="27" t="n">
        <v>2980.21</v>
      </c>
      <c r="DM5" s="27" t="n">
        <v>3021.36</v>
      </c>
      <c r="DN5" s="27" t="n">
        <v>3045.89</v>
      </c>
      <c r="DO5" s="27" t="n">
        <v>3116.11</v>
      </c>
      <c r="DP5" s="27" t="n">
        <v>3329</v>
      </c>
      <c r="DQ5" s="27" t="n">
        <v>3564.57</v>
      </c>
      <c r="DR5" s="27" t="n">
        <v>3677.79</v>
      </c>
      <c r="DS5" s="27" t="n">
        <v>3875.36</v>
      </c>
      <c r="DT5" s="27" t="n">
        <v>4520</v>
      </c>
      <c r="DU5" s="27" t="n">
        <v>5218.39</v>
      </c>
      <c r="DV5" s="27" t="n">
        <v>6299.43</v>
      </c>
      <c r="DW5" s="27" t="n">
        <v>7748.61</v>
      </c>
      <c r="DX5" s="27" t="n">
        <v>8418.5</v>
      </c>
      <c r="DY5" s="27" t="n">
        <v>8939.709999999999</v>
      </c>
      <c r="DZ5" s="27" t="n">
        <v>8830.110000000001</v>
      </c>
      <c r="EA5" s="27" t="n">
        <v>7549.36</v>
      </c>
      <c r="EB5" s="27" t="n">
        <v>5160.89</v>
      </c>
      <c r="EC5" s="27" t="n">
        <v>4229.11</v>
      </c>
      <c r="ED5" s="27" t="n">
        <v>3714.75</v>
      </c>
      <c r="EE5" s="27" t="n">
        <v>3521</v>
      </c>
      <c r="EF5" s="27" t="n">
        <v>3350.36</v>
      </c>
      <c r="EG5" s="27" t="n">
        <v>3210.21</v>
      </c>
      <c r="EH5" s="27" t="n">
        <v>2925.61</v>
      </c>
      <c r="EI5" s="27" t="n">
        <v>2693.61</v>
      </c>
      <c r="EJ5" s="27" t="n">
        <v>2568.71</v>
      </c>
      <c r="EK5" s="27" t="n">
        <v>2562.21</v>
      </c>
      <c r="EL5" s="27" t="n">
        <v>2492.89</v>
      </c>
      <c r="EM5" s="27" t="n">
        <v>2436.64</v>
      </c>
      <c r="EN5" s="27" t="n">
        <v>2394.64</v>
      </c>
      <c r="EO5" s="27" t="n">
        <v>2329</v>
      </c>
      <c r="EP5" s="27" t="n">
        <v>2250.18</v>
      </c>
      <c r="EQ5" s="27" t="n">
        <v>2196.93</v>
      </c>
      <c r="ER5" s="27" t="n">
        <v>2154.43</v>
      </c>
      <c r="ES5" s="27" t="n">
        <v>2106.93</v>
      </c>
      <c r="ET5" s="27" t="n">
        <v>2023.93</v>
      </c>
      <c r="EU5" s="27" t="n">
        <v>1832.39</v>
      </c>
      <c r="EV5" s="27" t="n">
        <v>1783.14</v>
      </c>
      <c r="EW5" s="27" t="n">
        <v>1818.64</v>
      </c>
      <c r="EX5" s="27" t="n">
        <v>1908.86</v>
      </c>
      <c r="EY5" s="27" t="n">
        <v>1988.36</v>
      </c>
      <c r="EZ5" s="27" t="n">
        <v>2047.68</v>
      </c>
      <c r="FA5" s="27" t="n">
        <v>2099.75</v>
      </c>
      <c r="FB5" s="27" t="n">
        <v>2165.5</v>
      </c>
      <c r="FC5" s="27" t="n">
        <v>2323.5</v>
      </c>
      <c r="FD5" s="27" t="n">
        <v>2432.25</v>
      </c>
      <c r="FE5" s="27" t="n">
        <v>2605.5</v>
      </c>
      <c r="FF5" s="27" t="n">
        <v>2711.36</v>
      </c>
      <c r="FG5" s="27" t="n">
        <v>2662.61</v>
      </c>
      <c r="FH5" s="27" t="n">
        <v>2658.96</v>
      </c>
      <c r="FI5" s="27" t="n">
        <v>2785.96</v>
      </c>
      <c r="FJ5" s="27" t="n">
        <v>2981.96</v>
      </c>
      <c r="FK5" s="27" t="n">
        <v>3051.18</v>
      </c>
      <c r="FL5" s="27" t="n">
        <v>3364.75</v>
      </c>
      <c r="FM5" s="27" t="n">
        <v>3719.04</v>
      </c>
      <c r="FN5" s="27" t="n">
        <v>4448.71</v>
      </c>
      <c r="FO5" s="27" t="n">
        <v>5295.75</v>
      </c>
      <c r="FP5" s="27" t="n">
        <v>6736.79</v>
      </c>
      <c r="FQ5" s="27" t="n">
        <v>7259.64</v>
      </c>
      <c r="FR5" s="27" t="n">
        <v>7235.43</v>
      </c>
      <c r="FS5" s="27" t="n">
        <v>6911.93</v>
      </c>
      <c r="FT5" s="27" t="n">
        <v>6479.61</v>
      </c>
      <c r="FU5" s="27" t="n">
        <v>5464.61</v>
      </c>
      <c r="FV5" s="27" t="n">
        <v>4463.57</v>
      </c>
      <c r="FW5" s="27" t="n">
        <v>4242.11</v>
      </c>
      <c r="FX5" s="27" t="n">
        <v>4172.93</v>
      </c>
      <c r="FY5" s="27" t="n">
        <v>3978.61</v>
      </c>
      <c r="FZ5" s="27" t="n">
        <v>3886.25</v>
      </c>
      <c r="GA5" s="27" t="n">
        <v>3683.07</v>
      </c>
      <c r="GB5" s="27" t="n">
        <v>3509.46</v>
      </c>
      <c r="GC5" s="27" t="n">
        <v>3474.93</v>
      </c>
      <c r="GD5" s="27" t="n">
        <v>3444.43</v>
      </c>
      <c r="GE5" s="27" t="n">
        <v>3314.86</v>
      </c>
      <c r="GF5" s="27" t="n">
        <v>3287.21</v>
      </c>
      <c r="GG5" s="27" t="n">
        <v>3216.68</v>
      </c>
      <c r="GH5" s="27" t="n">
        <v>3149.71</v>
      </c>
      <c r="GI5" s="27" t="n">
        <v>3057.64</v>
      </c>
      <c r="GJ5" s="27" t="n">
        <v>3001.89</v>
      </c>
      <c r="GK5" s="27" t="n">
        <v>2948.71</v>
      </c>
      <c r="GL5" s="27" t="n">
        <v>2885.11</v>
      </c>
    </row>
    <row r="6">
      <c r="A6" s="6" t="inlineStr">
        <is>
          <t>DAM|3</t>
        </is>
      </c>
      <c r="B6" s="2" t="n">
        <v>31</v>
      </c>
      <c r="C6" s="27" t="n">
        <v>4601.26</v>
      </c>
      <c r="D6" s="27" t="n">
        <v>4713.97</v>
      </c>
      <c r="E6" s="27" t="n">
        <v>4866.58</v>
      </c>
      <c r="F6" s="27" t="n">
        <v>4827.39</v>
      </c>
      <c r="G6" s="27" t="n">
        <v>4716.16</v>
      </c>
      <c r="H6" s="27" t="n">
        <v>4693.58</v>
      </c>
      <c r="I6" s="27" t="n">
        <v>4648.42</v>
      </c>
      <c r="J6" s="27" t="n">
        <v>4543.16</v>
      </c>
      <c r="K6" s="27" t="n">
        <v>4582.26</v>
      </c>
      <c r="L6" s="27" t="n">
        <v>4626.16</v>
      </c>
      <c r="M6" s="27" t="n">
        <v>4658.52</v>
      </c>
      <c r="N6" s="27" t="n">
        <v>4672.42</v>
      </c>
      <c r="O6" s="27" t="n">
        <v>4557.45</v>
      </c>
      <c r="P6" s="27" t="n">
        <v>4442.87</v>
      </c>
      <c r="Q6" s="27" t="n">
        <v>4605.9</v>
      </c>
      <c r="R6" s="27" t="n">
        <v>4607.29</v>
      </c>
      <c r="S6" s="27" t="n">
        <v>4583.03</v>
      </c>
      <c r="T6" s="27" t="n">
        <v>4801.06</v>
      </c>
      <c r="U6" s="27" t="n">
        <v>4887.65</v>
      </c>
      <c r="V6" s="27" t="n">
        <v>4880.65</v>
      </c>
      <c r="W6" s="27" t="n">
        <v>5261.35</v>
      </c>
      <c r="X6" s="27" t="n">
        <v>5662.97</v>
      </c>
      <c r="Y6" s="27" t="n">
        <v>5124.06</v>
      </c>
      <c r="Z6" s="27" t="n">
        <v>4898.32</v>
      </c>
      <c r="AA6" s="27" t="n">
        <v>5333.39</v>
      </c>
      <c r="AB6" s="27" t="n">
        <v>5696.84</v>
      </c>
      <c r="AC6" s="27" t="n">
        <v>5617.13</v>
      </c>
      <c r="AD6" s="27" t="n">
        <v>6143.32</v>
      </c>
      <c r="AE6" s="27" t="n">
        <v>6438.29</v>
      </c>
      <c r="AF6" s="27" t="n">
        <v>6131.97</v>
      </c>
      <c r="AG6" s="27" t="n">
        <v>5546.39</v>
      </c>
      <c r="AH6" s="27" t="n">
        <v>4801.97</v>
      </c>
      <c r="AI6" s="27" t="n">
        <v>3856.29</v>
      </c>
      <c r="AJ6" s="27" t="n">
        <v>3459.32</v>
      </c>
      <c r="AK6" s="27" t="n">
        <v>3121.84</v>
      </c>
      <c r="AL6" s="27" t="n">
        <v>2901.23</v>
      </c>
      <c r="AM6" s="27" t="n">
        <v>2770.77</v>
      </c>
      <c r="AN6" s="27" t="n">
        <v>2738.13</v>
      </c>
      <c r="AO6" s="27" t="n">
        <v>2635.19</v>
      </c>
      <c r="AP6" s="27" t="n">
        <v>2484.06</v>
      </c>
      <c r="AQ6" s="27" t="n">
        <v>2227.52</v>
      </c>
      <c r="AR6" s="27" t="n">
        <v>2213.29</v>
      </c>
      <c r="AS6" s="27" t="n">
        <v>2127.81</v>
      </c>
      <c r="AT6" s="27" t="n">
        <v>2057.29</v>
      </c>
      <c r="AU6" s="27" t="n">
        <v>1936.65</v>
      </c>
      <c r="AV6" s="27" t="n">
        <v>1960.32</v>
      </c>
      <c r="AW6" s="27" t="n">
        <v>1944.48</v>
      </c>
      <c r="AX6" s="27" t="n">
        <v>1912.26</v>
      </c>
      <c r="AY6" s="27" t="n">
        <v>1830.97</v>
      </c>
      <c r="AZ6" s="27" t="n">
        <v>1800.16</v>
      </c>
      <c r="BA6" s="27" t="n">
        <v>1772.32</v>
      </c>
      <c r="BB6" s="27" t="n">
        <v>1704.71</v>
      </c>
      <c r="BC6" s="27" t="n">
        <v>1606.55</v>
      </c>
      <c r="BD6" s="27" t="n">
        <v>1586.68</v>
      </c>
      <c r="BE6" s="27" t="n">
        <v>1612.13</v>
      </c>
      <c r="BF6" s="27" t="n">
        <v>1649.39</v>
      </c>
      <c r="BG6" s="27" t="n">
        <v>1754.9</v>
      </c>
      <c r="BH6" s="27" t="n">
        <v>1831.32</v>
      </c>
      <c r="BI6" s="27" t="n">
        <v>1928</v>
      </c>
      <c r="BJ6" s="27" t="n">
        <v>2026.81</v>
      </c>
      <c r="BK6" s="27" t="n">
        <v>2196.55</v>
      </c>
      <c r="BL6" s="27" t="n">
        <v>2295.35</v>
      </c>
      <c r="BM6" s="27" t="n">
        <v>2452.52</v>
      </c>
      <c r="BN6" s="27" t="n">
        <v>2615.06</v>
      </c>
      <c r="BO6" s="27" t="n">
        <v>2685.1</v>
      </c>
      <c r="BP6" s="27" t="n">
        <v>2809.48</v>
      </c>
      <c r="BQ6" s="27" t="n">
        <v>2932.9</v>
      </c>
      <c r="BR6" s="27" t="n">
        <v>3043.52</v>
      </c>
      <c r="BS6" s="27" t="n">
        <v>3110.13</v>
      </c>
      <c r="BT6" s="27" t="n">
        <v>3301.42</v>
      </c>
      <c r="BU6" s="27" t="n">
        <v>3713</v>
      </c>
      <c r="BV6" s="27" t="n">
        <v>4075.77</v>
      </c>
      <c r="BW6" s="27" t="n">
        <v>4662.03</v>
      </c>
      <c r="BX6" s="27" t="n">
        <v>6107.32</v>
      </c>
      <c r="BY6" s="27" t="n">
        <v>7793.03</v>
      </c>
      <c r="BZ6" s="27" t="n">
        <v>8409.450000000001</v>
      </c>
      <c r="CA6" s="27" t="n">
        <v>8153.23</v>
      </c>
      <c r="CB6" s="27" t="n">
        <v>8032.52</v>
      </c>
      <c r="CC6" s="27" t="n">
        <v>7479.39</v>
      </c>
      <c r="CD6" s="27" t="n">
        <v>6694.97</v>
      </c>
      <c r="CE6" s="27" t="n">
        <v>6190.23</v>
      </c>
      <c r="CF6" s="27" t="n">
        <v>5988.29</v>
      </c>
      <c r="CG6" s="27" t="n">
        <v>6066.52</v>
      </c>
      <c r="CH6" s="27" t="n">
        <v>5905.39</v>
      </c>
      <c r="CI6" s="27" t="n">
        <v>5721.35</v>
      </c>
      <c r="CJ6" s="27" t="n">
        <v>5822.87</v>
      </c>
      <c r="CK6" s="27" t="n">
        <v>5708.65</v>
      </c>
      <c r="CL6" s="27" t="n">
        <v>5597.39</v>
      </c>
      <c r="CM6" s="27" t="n">
        <v>5552.74</v>
      </c>
      <c r="CN6" s="27" t="n">
        <v>5680.48</v>
      </c>
      <c r="CO6" s="27" t="n">
        <v>5508.45</v>
      </c>
      <c r="CP6" s="27" t="n">
        <v>5382.97</v>
      </c>
      <c r="CQ6" s="27" t="n">
        <v>5153.68</v>
      </c>
      <c r="CR6" s="27" t="n">
        <v>4965.68</v>
      </c>
      <c r="CS6" s="27" t="n">
        <v>4888.29</v>
      </c>
      <c r="CT6" s="27" t="n">
        <v>4861.81</v>
      </c>
      <c r="CU6" s="27" t="n">
        <v>4601.26</v>
      </c>
      <c r="CV6" s="27" t="n">
        <v>4713.97</v>
      </c>
      <c r="CW6" s="27" t="n">
        <v>4866.58</v>
      </c>
      <c r="CX6" s="27" t="n">
        <v>4827.39</v>
      </c>
      <c r="CY6" s="27" t="n">
        <v>4716.16</v>
      </c>
      <c r="CZ6" s="27" t="n">
        <v>4693.58</v>
      </c>
      <c r="DA6" s="27" t="n">
        <v>4648.42</v>
      </c>
      <c r="DB6" s="27" t="n">
        <v>4543.16</v>
      </c>
      <c r="DC6" s="27" t="n">
        <v>4582.26</v>
      </c>
      <c r="DD6" s="27" t="n">
        <v>4626.16</v>
      </c>
      <c r="DE6" s="27" t="n">
        <v>4658.52</v>
      </c>
      <c r="DF6" s="27" t="n">
        <v>4672.42</v>
      </c>
      <c r="DG6" s="27" t="n">
        <v>4557.45</v>
      </c>
      <c r="DH6" s="27" t="n">
        <v>4442.87</v>
      </c>
      <c r="DI6" s="27" t="n">
        <v>4605.9</v>
      </c>
      <c r="DJ6" s="27" t="n">
        <v>4607.29</v>
      </c>
      <c r="DK6" s="27" t="n">
        <v>4583.03</v>
      </c>
      <c r="DL6" s="27" t="n">
        <v>4801.06</v>
      </c>
      <c r="DM6" s="27" t="n">
        <v>4887.65</v>
      </c>
      <c r="DN6" s="27" t="n">
        <v>4880.65</v>
      </c>
      <c r="DO6" s="27" t="n">
        <v>5261.35</v>
      </c>
      <c r="DP6" s="27" t="n">
        <v>5662.97</v>
      </c>
      <c r="DQ6" s="27" t="n">
        <v>5124.06</v>
      </c>
      <c r="DR6" s="27" t="n">
        <v>4898.32</v>
      </c>
      <c r="DS6" s="27" t="n">
        <v>5333.39</v>
      </c>
      <c r="DT6" s="27" t="n">
        <v>5696.84</v>
      </c>
      <c r="DU6" s="27" t="n">
        <v>5617.13</v>
      </c>
      <c r="DV6" s="27" t="n">
        <v>6143.32</v>
      </c>
      <c r="DW6" s="27" t="n">
        <v>6438.29</v>
      </c>
      <c r="DX6" s="27" t="n">
        <v>6131.97</v>
      </c>
      <c r="DY6" s="27" t="n">
        <v>5546.39</v>
      </c>
      <c r="DZ6" s="27" t="n">
        <v>4801.97</v>
      </c>
      <c r="EA6" s="27" t="n">
        <v>3856.29</v>
      </c>
      <c r="EB6" s="27" t="n">
        <v>3459.32</v>
      </c>
      <c r="EC6" s="27" t="n">
        <v>3121.84</v>
      </c>
      <c r="ED6" s="27" t="n">
        <v>2901.23</v>
      </c>
      <c r="EE6" s="27" t="n">
        <v>2770.77</v>
      </c>
      <c r="EF6" s="27" t="n">
        <v>2738.13</v>
      </c>
      <c r="EG6" s="27" t="n">
        <v>2635.19</v>
      </c>
      <c r="EH6" s="27" t="n">
        <v>2484.06</v>
      </c>
      <c r="EI6" s="27" t="n">
        <v>2227.52</v>
      </c>
      <c r="EJ6" s="27" t="n">
        <v>2213.29</v>
      </c>
      <c r="EK6" s="27" t="n">
        <v>2127.81</v>
      </c>
      <c r="EL6" s="27" t="n">
        <v>2057.29</v>
      </c>
      <c r="EM6" s="27" t="n">
        <v>1936.65</v>
      </c>
      <c r="EN6" s="27" t="n">
        <v>1960.32</v>
      </c>
      <c r="EO6" s="27" t="n">
        <v>1944.48</v>
      </c>
      <c r="EP6" s="27" t="n">
        <v>1912.26</v>
      </c>
      <c r="EQ6" s="27" t="n">
        <v>1830.97</v>
      </c>
      <c r="ER6" s="27" t="n">
        <v>1800.16</v>
      </c>
      <c r="ES6" s="27" t="n">
        <v>1772.32</v>
      </c>
      <c r="ET6" s="27" t="n">
        <v>1704.71</v>
      </c>
      <c r="EU6" s="27" t="n">
        <v>1606.55</v>
      </c>
      <c r="EV6" s="27" t="n">
        <v>1586.68</v>
      </c>
      <c r="EW6" s="27" t="n">
        <v>1612.13</v>
      </c>
      <c r="EX6" s="27" t="n">
        <v>1649.39</v>
      </c>
      <c r="EY6" s="27" t="n">
        <v>1754.9</v>
      </c>
      <c r="EZ6" s="27" t="n">
        <v>1831.32</v>
      </c>
      <c r="FA6" s="27" t="n">
        <v>1928</v>
      </c>
      <c r="FB6" s="27" t="n">
        <v>2026.81</v>
      </c>
      <c r="FC6" s="27" t="n">
        <v>2196.55</v>
      </c>
      <c r="FD6" s="27" t="n">
        <v>2295.35</v>
      </c>
      <c r="FE6" s="27" t="n">
        <v>2452.52</v>
      </c>
      <c r="FF6" s="27" t="n">
        <v>2615.06</v>
      </c>
      <c r="FG6" s="27" t="n">
        <v>2685.1</v>
      </c>
      <c r="FH6" s="27" t="n">
        <v>2809.48</v>
      </c>
      <c r="FI6" s="27" t="n">
        <v>2932.9</v>
      </c>
      <c r="FJ6" s="27" t="n">
        <v>3043.52</v>
      </c>
      <c r="FK6" s="27" t="n">
        <v>3110.13</v>
      </c>
      <c r="FL6" s="27" t="n">
        <v>3301.42</v>
      </c>
      <c r="FM6" s="27" t="n">
        <v>3713</v>
      </c>
      <c r="FN6" s="27" t="n">
        <v>4075.77</v>
      </c>
      <c r="FO6" s="27" t="n">
        <v>4662.03</v>
      </c>
      <c r="FP6" s="27" t="n">
        <v>6107.32</v>
      </c>
      <c r="FQ6" s="27" t="n">
        <v>7793.03</v>
      </c>
      <c r="FR6" s="27" t="n">
        <v>8409.450000000001</v>
      </c>
      <c r="FS6" s="27" t="n">
        <v>8153.23</v>
      </c>
      <c r="FT6" s="27" t="n">
        <v>8032.52</v>
      </c>
      <c r="FU6" s="27" t="n">
        <v>7479.39</v>
      </c>
      <c r="FV6" s="27" t="n">
        <v>6694.97</v>
      </c>
      <c r="FW6" s="27" t="n">
        <v>6190.23</v>
      </c>
      <c r="FX6" s="27" t="n">
        <v>5988.29</v>
      </c>
      <c r="FY6" s="27" t="n">
        <v>6066.52</v>
      </c>
      <c r="FZ6" s="27" t="n">
        <v>5905.39</v>
      </c>
      <c r="GA6" s="27" t="n">
        <v>5721.35</v>
      </c>
      <c r="GB6" s="27" t="n">
        <v>5822.87</v>
      </c>
      <c r="GC6" s="27" t="n">
        <v>5708.65</v>
      </c>
      <c r="GD6" s="27" t="n">
        <v>5597.39</v>
      </c>
      <c r="GE6" s="27" t="n">
        <v>5552.74</v>
      </c>
      <c r="GF6" s="27" t="n">
        <v>5680.48</v>
      </c>
      <c r="GG6" s="27" t="n">
        <v>5508.45</v>
      </c>
      <c r="GH6" s="27" t="n">
        <v>5382.97</v>
      </c>
      <c r="GI6" s="27" t="n">
        <v>5153.68</v>
      </c>
      <c r="GJ6" s="27" t="n">
        <v>4965.68</v>
      </c>
      <c r="GK6" s="27" t="n">
        <v>4888.29</v>
      </c>
      <c r="GL6" s="27" t="n">
        <v>4861.81</v>
      </c>
    </row>
    <row r="7">
      <c r="A7" s="6" t="inlineStr">
        <is>
          <t>DAM|4</t>
        </is>
      </c>
      <c r="B7" s="2" t="n">
        <v>30</v>
      </c>
      <c r="C7" s="27" t="n">
        <v>8246.629999999999</v>
      </c>
      <c r="D7" s="27" t="n">
        <v>8106.53</v>
      </c>
      <c r="E7" s="27" t="n">
        <v>8119.87</v>
      </c>
      <c r="F7" s="27" t="n">
        <v>8082.87</v>
      </c>
      <c r="G7" s="27" t="n">
        <v>7835.5</v>
      </c>
      <c r="H7" s="27" t="n">
        <v>7777.43</v>
      </c>
      <c r="I7" s="27" t="n">
        <v>7727.53</v>
      </c>
      <c r="J7" s="27" t="n">
        <v>7670.33</v>
      </c>
      <c r="K7" s="27" t="n">
        <v>7548.33</v>
      </c>
      <c r="L7" s="27" t="n">
        <v>7636.37</v>
      </c>
      <c r="M7" s="27" t="n">
        <v>7577.97</v>
      </c>
      <c r="N7" s="27" t="n">
        <v>7550.43</v>
      </c>
      <c r="O7" s="27" t="n">
        <v>7265.07</v>
      </c>
      <c r="P7" s="27" t="n">
        <v>7093.13</v>
      </c>
      <c r="Q7" s="27" t="n">
        <v>6988.67</v>
      </c>
      <c r="R7" s="27" t="n">
        <v>6955.63</v>
      </c>
      <c r="S7" s="27" t="n">
        <v>6843.87</v>
      </c>
      <c r="T7" s="27" t="n">
        <v>7020.97</v>
      </c>
      <c r="U7" s="27" t="n">
        <v>6950.03</v>
      </c>
      <c r="V7" s="27" t="n">
        <v>7082.1</v>
      </c>
      <c r="W7" s="27" t="n">
        <v>7374.97</v>
      </c>
      <c r="X7" s="27" t="n">
        <v>7739.4</v>
      </c>
      <c r="Y7" s="27" t="n">
        <v>7776.87</v>
      </c>
      <c r="Z7" s="27" t="n">
        <v>7970.57</v>
      </c>
      <c r="AA7" s="27" t="n">
        <v>7922.2</v>
      </c>
      <c r="AB7" s="27" t="n">
        <v>8226.4</v>
      </c>
      <c r="AC7" s="27" t="n">
        <v>7892.87</v>
      </c>
      <c r="AD7" s="27" t="n">
        <v>7524.8</v>
      </c>
      <c r="AE7" s="27" t="n">
        <v>5178.33</v>
      </c>
      <c r="AF7" s="27" t="n">
        <v>4172</v>
      </c>
      <c r="AG7" s="27" t="n">
        <v>3525.6</v>
      </c>
      <c r="AH7" s="27" t="n">
        <v>2963</v>
      </c>
      <c r="AI7" s="27" t="n">
        <v>2441.73</v>
      </c>
      <c r="AJ7" s="27" t="n">
        <v>2256.93</v>
      </c>
      <c r="AK7" s="27" t="n">
        <v>2059.33</v>
      </c>
      <c r="AL7" s="27" t="n">
        <v>2030.67</v>
      </c>
      <c r="AM7" s="27" t="n">
        <v>1886.73</v>
      </c>
      <c r="AN7" s="27" t="n">
        <v>1893.6</v>
      </c>
      <c r="AO7" s="27" t="n">
        <v>1798.73</v>
      </c>
      <c r="AP7" s="27" t="n">
        <v>1738.1</v>
      </c>
      <c r="AQ7" s="27" t="n">
        <v>1493.83</v>
      </c>
      <c r="AR7" s="27" t="n">
        <v>1448.83</v>
      </c>
      <c r="AS7" s="27" t="n">
        <v>1384.23</v>
      </c>
      <c r="AT7" s="27" t="n">
        <v>1351.07</v>
      </c>
      <c r="AU7" s="27" t="n">
        <v>1284.33</v>
      </c>
      <c r="AV7" s="27" t="n">
        <v>1293.6</v>
      </c>
      <c r="AW7" s="27" t="n">
        <v>1312.03</v>
      </c>
      <c r="AX7" s="27" t="n">
        <v>1301.07</v>
      </c>
      <c r="AY7" s="27" t="n">
        <v>1210.67</v>
      </c>
      <c r="AZ7" s="27" t="n">
        <v>1188</v>
      </c>
      <c r="BA7" s="27" t="n">
        <v>1163.5</v>
      </c>
      <c r="BB7" s="27" t="n">
        <v>1151.1</v>
      </c>
      <c r="BC7" s="27" t="n">
        <v>992.73</v>
      </c>
      <c r="BD7" s="27" t="n">
        <v>990.13</v>
      </c>
      <c r="BE7" s="27" t="n">
        <v>1063.9</v>
      </c>
      <c r="BF7" s="27" t="n">
        <v>1170.63</v>
      </c>
      <c r="BG7" s="27" t="n">
        <v>1335.87</v>
      </c>
      <c r="BH7" s="27" t="n">
        <v>1464.63</v>
      </c>
      <c r="BI7" s="27" t="n">
        <v>1630.27</v>
      </c>
      <c r="BJ7" s="27" t="n">
        <v>1748.03</v>
      </c>
      <c r="BK7" s="27" t="n">
        <v>2026.8</v>
      </c>
      <c r="BL7" s="27" t="n">
        <v>2096.3</v>
      </c>
      <c r="BM7" s="27" t="n">
        <v>2243.17</v>
      </c>
      <c r="BN7" s="27" t="n">
        <v>2387.67</v>
      </c>
      <c r="BO7" s="27" t="n">
        <v>2489.5</v>
      </c>
      <c r="BP7" s="27" t="n">
        <v>2603.2</v>
      </c>
      <c r="BQ7" s="27" t="n">
        <v>2808.83</v>
      </c>
      <c r="BR7" s="27" t="n">
        <v>2949.9</v>
      </c>
      <c r="BS7" s="27" t="n">
        <v>3236.27</v>
      </c>
      <c r="BT7" s="27" t="n">
        <v>3543.7</v>
      </c>
      <c r="BU7" s="27" t="n">
        <v>4232.33</v>
      </c>
      <c r="BV7" s="27" t="n">
        <v>5105.73</v>
      </c>
      <c r="BW7" s="27" t="n">
        <v>5757.43</v>
      </c>
      <c r="BX7" s="27" t="n">
        <v>7049.27</v>
      </c>
      <c r="BY7" s="27" t="n">
        <v>8387.83</v>
      </c>
      <c r="BZ7" s="27" t="n">
        <v>8826.67</v>
      </c>
      <c r="CA7" s="27" t="n">
        <v>9125.6</v>
      </c>
      <c r="CB7" s="27" t="n">
        <v>9125.73</v>
      </c>
      <c r="CC7" s="27" t="n">
        <v>9023.27</v>
      </c>
      <c r="CD7" s="27" t="n">
        <v>8794.370000000001</v>
      </c>
      <c r="CE7" s="27" t="n">
        <v>8445.07</v>
      </c>
      <c r="CF7" s="27" t="n">
        <v>8264.969999999999</v>
      </c>
      <c r="CG7" s="27" t="n">
        <v>8282.6</v>
      </c>
      <c r="CH7" s="27" t="n">
        <v>8366.6</v>
      </c>
      <c r="CI7" s="27" t="n">
        <v>8197.17</v>
      </c>
      <c r="CJ7" s="27" t="n">
        <v>8219.57</v>
      </c>
      <c r="CK7" s="27" t="n">
        <v>8161.73</v>
      </c>
      <c r="CL7" s="27" t="n">
        <v>8096.47</v>
      </c>
      <c r="CM7" s="27" t="n">
        <v>8078.5</v>
      </c>
      <c r="CN7" s="27" t="n">
        <v>8145</v>
      </c>
      <c r="CO7" s="27" t="n">
        <v>8419</v>
      </c>
      <c r="CP7" s="27" t="n">
        <v>8494.07</v>
      </c>
      <c r="CQ7" s="27" t="n">
        <v>8511.77</v>
      </c>
      <c r="CR7" s="27" t="n">
        <v>8325.43</v>
      </c>
      <c r="CS7" s="27" t="n">
        <v>8241.299999999999</v>
      </c>
      <c r="CT7" s="27" t="n">
        <v>8177.63</v>
      </c>
      <c r="CU7" s="27" t="n">
        <v>8246.629999999999</v>
      </c>
      <c r="CV7" s="27" t="n">
        <v>8106.53</v>
      </c>
      <c r="CW7" s="27" t="n">
        <v>8119.87</v>
      </c>
      <c r="CX7" s="27" t="n">
        <v>8082.87</v>
      </c>
      <c r="CY7" s="27" t="n">
        <v>7835.5</v>
      </c>
      <c r="CZ7" s="27" t="n">
        <v>7777.43</v>
      </c>
      <c r="DA7" s="27" t="n">
        <v>7727.53</v>
      </c>
      <c r="DB7" s="27" t="n">
        <v>7670.33</v>
      </c>
      <c r="DC7" s="27" t="n">
        <v>7548.33</v>
      </c>
      <c r="DD7" s="27" t="n">
        <v>7636.37</v>
      </c>
      <c r="DE7" s="27" t="n">
        <v>7577.97</v>
      </c>
      <c r="DF7" s="27" t="n">
        <v>7550.43</v>
      </c>
      <c r="DG7" s="27" t="n">
        <v>7265.07</v>
      </c>
      <c r="DH7" s="27" t="n">
        <v>7093.13</v>
      </c>
      <c r="DI7" s="27" t="n">
        <v>6988.67</v>
      </c>
      <c r="DJ7" s="27" t="n">
        <v>6955.63</v>
      </c>
      <c r="DK7" s="27" t="n">
        <v>6843.87</v>
      </c>
      <c r="DL7" s="27" t="n">
        <v>7020.97</v>
      </c>
      <c r="DM7" s="27" t="n">
        <v>6950.03</v>
      </c>
      <c r="DN7" s="27" t="n">
        <v>7082.1</v>
      </c>
      <c r="DO7" s="27" t="n">
        <v>7374.97</v>
      </c>
      <c r="DP7" s="27" t="n">
        <v>7739.4</v>
      </c>
      <c r="DQ7" s="27" t="n">
        <v>7776.87</v>
      </c>
      <c r="DR7" s="27" t="n">
        <v>7970.57</v>
      </c>
      <c r="DS7" s="27" t="n">
        <v>7922.2</v>
      </c>
      <c r="DT7" s="27" t="n">
        <v>8226.4</v>
      </c>
      <c r="DU7" s="27" t="n">
        <v>7892.87</v>
      </c>
      <c r="DV7" s="27" t="n">
        <v>7524.8</v>
      </c>
      <c r="DW7" s="27" t="n">
        <v>5178.33</v>
      </c>
      <c r="DX7" s="27" t="n">
        <v>4172</v>
      </c>
      <c r="DY7" s="27" t="n">
        <v>3525.6</v>
      </c>
      <c r="DZ7" s="27" t="n">
        <v>2963</v>
      </c>
      <c r="EA7" s="27" t="n">
        <v>2441.73</v>
      </c>
      <c r="EB7" s="27" t="n">
        <v>2256.93</v>
      </c>
      <c r="EC7" s="27" t="n">
        <v>2059.33</v>
      </c>
      <c r="ED7" s="27" t="n">
        <v>2030.67</v>
      </c>
      <c r="EE7" s="27" t="n">
        <v>1886.73</v>
      </c>
      <c r="EF7" s="27" t="n">
        <v>1893.6</v>
      </c>
      <c r="EG7" s="27" t="n">
        <v>1798.73</v>
      </c>
      <c r="EH7" s="27" t="n">
        <v>1738.1</v>
      </c>
      <c r="EI7" s="27" t="n">
        <v>1493.83</v>
      </c>
      <c r="EJ7" s="27" t="n">
        <v>1448.83</v>
      </c>
      <c r="EK7" s="27" t="n">
        <v>1384.23</v>
      </c>
      <c r="EL7" s="27" t="n">
        <v>1351.07</v>
      </c>
      <c r="EM7" s="27" t="n">
        <v>1284.33</v>
      </c>
      <c r="EN7" s="27" t="n">
        <v>1293.6</v>
      </c>
      <c r="EO7" s="27" t="n">
        <v>1312.03</v>
      </c>
      <c r="EP7" s="27" t="n">
        <v>1301.07</v>
      </c>
      <c r="EQ7" s="27" t="n">
        <v>1210.67</v>
      </c>
      <c r="ER7" s="27" t="n">
        <v>1188</v>
      </c>
      <c r="ES7" s="27" t="n">
        <v>1163.5</v>
      </c>
      <c r="ET7" s="27" t="n">
        <v>1151.1</v>
      </c>
      <c r="EU7" s="27" t="n">
        <v>992.73</v>
      </c>
      <c r="EV7" s="27" t="n">
        <v>990.13</v>
      </c>
      <c r="EW7" s="27" t="n">
        <v>1063.9</v>
      </c>
      <c r="EX7" s="27" t="n">
        <v>1170.63</v>
      </c>
      <c r="EY7" s="27" t="n">
        <v>1335.87</v>
      </c>
      <c r="EZ7" s="27" t="n">
        <v>1464.63</v>
      </c>
      <c r="FA7" s="27" t="n">
        <v>1630.27</v>
      </c>
      <c r="FB7" s="27" t="n">
        <v>1748.03</v>
      </c>
      <c r="FC7" s="27" t="n">
        <v>2026.8</v>
      </c>
      <c r="FD7" s="27" t="n">
        <v>2096.3</v>
      </c>
      <c r="FE7" s="27" t="n">
        <v>2243.17</v>
      </c>
      <c r="FF7" s="27" t="n">
        <v>2387.67</v>
      </c>
      <c r="FG7" s="27" t="n">
        <v>2489.5</v>
      </c>
      <c r="FH7" s="27" t="n">
        <v>2603.2</v>
      </c>
      <c r="FI7" s="27" t="n">
        <v>2808.83</v>
      </c>
      <c r="FJ7" s="27" t="n">
        <v>2949.9</v>
      </c>
      <c r="FK7" s="27" t="n">
        <v>3236.27</v>
      </c>
      <c r="FL7" s="27" t="n">
        <v>3543.7</v>
      </c>
      <c r="FM7" s="27" t="n">
        <v>4232.33</v>
      </c>
      <c r="FN7" s="27" t="n">
        <v>5105.73</v>
      </c>
      <c r="FO7" s="27" t="n">
        <v>5757.43</v>
      </c>
      <c r="FP7" s="27" t="n">
        <v>7049.27</v>
      </c>
      <c r="FQ7" s="27" t="n">
        <v>8387.83</v>
      </c>
      <c r="FR7" s="27" t="n">
        <v>8826.67</v>
      </c>
      <c r="FS7" s="27" t="n">
        <v>9125.6</v>
      </c>
      <c r="FT7" s="27" t="n">
        <v>9125.73</v>
      </c>
      <c r="FU7" s="27" t="n">
        <v>9023.27</v>
      </c>
      <c r="FV7" s="27" t="n">
        <v>8794.370000000001</v>
      </c>
      <c r="FW7" s="27" t="n">
        <v>8445.07</v>
      </c>
      <c r="FX7" s="27" t="n">
        <v>8264.969999999999</v>
      </c>
      <c r="FY7" s="27" t="n">
        <v>8282.6</v>
      </c>
      <c r="FZ7" s="27" t="n">
        <v>8366.6</v>
      </c>
      <c r="GA7" s="27" t="n">
        <v>8197.17</v>
      </c>
      <c r="GB7" s="27" t="n">
        <v>8219.57</v>
      </c>
      <c r="GC7" s="27" t="n">
        <v>8161.73</v>
      </c>
      <c r="GD7" s="27" t="n">
        <v>8096.47</v>
      </c>
      <c r="GE7" s="27" t="n">
        <v>8078.5</v>
      </c>
      <c r="GF7" s="27" t="n">
        <v>8145</v>
      </c>
      <c r="GG7" s="27" t="n">
        <v>8419</v>
      </c>
      <c r="GH7" s="27" t="n">
        <v>8494.07</v>
      </c>
      <c r="GI7" s="27" t="n">
        <v>8511.77</v>
      </c>
      <c r="GJ7" s="27" t="n">
        <v>8325.43</v>
      </c>
      <c r="GK7" s="27" t="n">
        <v>8241.299999999999</v>
      </c>
      <c r="GL7" s="27" t="n">
        <v>8177.63</v>
      </c>
    </row>
    <row r="8">
      <c r="A8" s="6" t="inlineStr">
        <is>
          <t>DAM|5</t>
        </is>
      </c>
      <c r="B8" s="2" t="n">
        <v>31</v>
      </c>
      <c r="C8" s="27" t="n">
        <v>8350.48</v>
      </c>
      <c r="D8" s="27" t="n">
        <v>8184.32</v>
      </c>
      <c r="E8" s="27" t="n">
        <v>7946.42</v>
      </c>
      <c r="F8" s="27" t="n">
        <v>7892.39</v>
      </c>
      <c r="G8" s="27" t="n">
        <v>7814.74</v>
      </c>
      <c r="H8" s="27" t="n">
        <v>7729.87</v>
      </c>
      <c r="I8" s="27" t="n">
        <v>7615.13</v>
      </c>
      <c r="J8" s="27" t="n">
        <v>7450.58</v>
      </c>
      <c r="K8" s="27" t="n">
        <v>7314.84</v>
      </c>
      <c r="L8" s="27" t="n">
        <v>7298.03</v>
      </c>
      <c r="M8" s="27" t="n">
        <v>7165.58</v>
      </c>
      <c r="N8" s="27" t="n">
        <v>7129.06</v>
      </c>
      <c r="O8" s="27" t="n">
        <v>6662.23</v>
      </c>
      <c r="P8" s="27" t="n">
        <v>6546.65</v>
      </c>
      <c r="Q8" s="27" t="n">
        <v>6480.58</v>
      </c>
      <c r="R8" s="27" t="n">
        <v>6435.42</v>
      </c>
      <c r="S8" s="27" t="n">
        <v>6305.65</v>
      </c>
      <c r="T8" s="27" t="n">
        <v>6310.42</v>
      </c>
      <c r="U8" s="27" t="n">
        <v>6364.65</v>
      </c>
      <c r="V8" s="27" t="n">
        <v>6223.26</v>
      </c>
      <c r="W8" s="27" t="n">
        <v>5126.23</v>
      </c>
      <c r="X8" s="27" t="n">
        <v>5084.48</v>
      </c>
      <c r="Y8" s="27" t="n">
        <v>5069.42</v>
      </c>
      <c r="Z8" s="27" t="n">
        <v>4964.81</v>
      </c>
      <c r="AA8" s="27" t="n">
        <v>4813.42</v>
      </c>
      <c r="AB8" s="27" t="n">
        <v>4638.03</v>
      </c>
      <c r="AC8" s="27" t="n">
        <v>4131.71</v>
      </c>
      <c r="AD8" s="27" t="n">
        <v>3728.71</v>
      </c>
      <c r="AE8" s="27" t="n">
        <v>3396.23</v>
      </c>
      <c r="AF8" s="27" t="n">
        <v>2864.48</v>
      </c>
      <c r="AG8" s="27" t="n">
        <v>2263.87</v>
      </c>
      <c r="AH8" s="27" t="n">
        <v>1682.77</v>
      </c>
      <c r="AI8" s="27" t="n">
        <v>1385.06</v>
      </c>
      <c r="AJ8" s="27" t="n">
        <v>1336.35</v>
      </c>
      <c r="AK8" s="27" t="n">
        <v>1295.94</v>
      </c>
      <c r="AL8" s="27" t="n">
        <v>1315.23</v>
      </c>
      <c r="AM8" s="27" t="n">
        <v>1341.71</v>
      </c>
      <c r="AN8" s="27" t="n">
        <v>1300.52</v>
      </c>
      <c r="AO8" s="27" t="n">
        <v>1355.19</v>
      </c>
      <c r="AP8" s="27" t="n">
        <v>1360.58</v>
      </c>
      <c r="AQ8" s="27" t="n">
        <v>1273.48</v>
      </c>
      <c r="AR8" s="27" t="n">
        <v>1288.84</v>
      </c>
      <c r="AS8" s="27" t="n">
        <v>1256.58</v>
      </c>
      <c r="AT8" s="27" t="n">
        <v>1276.74</v>
      </c>
      <c r="AU8" s="27" t="n">
        <v>1219.06</v>
      </c>
      <c r="AV8" s="27" t="n">
        <v>1240.81</v>
      </c>
      <c r="AW8" s="27" t="n">
        <v>1234.03</v>
      </c>
      <c r="AX8" s="27" t="n">
        <v>1222.06</v>
      </c>
      <c r="AY8" s="27" t="n">
        <v>1201.19</v>
      </c>
      <c r="AZ8" s="27" t="n">
        <v>1195.45</v>
      </c>
      <c r="BA8" s="27" t="n">
        <v>1182.45</v>
      </c>
      <c r="BB8" s="27" t="n">
        <v>1183.52</v>
      </c>
      <c r="BC8" s="27" t="n">
        <v>1106.32</v>
      </c>
      <c r="BD8" s="27" t="n">
        <v>1126.06</v>
      </c>
      <c r="BE8" s="27" t="n">
        <v>1191.06</v>
      </c>
      <c r="BF8" s="27" t="n">
        <v>1282.68</v>
      </c>
      <c r="BG8" s="27" t="n">
        <v>1465.71</v>
      </c>
      <c r="BH8" s="27" t="n">
        <v>1632.84</v>
      </c>
      <c r="BI8" s="27" t="n">
        <v>1939.1</v>
      </c>
      <c r="BJ8" s="27" t="n">
        <v>2046.87</v>
      </c>
      <c r="BK8" s="27" t="n">
        <v>2362.48</v>
      </c>
      <c r="BL8" s="27" t="n">
        <v>2492.48</v>
      </c>
      <c r="BM8" s="27" t="n">
        <v>2634.03</v>
      </c>
      <c r="BN8" s="27" t="n">
        <v>2692.13</v>
      </c>
      <c r="BO8" s="27" t="n">
        <v>2662.19</v>
      </c>
      <c r="BP8" s="27" t="n">
        <v>2693.32</v>
      </c>
      <c r="BQ8" s="27" t="n">
        <v>2781.74</v>
      </c>
      <c r="BR8" s="27" t="n">
        <v>2883.61</v>
      </c>
      <c r="BS8" s="27" t="n">
        <v>2980.97</v>
      </c>
      <c r="BT8" s="27" t="n">
        <v>3188.55</v>
      </c>
      <c r="BU8" s="27" t="n">
        <v>3671.97</v>
      </c>
      <c r="BV8" s="27" t="n">
        <v>4020.39</v>
      </c>
      <c r="BW8" s="27" t="n">
        <v>3943.19</v>
      </c>
      <c r="BX8" s="27" t="n">
        <v>4836.42</v>
      </c>
      <c r="BY8" s="27" t="n">
        <v>6947.84</v>
      </c>
      <c r="BZ8" s="27" t="n">
        <v>7744.77</v>
      </c>
      <c r="CA8" s="27" t="n">
        <v>8156.61</v>
      </c>
      <c r="CB8" s="27" t="n">
        <v>8523.709999999999</v>
      </c>
      <c r="CC8" s="27" t="n">
        <v>8785.26</v>
      </c>
      <c r="CD8" s="27" t="n">
        <v>8895.9</v>
      </c>
      <c r="CE8" s="27" t="n">
        <v>8795.549999999999</v>
      </c>
      <c r="CF8" s="27" t="n">
        <v>8966.32</v>
      </c>
      <c r="CG8" s="27" t="n">
        <v>9098.809999999999</v>
      </c>
      <c r="CH8" s="27" t="n">
        <v>9178.9</v>
      </c>
      <c r="CI8" s="27" t="n">
        <v>9071.48</v>
      </c>
      <c r="CJ8" s="27" t="n">
        <v>9066.77</v>
      </c>
      <c r="CK8" s="27" t="n">
        <v>8876.809999999999</v>
      </c>
      <c r="CL8" s="27" t="n">
        <v>8922.35</v>
      </c>
      <c r="CM8" s="27" t="n">
        <v>9156.26</v>
      </c>
      <c r="CN8" s="27" t="n">
        <v>9415.450000000001</v>
      </c>
      <c r="CO8" s="27" t="n">
        <v>9431.35</v>
      </c>
      <c r="CP8" s="27" t="n">
        <v>9485.610000000001</v>
      </c>
      <c r="CQ8" s="27" t="n">
        <v>9456.610000000001</v>
      </c>
      <c r="CR8" s="27" t="n">
        <v>9712.870000000001</v>
      </c>
      <c r="CS8" s="27" t="n">
        <v>9598.450000000001</v>
      </c>
      <c r="CT8" s="27" t="n">
        <v>9576.709999999999</v>
      </c>
      <c r="CU8" s="27" t="n">
        <v>8350.48</v>
      </c>
      <c r="CV8" s="27" t="n">
        <v>8184.32</v>
      </c>
      <c r="CW8" s="27" t="n">
        <v>7946.42</v>
      </c>
      <c r="CX8" s="27" t="n">
        <v>7892.39</v>
      </c>
      <c r="CY8" s="27" t="n">
        <v>7814.74</v>
      </c>
      <c r="CZ8" s="27" t="n">
        <v>7729.87</v>
      </c>
      <c r="DA8" s="27" t="n">
        <v>7615.13</v>
      </c>
      <c r="DB8" s="27" t="n">
        <v>7450.58</v>
      </c>
      <c r="DC8" s="27" t="n">
        <v>7314.84</v>
      </c>
      <c r="DD8" s="27" t="n">
        <v>7298.03</v>
      </c>
      <c r="DE8" s="27" t="n">
        <v>7165.58</v>
      </c>
      <c r="DF8" s="27" t="n">
        <v>7129.06</v>
      </c>
      <c r="DG8" s="27" t="n">
        <v>6662.23</v>
      </c>
      <c r="DH8" s="27" t="n">
        <v>6546.65</v>
      </c>
      <c r="DI8" s="27" t="n">
        <v>6480.58</v>
      </c>
      <c r="DJ8" s="27" t="n">
        <v>6435.42</v>
      </c>
      <c r="DK8" s="27" t="n">
        <v>6305.65</v>
      </c>
      <c r="DL8" s="27" t="n">
        <v>6310.42</v>
      </c>
      <c r="DM8" s="27" t="n">
        <v>6364.65</v>
      </c>
      <c r="DN8" s="27" t="n">
        <v>6223.26</v>
      </c>
      <c r="DO8" s="27" t="n">
        <v>5126.23</v>
      </c>
      <c r="DP8" s="27" t="n">
        <v>5084.48</v>
      </c>
      <c r="DQ8" s="27" t="n">
        <v>5069.42</v>
      </c>
      <c r="DR8" s="27" t="n">
        <v>4964.81</v>
      </c>
      <c r="DS8" s="27" t="n">
        <v>4813.42</v>
      </c>
      <c r="DT8" s="27" t="n">
        <v>4638.03</v>
      </c>
      <c r="DU8" s="27" t="n">
        <v>4131.71</v>
      </c>
      <c r="DV8" s="27" t="n">
        <v>3728.71</v>
      </c>
      <c r="DW8" s="27" t="n">
        <v>3396.23</v>
      </c>
      <c r="DX8" s="27" t="n">
        <v>2864.48</v>
      </c>
      <c r="DY8" s="27" t="n">
        <v>2263.87</v>
      </c>
      <c r="DZ8" s="27" t="n">
        <v>1682.77</v>
      </c>
      <c r="EA8" s="27" t="n">
        <v>1385.06</v>
      </c>
      <c r="EB8" s="27" t="n">
        <v>1336.35</v>
      </c>
      <c r="EC8" s="27" t="n">
        <v>1295.94</v>
      </c>
      <c r="ED8" s="27" t="n">
        <v>1315.23</v>
      </c>
      <c r="EE8" s="27" t="n">
        <v>1341.71</v>
      </c>
      <c r="EF8" s="27" t="n">
        <v>1300.52</v>
      </c>
      <c r="EG8" s="27" t="n">
        <v>1355.19</v>
      </c>
      <c r="EH8" s="27" t="n">
        <v>1360.58</v>
      </c>
      <c r="EI8" s="27" t="n">
        <v>1273.48</v>
      </c>
      <c r="EJ8" s="27" t="n">
        <v>1288.84</v>
      </c>
      <c r="EK8" s="27" t="n">
        <v>1256.58</v>
      </c>
      <c r="EL8" s="27" t="n">
        <v>1276.74</v>
      </c>
      <c r="EM8" s="27" t="n">
        <v>1219.06</v>
      </c>
      <c r="EN8" s="27" t="n">
        <v>1240.81</v>
      </c>
      <c r="EO8" s="27" t="n">
        <v>1234.03</v>
      </c>
      <c r="EP8" s="27" t="n">
        <v>1222.06</v>
      </c>
      <c r="EQ8" s="27" t="n">
        <v>1201.19</v>
      </c>
      <c r="ER8" s="27" t="n">
        <v>1195.45</v>
      </c>
      <c r="ES8" s="27" t="n">
        <v>1182.45</v>
      </c>
      <c r="ET8" s="27" t="n">
        <v>1183.52</v>
      </c>
      <c r="EU8" s="27" t="n">
        <v>1106.32</v>
      </c>
      <c r="EV8" s="27" t="n">
        <v>1126.06</v>
      </c>
      <c r="EW8" s="27" t="n">
        <v>1191.06</v>
      </c>
      <c r="EX8" s="27" t="n">
        <v>1282.68</v>
      </c>
      <c r="EY8" s="27" t="n">
        <v>1465.71</v>
      </c>
      <c r="EZ8" s="27" t="n">
        <v>1632.84</v>
      </c>
      <c r="FA8" s="27" t="n">
        <v>1939.1</v>
      </c>
      <c r="FB8" s="27" t="n">
        <v>2046.87</v>
      </c>
      <c r="FC8" s="27" t="n">
        <v>2362.48</v>
      </c>
      <c r="FD8" s="27" t="n">
        <v>2492.48</v>
      </c>
      <c r="FE8" s="27" t="n">
        <v>2634.03</v>
      </c>
      <c r="FF8" s="27" t="n">
        <v>2692.13</v>
      </c>
      <c r="FG8" s="27" t="n">
        <v>2662.19</v>
      </c>
      <c r="FH8" s="27" t="n">
        <v>2693.32</v>
      </c>
      <c r="FI8" s="27" t="n">
        <v>2781.74</v>
      </c>
      <c r="FJ8" s="27" t="n">
        <v>2883.61</v>
      </c>
      <c r="FK8" s="27" t="n">
        <v>2980.97</v>
      </c>
      <c r="FL8" s="27" t="n">
        <v>3188.55</v>
      </c>
      <c r="FM8" s="27" t="n">
        <v>3671.97</v>
      </c>
      <c r="FN8" s="27" t="n">
        <v>4020.39</v>
      </c>
      <c r="FO8" s="27" t="n">
        <v>3943.19</v>
      </c>
      <c r="FP8" s="27" t="n">
        <v>4836.42</v>
      </c>
      <c r="FQ8" s="27" t="n">
        <v>6947.84</v>
      </c>
      <c r="FR8" s="27" t="n">
        <v>7744.77</v>
      </c>
      <c r="FS8" s="27" t="n">
        <v>8156.61</v>
      </c>
      <c r="FT8" s="27" t="n">
        <v>8523.709999999999</v>
      </c>
      <c r="FU8" s="27" t="n">
        <v>8785.26</v>
      </c>
      <c r="FV8" s="27" t="n">
        <v>8895.9</v>
      </c>
      <c r="FW8" s="27" t="n">
        <v>8795.549999999999</v>
      </c>
      <c r="FX8" s="27" t="n">
        <v>8966.32</v>
      </c>
      <c r="FY8" s="27" t="n">
        <v>9098.809999999999</v>
      </c>
      <c r="FZ8" s="27" t="n">
        <v>9178.9</v>
      </c>
      <c r="GA8" s="27" t="n">
        <v>9071.48</v>
      </c>
      <c r="GB8" s="27" t="n">
        <v>9066.77</v>
      </c>
      <c r="GC8" s="27" t="n">
        <v>8876.809999999999</v>
      </c>
      <c r="GD8" s="27" t="n">
        <v>8922.35</v>
      </c>
      <c r="GE8" s="27" t="n">
        <v>9156.26</v>
      </c>
      <c r="GF8" s="27" t="n">
        <v>9415.450000000001</v>
      </c>
      <c r="GG8" s="27" t="n">
        <v>9431.35</v>
      </c>
      <c r="GH8" s="27" t="n">
        <v>9485.610000000001</v>
      </c>
      <c r="GI8" s="27" t="n">
        <v>9456.610000000001</v>
      </c>
      <c r="GJ8" s="27" t="n">
        <v>9712.870000000001</v>
      </c>
      <c r="GK8" s="27" t="n">
        <v>9598.450000000001</v>
      </c>
      <c r="GL8" s="27" t="n">
        <v>9576.709999999999</v>
      </c>
    </row>
    <row r="9">
      <c r="A9" s="6" t="inlineStr">
        <is>
          <t>DAM|6</t>
        </is>
      </c>
      <c r="B9" s="2" t="n">
        <v>30</v>
      </c>
      <c r="C9" s="27" t="n">
        <v>9418.07</v>
      </c>
      <c r="D9" s="27" t="n">
        <v>9350.200000000001</v>
      </c>
      <c r="E9" s="27" t="n">
        <v>9219.299999999999</v>
      </c>
      <c r="F9" s="27" t="n">
        <v>9204</v>
      </c>
      <c r="G9" s="27" t="n">
        <v>8879.969999999999</v>
      </c>
      <c r="H9" s="27" t="n">
        <v>8802.370000000001</v>
      </c>
      <c r="I9" s="27" t="n">
        <v>8572.469999999999</v>
      </c>
      <c r="J9" s="27" t="n">
        <v>8378.700000000001</v>
      </c>
      <c r="K9" s="27" t="n">
        <v>8155.97</v>
      </c>
      <c r="L9" s="27" t="n">
        <v>8062.17</v>
      </c>
      <c r="M9" s="27" t="n">
        <v>7711.6</v>
      </c>
      <c r="N9" s="27" t="n">
        <v>7528.6</v>
      </c>
      <c r="O9" s="27" t="n">
        <v>7246.6</v>
      </c>
      <c r="P9" s="27" t="n">
        <v>7046.1</v>
      </c>
      <c r="Q9" s="27" t="n">
        <v>6792.47</v>
      </c>
      <c r="R9" s="27" t="n">
        <v>6608.2</v>
      </c>
      <c r="S9" s="27" t="n">
        <v>6436.33</v>
      </c>
      <c r="T9" s="27" t="n">
        <v>6627.8</v>
      </c>
      <c r="U9" s="27" t="n">
        <v>6631.43</v>
      </c>
      <c r="V9" s="27" t="n">
        <v>6446.47</v>
      </c>
      <c r="W9" s="27" t="n">
        <v>5734.97</v>
      </c>
      <c r="X9" s="27" t="n">
        <v>6201.27</v>
      </c>
      <c r="Y9" s="27" t="n">
        <v>6596.27</v>
      </c>
      <c r="Z9" s="27" t="n">
        <v>6552.47</v>
      </c>
      <c r="AA9" s="27" t="n">
        <v>5856.43</v>
      </c>
      <c r="AB9" s="27" t="n">
        <v>5793.33</v>
      </c>
      <c r="AC9" s="27" t="n">
        <v>5506.43</v>
      </c>
      <c r="AD9" s="27" t="n">
        <v>4674.9</v>
      </c>
      <c r="AE9" s="27" t="n">
        <v>3829.6</v>
      </c>
      <c r="AF9" s="27" t="n">
        <v>3318</v>
      </c>
      <c r="AG9" s="27" t="n">
        <v>2975.07</v>
      </c>
      <c r="AH9" s="27" t="n">
        <v>2695.67</v>
      </c>
      <c r="AI9" s="27" t="n">
        <v>2381.7</v>
      </c>
      <c r="AJ9" s="27" t="n">
        <v>2174.3</v>
      </c>
      <c r="AK9" s="27" t="n">
        <v>1996.77</v>
      </c>
      <c r="AL9" s="27" t="n">
        <v>1813.57</v>
      </c>
      <c r="AM9" s="27" t="n">
        <v>1523.6</v>
      </c>
      <c r="AN9" s="27" t="n">
        <v>1454.57</v>
      </c>
      <c r="AO9" s="27" t="n">
        <v>1406.07</v>
      </c>
      <c r="AP9" s="27" t="n">
        <v>1367.27</v>
      </c>
      <c r="AQ9" s="27" t="n">
        <v>1246.03</v>
      </c>
      <c r="AR9" s="27" t="n">
        <v>1227.03</v>
      </c>
      <c r="AS9" s="27" t="n">
        <v>1211.83</v>
      </c>
      <c r="AT9" s="27" t="n">
        <v>1192.8</v>
      </c>
      <c r="AU9" s="27" t="n">
        <v>1164.5</v>
      </c>
      <c r="AV9" s="27" t="n">
        <v>1172.63</v>
      </c>
      <c r="AW9" s="27" t="n">
        <v>1166.73</v>
      </c>
      <c r="AX9" s="27" t="n">
        <v>1180.97</v>
      </c>
      <c r="AY9" s="27" t="n">
        <v>1202.5</v>
      </c>
      <c r="AZ9" s="27" t="n">
        <v>1207.37</v>
      </c>
      <c r="BA9" s="27" t="n">
        <v>1233.2</v>
      </c>
      <c r="BB9" s="27" t="n">
        <v>1224.23</v>
      </c>
      <c r="BC9" s="27" t="n">
        <v>1195.37</v>
      </c>
      <c r="BD9" s="27" t="n">
        <v>1236.03</v>
      </c>
      <c r="BE9" s="27" t="n">
        <v>1320.03</v>
      </c>
      <c r="BF9" s="27" t="n">
        <v>1460</v>
      </c>
      <c r="BG9" s="27" t="n">
        <v>1654.13</v>
      </c>
      <c r="BH9" s="27" t="n">
        <v>1844.1</v>
      </c>
      <c r="BI9" s="27" t="n">
        <v>2079.13</v>
      </c>
      <c r="BJ9" s="27" t="n">
        <v>2233.33</v>
      </c>
      <c r="BK9" s="27" t="n">
        <v>2534.7</v>
      </c>
      <c r="BL9" s="27" t="n">
        <v>2648.4</v>
      </c>
      <c r="BM9" s="27" t="n">
        <v>2740.53</v>
      </c>
      <c r="BN9" s="27" t="n">
        <v>2760.93</v>
      </c>
      <c r="BO9" s="27" t="n">
        <v>2810.7</v>
      </c>
      <c r="BP9" s="27" t="n">
        <v>2845</v>
      </c>
      <c r="BQ9" s="27" t="n">
        <v>2973.07</v>
      </c>
      <c r="BR9" s="27" t="n">
        <v>3152.9</v>
      </c>
      <c r="BS9" s="27" t="n">
        <v>3204.03</v>
      </c>
      <c r="BT9" s="27" t="n">
        <v>3373.7</v>
      </c>
      <c r="BU9" s="27" t="n">
        <v>3483.07</v>
      </c>
      <c r="BV9" s="27" t="n">
        <v>3573.6</v>
      </c>
      <c r="BW9" s="27" t="n">
        <v>3253.07</v>
      </c>
      <c r="BX9" s="27" t="n">
        <v>3495.3</v>
      </c>
      <c r="BY9" s="27" t="n">
        <v>4299</v>
      </c>
      <c r="BZ9" s="27" t="n">
        <v>5834.93</v>
      </c>
      <c r="CA9" s="27" t="n">
        <v>7145.03</v>
      </c>
      <c r="CB9" s="27" t="n">
        <v>7608.1</v>
      </c>
      <c r="CC9" s="27" t="n">
        <v>8083.83</v>
      </c>
      <c r="CD9" s="27" t="n">
        <v>8426.93</v>
      </c>
      <c r="CE9" s="27" t="n">
        <v>8742.6</v>
      </c>
      <c r="CF9" s="27" t="n">
        <v>8990.370000000001</v>
      </c>
      <c r="CG9" s="27" t="n">
        <v>9104.57</v>
      </c>
      <c r="CH9" s="27" t="n">
        <v>9158.73</v>
      </c>
      <c r="CI9" s="27" t="n">
        <v>9505.969999999999</v>
      </c>
      <c r="CJ9" s="27" t="n">
        <v>9639.799999999999</v>
      </c>
      <c r="CK9" s="27" t="n">
        <v>9683.33</v>
      </c>
      <c r="CL9" s="27" t="n">
        <v>9681.629999999999</v>
      </c>
      <c r="CM9" s="27" t="n">
        <v>9780.1</v>
      </c>
      <c r="CN9" s="27" t="n">
        <v>9866.700000000001</v>
      </c>
      <c r="CO9" s="27" t="n">
        <v>9900</v>
      </c>
      <c r="CP9" s="27" t="n">
        <v>9875.030000000001</v>
      </c>
      <c r="CQ9" s="27" t="n">
        <v>9899.969999999999</v>
      </c>
      <c r="CR9" s="27" t="n">
        <v>9900</v>
      </c>
      <c r="CS9" s="27" t="n">
        <v>9899.969999999999</v>
      </c>
      <c r="CT9" s="27" t="n">
        <v>9849.969999999999</v>
      </c>
      <c r="CU9" s="27" t="n">
        <v>9418.07</v>
      </c>
      <c r="CV9" s="27" t="n">
        <v>9350.200000000001</v>
      </c>
      <c r="CW9" s="27" t="n">
        <v>9219.299999999999</v>
      </c>
      <c r="CX9" s="27" t="n">
        <v>9204</v>
      </c>
      <c r="CY9" s="27" t="n">
        <v>8879.969999999999</v>
      </c>
      <c r="CZ9" s="27" t="n">
        <v>8802.370000000001</v>
      </c>
      <c r="DA9" s="27" t="n">
        <v>8572.469999999999</v>
      </c>
      <c r="DB9" s="27" t="n">
        <v>8378.700000000001</v>
      </c>
      <c r="DC9" s="27" t="n">
        <v>8155.97</v>
      </c>
      <c r="DD9" s="27" t="n">
        <v>8062.17</v>
      </c>
      <c r="DE9" s="27" t="n">
        <v>7711.6</v>
      </c>
      <c r="DF9" s="27" t="n">
        <v>7528.6</v>
      </c>
      <c r="DG9" s="27" t="n">
        <v>7246.6</v>
      </c>
      <c r="DH9" s="27" t="n">
        <v>7046.1</v>
      </c>
      <c r="DI9" s="27" t="n">
        <v>6792.47</v>
      </c>
      <c r="DJ9" s="27" t="n">
        <v>6608.2</v>
      </c>
      <c r="DK9" s="27" t="n">
        <v>6436.33</v>
      </c>
      <c r="DL9" s="27" t="n">
        <v>6627.8</v>
      </c>
      <c r="DM9" s="27" t="n">
        <v>6631.43</v>
      </c>
      <c r="DN9" s="27" t="n">
        <v>6446.47</v>
      </c>
      <c r="DO9" s="27" t="n">
        <v>5734.97</v>
      </c>
      <c r="DP9" s="27" t="n">
        <v>6201.27</v>
      </c>
      <c r="DQ9" s="27" t="n">
        <v>6596.27</v>
      </c>
      <c r="DR9" s="27" t="n">
        <v>6552.47</v>
      </c>
      <c r="DS9" s="27" t="n">
        <v>5856.43</v>
      </c>
      <c r="DT9" s="27" t="n">
        <v>5793.33</v>
      </c>
      <c r="DU9" s="27" t="n">
        <v>5506.43</v>
      </c>
      <c r="DV9" s="27" t="n">
        <v>4674.9</v>
      </c>
      <c r="DW9" s="27" t="n">
        <v>3829.6</v>
      </c>
      <c r="DX9" s="27" t="n">
        <v>3318</v>
      </c>
      <c r="DY9" s="27" t="n">
        <v>2975.07</v>
      </c>
      <c r="DZ9" s="27" t="n">
        <v>2695.67</v>
      </c>
      <c r="EA9" s="27" t="n">
        <v>2381.7</v>
      </c>
      <c r="EB9" s="27" t="n">
        <v>2174.3</v>
      </c>
      <c r="EC9" s="27" t="n">
        <v>1996.77</v>
      </c>
      <c r="ED9" s="27" t="n">
        <v>1813.57</v>
      </c>
      <c r="EE9" s="27" t="n">
        <v>1523.6</v>
      </c>
      <c r="EF9" s="27" t="n">
        <v>1454.57</v>
      </c>
      <c r="EG9" s="27" t="n">
        <v>1406.07</v>
      </c>
      <c r="EH9" s="27" t="n">
        <v>1367.27</v>
      </c>
      <c r="EI9" s="27" t="n">
        <v>1246.03</v>
      </c>
      <c r="EJ9" s="27" t="n">
        <v>1227.03</v>
      </c>
      <c r="EK9" s="27" t="n">
        <v>1211.83</v>
      </c>
      <c r="EL9" s="27" t="n">
        <v>1192.8</v>
      </c>
      <c r="EM9" s="27" t="n">
        <v>1164.5</v>
      </c>
      <c r="EN9" s="27" t="n">
        <v>1172.63</v>
      </c>
      <c r="EO9" s="27" t="n">
        <v>1166.73</v>
      </c>
      <c r="EP9" s="27" t="n">
        <v>1180.97</v>
      </c>
      <c r="EQ9" s="27" t="n">
        <v>1202.5</v>
      </c>
      <c r="ER9" s="27" t="n">
        <v>1207.37</v>
      </c>
      <c r="ES9" s="27" t="n">
        <v>1233.2</v>
      </c>
      <c r="ET9" s="27" t="n">
        <v>1224.23</v>
      </c>
      <c r="EU9" s="27" t="n">
        <v>1195.37</v>
      </c>
      <c r="EV9" s="27" t="n">
        <v>1236.03</v>
      </c>
      <c r="EW9" s="27" t="n">
        <v>1320.03</v>
      </c>
      <c r="EX9" s="27" t="n">
        <v>1460</v>
      </c>
      <c r="EY9" s="27" t="n">
        <v>1654.13</v>
      </c>
      <c r="EZ9" s="27" t="n">
        <v>1844.1</v>
      </c>
      <c r="FA9" s="27" t="n">
        <v>2079.13</v>
      </c>
      <c r="FB9" s="27" t="n">
        <v>2233.33</v>
      </c>
      <c r="FC9" s="27" t="n">
        <v>2534.7</v>
      </c>
      <c r="FD9" s="27" t="n">
        <v>2648.4</v>
      </c>
      <c r="FE9" s="27" t="n">
        <v>2740.53</v>
      </c>
      <c r="FF9" s="27" t="n">
        <v>2760.93</v>
      </c>
      <c r="FG9" s="27" t="n">
        <v>2810.7</v>
      </c>
      <c r="FH9" s="27" t="n">
        <v>2845</v>
      </c>
      <c r="FI9" s="27" t="n">
        <v>2973.07</v>
      </c>
      <c r="FJ9" s="27" t="n">
        <v>3152.9</v>
      </c>
      <c r="FK9" s="27" t="n">
        <v>3204.03</v>
      </c>
      <c r="FL9" s="27" t="n">
        <v>3373.7</v>
      </c>
      <c r="FM9" s="27" t="n">
        <v>3483.07</v>
      </c>
      <c r="FN9" s="27" t="n">
        <v>3573.6</v>
      </c>
      <c r="FO9" s="27" t="n">
        <v>3253.07</v>
      </c>
      <c r="FP9" s="27" t="n">
        <v>3495.3</v>
      </c>
      <c r="FQ9" s="27" t="n">
        <v>4299</v>
      </c>
      <c r="FR9" s="27" t="n">
        <v>5834.93</v>
      </c>
      <c r="FS9" s="27" t="n">
        <v>7145.03</v>
      </c>
      <c r="FT9" s="27" t="n">
        <v>7608.1</v>
      </c>
      <c r="FU9" s="27" t="n">
        <v>8083.83</v>
      </c>
      <c r="FV9" s="27" t="n">
        <v>8426.93</v>
      </c>
      <c r="FW9" s="27" t="n">
        <v>8742.6</v>
      </c>
      <c r="FX9" s="27" t="n">
        <v>8990.370000000001</v>
      </c>
      <c r="FY9" s="27" t="n">
        <v>9104.57</v>
      </c>
      <c r="FZ9" s="27" t="n">
        <v>9158.73</v>
      </c>
      <c r="GA9" s="27" t="n">
        <v>9505.969999999999</v>
      </c>
      <c r="GB9" s="27" t="n">
        <v>9639.799999999999</v>
      </c>
      <c r="GC9" s="27" t="n">
        <v>9683.33</v>
      </c>
      <c r="GD9" s="27" t="n">
        <v>9681.629999999999</v>
      </c>
      <c r="GE9" s="27" t="n">
        <v>9780.1</v>
      </c>
      <c r="GF9" s="27" t="n">
        <v>9866.700000000001</v>
      </c>
      <c r="GG9" s="27" t="n">
        <v>9900</v>
      </c>
      <c r="GH9" s="27" t="n">
        <v>9875.030000000001</v>
      </c>
      <c r="GI9" s="27" t="n">
        <v>9899.969999999999</v>
      </c>
      <c r="GJ9" s="27" t="n">
        <v>9900</v>
      </c>
      <c r="GK9" s="27" t="n">
        <v>9899.969999999999</v>
      </c>
      <c r="GL9" s="27" t="n">
        <v>9849.969999999999</v>
      </c>
    </row>
    <row r="10">
      <c r="A10" s="6" t="inlineStr">
        <is>
          <t>DAM|7</t>
        </is>
      </c>
      <c r="B10" s="2" t="n">
        <v>29</v>
      </c>
      <c r="C10" s="27" t="n">
        <v>8208.969999999999</v>
      </c>
      <c r="D10" s="27" t="n">
        <v>7989.72</v>
      </c>
      <c r="E10" s="27" t="n">
        <v>7850.55</v>
      </c>
      <c r="F10" s="27" t="n">
        <v>7709.52</v>
      </c>
      <c r="G10" s="27" t="n">
        <v>7226.48</v>
      </c>
      <c r="H10" s="27" t="n">
        <v>6529.31</v>
      </c>
      <c r="I10" s="27" t="n">
        <v>6159.41</v>
      </c>
      <c r="J10" s="27" t="n">
        <v>5977.17</v>
      </c>
      <c r="K10" s="27" t="n">
        <v>5309</v>
      </c>
      <c r="L10" s="27" t="n">
        <v>5284.93</v>
      </c>
      <c r="M10" s="27" t="n">
        <v>5373.72</v>
      </c>
      <c r="N10" s="27" t="n">
        <v>5388.72</v>
      </c>
      <c r="O10" s="27" t="n">
        <v>5344</v>
      </c>
      <c r="P10" s="27" t="n">
        <v>5382.83</v>
      </c>
      <c r="Q10" s="27" t="n">
        <v>5375.69</v>
      </c>
      <c r="R10" s="27" t="n">
        <v>5358.83</v>
      </c>
      <c r="S10" s="27" t="n">
        <v>5358.83</v>
      </c>
      <c r="T10" s="27" t="n">
        <v>5504.86</v>
      </c>
      <c r="U10" s="27" t="n">
        <v>5516.79</v>
      </c>
      <c r="V10" s="27" t="n">
        <v>5570.9</v>
      </c>
      <c r="W10" s="27" t="n">
        <v>5638.48</v>
      </c>
      <c r="X10" s="27" t="n">
        <v>6008.97</v>
      </c>
      <c r="Y10" s="27" t="n">
        <v>6415.79</v>
      </c>
      <c r="Z10" s="27" t="n">
        <v>6822.21</v>
      </c>
      <c r="AA10" s="27" t="n">
        <v>7109.72</v>
      </c>
      <c r="AB10" s="27" t="n">
        <v>7355.24</v>
      </c>
      <c r="AC10" s="27" t="n">
        <v>7319.21</v>
      </c>
      <c r="AD10" s="27" t="n">
        <v>7023.62</v>
      </c>
      <c r="AE10" s="27" t="n">
        <v>5753.31</v>
      </c>
      <c r="AF10" s="27" t="n">
        <v>5328.1</v>
      </c>
      <c r="AG10" s="27" t="n">
        <v>4511.62</v>
      </c>
      <c r="AH10" s="27" t="n">
        <v>3597.55</v>
      </c>
      <c r="AI10" s="27" t="n">
        <v>3088.59</v>
      </c>
      <c r="AJ10" s="27" t="n">
        <v>2668.21</v>
      </c>
      <c r="AK10" s="27" t="n">
        <v>2436</v>
      </c>
      <c r="AL10" s="27" t="n">
        <v>2280.17</v>
      </c>
      <c r="AM10" s="27" t="n">
        <v>2013.59</v>
      </c>
      <c r="AN10" s="27" t="n">
        <v>1928.86</v>
      </c>
      <c r="AO10" s="27" t="n">
        <v>1789.55</v>
      </c>
      <c r="AP10" s="27" t="n">
        <v>1697.03</v>
      </c>
      <c r="AQ10" s="27" t="n">
        <v>1456.97</v>
      </c>
      <c r="AR10" s="27" t="n">
        <v>1409.1</v>
      </c>
      <c r="AS10" s="27" t="n">
        <v>1330</v>
      </c>
      <c r="AT10" s="27" t="n">
        <v>1280.17</v>
      </c>
      <c r="AU10" s="27" t="n">
        <v>1255.1</v>
      </c>
      <c r="AV10" s="27" t="n">
        <v>1237.45</v>
      </c>
      <c r="AW10" s="27" t="n">
        <v>1215.9</v>
      </c>
      <c r="AX10" s="27" t="n">
        <v>1224.83</v>
      </c>
      <c r="AY10" s="27" t="n">
        <v>1164.76</v>
      </c>
      <c r="AZ10" s="27" t="n">
        <v>1150.79</v>
      </c>
      <c r="BA10" s="27" t="n">
        <v>1142.41</v>
      </c>
      <c r="BB10" s="27" t="n">
        <v>1135.45</v>
      </c>
      <c r="BC10" s="27" t="n">
        <v>1032.62</v>
      </c>
      <c r="BD10" s="27" t="n">
        <v>1046.72</v>
      </c>
      <c r="BE10" s="27" t="n">
        <v>1127.38</v>
      </c>
      <c r="BF10" s="27" t="n">
        <v>1173.62</v>
      </c>
      <c r="BG10" s="27" t="n">
        <v>1302.24</v>
      </c>
      <c r="BH10" s="27" t="n">
        <v>1432.9</v>
      </c>
      <c r="BI10" s="27" t="n">
        <v>1552.17</v>
      </c>
      <c r="BJ10" s="27" t="n">
        <v>1630.9</v>
      </c>
      <c r="BK10" s="27" t="n">
        <v>1870.72</v>
      </c>
      <c r="BL10" s="27" t="n">
        <v>2008.24</v>
      </c>
      <c r="BM10" s="27" t="n">
        <v>2190.31</v>
      </c>
      <c r="BN10" s="27" t="n">
        <v>2298.52</v>
      </c>
      <c r="BO10" s="27" t="n">
        <v>2535.72</v>
      </c>
      <c r="BP10" s="27" t="n">
        <v>2615.03</v>
      </c>
      <c r="BQ10" s="27" t="n">
        <v>2775.52</v>
      </c>
      <c r="BR10" s="27" t="n">
        <v>2880.66</v>
      </c>
      <c r="BS10" s="27" t="n">
        <v>3014.48</v>
      </c>
      <c r="BT10" s="27" t="n">
        <v>3090.41</v>
      </c>
      <c r="BU10" s="27" t="n">
        <v>3278.66</v>
      </c>
      <c r="BV10" s="27" t="n">
        <v>3429.21</v>
      </c>
      <c r="BW10" s="27" t="n">
        <v>3766.86</v>
      </c>
      <c r="BX10" s="27" t="n">
        <v>4429.21</v>
      </c>
      <c r="BY10" s="27" t="n">
        <v>5473.34</v>
      </c>
      <c r="BZ10" s="27" t="n">
        <v>6280.83</v>
      </c>
      <c r="CA10" s="27" t="n">
        <v>7768</v>
      </c>
      <c r="CB10" s="27" t="n">
        <v>8060.38</v>
      </c>
      <c r="CC10" s="27" t="n">
        <v>8371.83</v>
      </c>
      <c r="CD10" s="27" t="n">
        <v>8681.48</v>
      </c>
      <c r="CE10" s="27" t="n">
        <v>8874.34</v>
      </c>
      <c r="CF10" s="27" t="n">
        <v>8849.59</v>
      </c>
      <c r="CG10" s="27" t="n">
        <v>8877.9</v>
      </c>
      <c r="CH10" s="27" t="n">
        <v>8895</v>
      </c>
      <c r="CI10" s="27" t="n">
        <v>8950.07</v>
      </c>
      <c r="CJ10" s="27" t="n">
        <v>9161</v>
      </c>
      <c r="CK10" s="27" t="n">
        <v>9429.450000000001</v>
      </c>
      <c r="CL10" s="27" t="n">
        <v>9483.030000000001</v>
      </c>
      <c r="CM10" s="27" t="n">
        <v>9475.379999999999</v>
      </c>
      <c r="CN10" s="27" t="n">
        <v>9542.209999999999</v>
      </c>
      <c r="CO10" s="27" t="n">
        <v>9661.690000000001</v>
      </c>
      <c r="CP10" s="27" t="n">
        <v>9577.549999999999</v>
      </c>
      <c r="CQ10" s="27" t="n">
        <v>9515.620000000001</v>
      </c>
      <c r="CR10" s="27" t="n">
        <v>9377.309999999999</v>
      </c>
      <c r="CS10" s="27" t="n">
        <v>9130.209999999999</v>
      </c>
      <c r="CT10" s="27" t="n">
        <v>9051.379999999999</v>
      </c>
      <c r="CU10" s="27" t="n">
        <v>8208.969999999999</v>
      </c>
      <c r="CV10" s="27" t="n">
        <v>7989.72</v>
      </c>
      <c r="CW10" s="27" t="n">
        <v>7850.55</v>
      </c>
      <c r="CX10" s="27" t="n">
        <v>7709.52</v>
      </c>
      <c r="CY10" s="27" t="n">
        <v>7226.48</v>
      </c>
      <c r="CZ10" s="27" t="n">
        <v>6529.31</v>
      </c>
      <c r="DA10" s="27" t="n">
        <v>6159.41</v>
      </c>
      <c r="DB10" s="27" t="n">
        <v>5977.17</v>
      </c>
      <c r="DC10" s="27" t="n">
        <v>5309</v>
      </c>
      <c r="DD10" s="27" t="n">
        <v>5284.93</v>
      </c>
      <c r="DE10" s="27" t="n">
        <v>5373.72</v>
      </c>
      <c r="DF10" s="27" t="n">
        <v>5388.72</v>
      </c>
      <c r="DG10" s="27" t="n">
        <v>5344</v>
      </c>
      <c r="DH10" s="27" t="n">
        <v>5382.83</v>
      </c>
      <c r="DI10" s="27" t="n">
        <v>5375.69</v>
      </c>
      <c r="DJ10" s="27" t="n">
        <v>5358.83</v>
      </c>
      <c r="DK10" s="27" t="n">
        <v>5358.83</v>
      </c>
      <c r="DL10" s="27" t="n">
        <v>5504.86</v>
      </c>
      <c r="DM10" s="27" t="n">
        <v>5516.79</v>
      </c>
      <c r="DN10" s="27" t="n">
        <v>5570.9</v>
      </c>
      <c r="DO10" s="27" t="n">
        <v>5638.48</v>
      </c>
      <c r="DP10" s="27" t="n">
        <v>6008.97</v>
      </c>
      <c r="DQ10" s="27" t="n">
        <v>6415.79</v>
      </c>
      <c r="DR10" s="27" t="n">
        <v>6822.21</v>
      </c>
      <c r="DS10" s="27" t="n">
        <v>7109.72</v>
      </c>
      <c r="DT10" s="27" t="n">
        <v>7355.24</v>
      </c>
      <c r="DU10" s="27" t="n">
        <v>7319.21</v>
      </c>
      <c r="DV10" s="27" t="n">
        <v>7023.62</v>
      </c>
      <c r="DW10" s="27" t="n">
        <v>5753.31</v>
      </c>
      <c r="DX10" s="27" t="n">
        <v>5328.1</v>
      </c>
      <c r="DY10" s="27" t="n">
        <v>4511.62</v>
      </c>
      <c r="DZ10" s="27" t="n">
        <v>3597.55</v>
      </c>
      <c r="EA10" s="27" t="n">
        <v>3088.59</v>
      </c>
      <c r="EB10" s="27" t="n">
        <v>2668.21</v>
      </c>
      <c r="EC10" s="27" t="n">
        <v>2436</v>
      </c>
      <c r="ED10" s="27" t="n">
        <v>2280.17</v>
      </c>
      <c r="EE10" s="27" t="n">
        <v>2013.59</v>
      </c>
      <c r="EF10" s="27" t="n">
        <v>1928.86</v>
      </c>
      <c r="EG10" s="27" t="n">
        <v>1789.55</v>
      </c>
      <c r="EH10" s="27" t="n">
        <v>1697.03</v>
      </c>
      <c r="EI10" s="27" t="n">
        <v>1456.97</v>
      </c>
      <c r="EJ10" s="27" t="n">
        <v>1409.1</v>
      </c>
      <c r="EK10" s="27" t="n">
        <v>1330</v>
      </c>
      <c r="EL10" s="27" t="n">
        <v>1280.17</v>
      </c>
      <c r="EM10" s="27" t="n">
        <v>1255.1</v>
      </c>
      <c r="EN10" s="27" t="n">
        <v>1237.45</v>
      </c>
      <c r="EO10" s="27" t="n">
        <v>1215.9</v>
      </c>
      <c r="EP10" s="27" t="n">
        <v>1224.83</v>
      </c>
      <c r="EQ10" s="27" t="n">
        <v>1164.76</v>
      </c>
      <c r="ER10" s="27" t="n">
        <v>1150.79</v>
      </c>
      <c r="ES10" s="27" t="n">
        <v>1142.41</v>
      </c>
      <c r="ET10" s="27" t="n">
        <v>1135.45</v>
      </c>
      <c r="EU10" s="27" t="n">
        <v>1032.62</v>
      </c>
      <c r="EV10" s="27" t="n">
        <v>1046.72</v>
      </c>
      <c r="EW10" s="27" t="n">
        <v>1127.38</v>
      </c>
      <c r="EX10" s="27" t="n">
        <v>1173.62</v>
      </c>
      <c r="EY10" s="27" t="n">
        <v>1302.24</v>
      </c>
      <c r="EZ10" s="27" t="n">
        <v>1432.9</v>
      </c>
      <c r="FA10" s="27" t="n">
        <v>1552.17</v>
      </c>
      <c r="FB10" s="27" t="n">
        <v>1630.9</v>
      </c>
      <c r="FC10" s="27" t="n">
        <v>1870.72</v>
      </c>
      <c r="FD10" s="27" t="n">
        <v>2008.24</v>
      </c>
      <c r="FE10" s="27" t="n">
        <v>2190.31</v>
      </c>
      <c r="FF10" s="27" t="n">
        <v>2298.52</v>
      </c>
      <c r="FG10" s="27" t="n">
        <v>2535.72</v>
      </c>
      <c r="FH10" s="27" t="n">
        <v>2615.03</v>
      </c>
      <c r="FI10" s="27" t="n">
        <v>2775.52</v>
      </c>
      <c r="FJ10" s="27" t="n">
        <v>2880.66</v>
      </c>
      <c r="FK10" s="27" t="n">
        <v>3014.48</v>
      </c>
      <c r="FL10" s="27" t="n">
        <v>3090.41</v>
      </c>
      <c r="FM10" s="27" t="n">
        <v>3278.66</v>
      </c>
      <c r="FN10" s="27" t="n">
        <v>3429.21</v>
      </c>
      <c r="FO10" s="27" t="n">
        <v>3766.86</v>
      </c>
      <c r="FP10" s="27" t="n">
        <v>4429.21</v>
      </c>
      <c r="FQ10" s="27" t="n">
        <v>5473.34</v>
      </c>
      <c r="FR10" s="27" t="n">
        <v>6280.83</v>
      </c>
      <c r="FS10" s="27" t="n">
        <v>7768</v>
      </c>
      <c r="FT10" s="27" t="n">
        <v>8060.38</v>
      </c>
      <c r="FU10" s="27" t="n">
        <v>8371.83</v>
      </c>
      <c r="FV10" s="27" t="n">
        <v>8681.48</v>
      </c>
      <c r="FW10" s="27" t="n">
        <v>8874.34</v>
      </c>
      <c r="FX10" s="27" t="n">
        <v>8849.59</v>
      </c>
      <c r="FY10" s="27" t="n">
        <v>8877.9</v>
      </c>
      <c r="FZ10" s="27" t="n">
        <v>8895</v>
      </c>
      <c r="GA10" s="27" t="n">
        <v>8950.07</v>
      </c>
      <c r="GB10" s="27" t="n">
        <v>9161</v>
      </c>
      <c r="GC10" s="27" t="n">
        <v>9429.450000000001</v>
      </c>
      <c r="GD10" s="27" t="n">
        <v>9483.030000000001</v>
      </c>
      <c r="GE10" s="27" t="n">
        <v>9475.379999999999</v>
      </c>
      <c r="GF10" s="27" t="n">
        <v>9542.209999999999</v>
      </c>
      <c r="GG10" s="27" t="n">
        <v>9661.690000000001</v>
      </c>
      <c r="GH10" s="27" t="n">
        <v>9577.549999999999</v>
      </c>
      <c r="GI10" s="27" t="n">
        <v>9515.620000000001</v>
      </c>
      <c r="GJ10" s="27" t="n">
        <v>9377.309999999999</v>
      </c>
      <c r="GK10" s="27" t="n">
        <v>9130.209999999999</v>
      </c>
      <c r="GL10" s="27" t="n">
        <v>9051.379999999999</v>
      </c>
    </row>
    <row r="11">
      <c r="A11" s="6" t="inlineStr">
        <is>
          <t>DAM|8</t>
        </is>
      </c>
      <c r="B11" s="2" t="n">
        <v>29</v>
      </c>
      <c r="C11" s="27" t="n">
        <v>7343.72</v>
      </c>
      <c r="D11" s="27" t="n">
        <v>7072.41</v>
      </c>
      <c r="E11" s="27" t="n">
        <v>6785.41</v>
      </c>
      <c r="F11" s="27" t="n">
        <v>6692.69</v>
      </c>
      <c r="G11" s="27" t="n">
        <v>6175.48</v>
      </c>
      <c r="H11" s="27" t="n">
        <v>6022.72</v>
      </c>
      <c r="I11" s="27" t="n">
        <v>5823.59</v>
      </c>
      <c r="J11" s="27" t="n">
        <v>5727.55</v>
      </c>
      <c r="K11" s="27" t="n">
        <v>4814.93</v>
      </c>
      <c r="L11" s="27" t="n">
        <v>4650.59</v>
      </c>
      <c r="M11" s="27" t="n">
        <v>4305.34</v>
      </c>
      <c r="N11" s="27" t="n">
        <v>4223.97</v>
      </c>
      <c r="O11" s="27" t="n">
        <v>3781.03</v>
      </c>
      <c r="P11" s="27" t="n">
        <v>3641.72</v>
      </c>
      <c r="Q11" s="27" t="n">
        <v>3501.41</v>
      </c>
      <c r="R11" s="27" t="n">
        <v>3448.31</v>
      </c>
      <c r="S11" s="27" t="n">
        <v>3601.28</v>
      </c>
      <c r="T11" s="27" t="n">
        <v>3685.69</v>
      </c>
      <c r="U11" s="27" t="n">
        <v>3830.03</v>
      </c>
      <c r="V11" s="27" t="n">
        <v>4432.28</v>
      </c>
      <c r="W11" s="27" t="n">
        <v>5129.03</v>
      </c>
      <c r="X11" s="27" t="n">
        <v>5705.03</v>
      </c>
      <c r="Y11" s="27" t="n">
        <v>6202.86</v>
      </c>
      <c r="Z11" s="27" t="n">
        <v>6514.76</v>
      </c>
      <c r="AA11" s="27" t="n">
        <v>7099.48</v>
      </c>
      <c r="AB11" s="27" t="n">
        <v>7449.62</v>
      </c>
      <c r="AC11" s="27" t="n">
        <v>7782.93</v>
      </c>
      <c r="AD11" s="27" t="n">
        <v>7522.72</v>
      </c>
      <c r="AE11" s="27" t="n">
        <v>6711.55</v>
      </c>
      <c r="AF11" s="27" t="n">
        <v>5989.79</v>
      </c>
      <c r="AG11" s="27" t="n">
        <v>5268.52</v>
      </c>
      <c r="AH11" s="27" t="n">
        <v>4542.59</v>
      </c>
      <c r="AI11" s="27" t="n">
        <v>3370.21</v>
      </c>
      <c r="AJ11" s="27" t="n">
        <v>3155.24</v>
      </c>
      <c r="AK11" s="27" t="n">
        <v>2840.79</v>
      </c>
      <c r="AL11" s="27" t="n">
        <v>2625.79</v>
      </c>
      <c r="AM11" s="27" t="n">
        <v>2399.38</v>
      </c>
      <c r="AN11" s="27" t="n">
        <v>2258.52</v>
      </c>
      <c r="AO11" s="27" t="n">
        <v>2083.21</v>
      </c>
      <c r="AP11" s="27" t="n">
        <v>1919.03</v>
      </c>
      <c r="AQ11" s="27" t="n">
        <v>1688.1</v>
      </c>
      <c r="AR11" s="27" t="n">
        <v>1619.34</v>
      </c>
      <c r="AS11" s="27" t="n">
        <v>1495.93</v>
      </c>
      <c r="AT11" s="27" t="n">
        <v>1467.1</v>
      </c>
      <c r="AU11" s="27" t="n">
        <v>1427.34</v>
      </c>
      <c r="AV11" s="27" t="n">
        <v>1406.59</v>
      </c>
      <c r="AW11" s="27" t="n">
        <v>1345.76</v>
      </c>
      <c r="AX11" s="27" t="n">
        <v>1337.45</v>
      </c>
      <c r="AY11" s="27" t="n">
        <v>1304.52</v>
      </c>
      <c r="AZ11" s="27" t="n">
        <v>1299</v>
      </c>
      <c r="BA11" s="27" t="n">
        <v>1281.86</v>
      </c>
      <c r="BB11" s="27" t="n">
        <v>1259.48</v>
      </c>
      <c r="BC11" s="27" t="n">
        <v>1221.9</v>
      </c>
      <c r="BD11" s="27" t="n">
        <v>1231.14</v>
      </c>
      <c r="BE11" s="27" t="n">
        <v>1298.48</v>
      </c>
      <c r="BF11" s="27" t="n">
        <v>1354.59</v>
      </c>
      <c r="BG11" s="27" t="n">
        <v>1461.34</v>
      </c>
      <c r="BH11" s="27" t="n">
        <v>1542.48</v>
      </c>
      <c r="BI11" s="27" t="n">
        <v>1590.62</v>
      </c>
      <c r="BJ11" s="27" t="n">
        <v>1674.38</v>
      </c>
      <c r="BK11" s="27" t="n">
        <v>1906.79</v>
      </c>
      <c r="BL11" s="27" t="n">
        <v>2048.69</v>
      </c>
      <c r="BM11" s="27" t="n">
        <v>2213.9</v>
      </c>
      <c r="BN11" s="27" t="n">
        <v>2351.48</v>
      </c>
      <c r="BO11" s="27" t="n">
        <v>2675.24</v>
      </c>
      <c r="BP11" s="27" t="n">
        <v>2823.69</v>
      </c>
      <c r="BQ11" s="27" t="n">
        <v>3084.48</v>
      </c>
      <c r="BR11" s="27" t="n">
        <v>3277.1</v>
      </c>
      <c r="BS11" s="27" t="n">
        <v>3557.79</v>
      </c>
      <c r="BT11" s="27" t="n">
        <v>3622.45</v>
      </c>
      <c r="BU11" s="27" t="n">
        <v>3799.03</v>
      </c>
      <c r="BV11" s="27" t="n">
        <v>4027.17</v>
      </c>
      <c r="BW11" s="27" t="n">
        <v>4397.9</v>
      </c>
      <c r="BX11" s="27" t="n">
        <v>5244.62</v>
      </c>
      <c r="BY11" s="27" t="n">
        <v>6223.55</v>
      </c>
      <c r="BZ11" s="27" t="n">
        <v>7662.55</v>
      </c>
      <c r="CA11" s="27" t="n">
        <v>9171.9</v>
      </c>
      <c r="CB11" s="27" t="n">
        <v>9259.93</v>
      </c>
      <c r="CC11" s="27" t="n">
        <v>9328.83</v>
      </c>
      <c r="CD11" s="27" t="n">
        <v>9319.1</v>
      </c>
      <c r="CE11" s="27" t="n">
        <v>9342.549999999999</v>
      </c>
      <c r="CF11" s="27" t="n">
        <v>9362.17</v>
      </c>
      <c r="CG11" s="27" t="n">
        <v>9367.07</v>
      </c>
      <c r="CH11" s="27" t="n">
        <v>9371.76</v>
      </c>
      <c r="CI11" s="27" t="n">
        <v>9394.93</v>
      </c>
      <c r="CJ11" s="27" t="n">
        <v>9466.48</v>
      </c>
      <c r="CK11" s="27" t="n">
        <v>9457.48</v>
      </c>
      <c r="CL11" s="27" t="n">
        <v>9356.24</v>
      </c>
      <c r="CM11" s="27" t="n">
        <v>9311.690000000001</v>
      </c>
      <c r="CN11" s="27" t="n">
        <v>9471.969999999999</v>
      </c>
      <c r="CO11" s="27" t="n">
        <v>9448.690000000001</v>
      </c>
      <c r="CP11" s="27" t="n">
        <v>9429.139999999999</v>
      </c>
      <c r="CQ11" s="27" t="n">
        <v>9215.280000000001</v>
      </c>
      <c r="CR11" s="27" t="n">
        <v>9048.280000000001</v>
      </c>
      <c r="CS11" s="27" t="n">
        <v>8865.139999999999</v>
      </c>
      <c r="CT11" s="27" t="n">
        <v>8803</v>
      </c>
      <c r="CU11" s="27" t="n">
        <v>7343.72</v>
      </c>
      <c r="CV11" s="27" t="n">
        <v>7072.41</v>
      </c>
      <c r="CW11" s="27" t="n">
        <v>6785.41</v>
      </c>
      <c r="CX11" s="27" t="n">
        <v>6692.69</v>
      </c>
      <c r="CY11" s="27" t="n">
        <v>6175.48</v>
      </c>
      <c r="CZ11" s="27" t="n">
        <v>6022.72</v>
      </c>
      <c r="DA11" s="27" t="n">
        <v>5823.59</v>
      </c>
      <c r="DB11" s="27" t="n">
        <v>5727.55</v>
      </c>
      <c r="DC11" s="27" t="n">
        <v>4814.93</v>
      </c>
      <c r="DD11" s="27" t="n">
        <v>4650.59</v>
      </c>
      <c r="DE11" s="27" t="n">
        <v>4305.34</v>
      </c>
      <c r="DF11" s="27" t="n">
        <v>4223.97</v>
      </c>
      <c r="DG11" s="27" t="n">
        <v>3781.03</v>
      </c>
      <c r="DH11" s="27" t="n">
        <v>3641.72</v>
      </c>
      <c r="DI11" s="27" t="n">
        <v>3501.41</v>
      </c>
      <c r="DJ11" s="27" t="n">
        <v>3448.31</v>
      </c>
      <c r="DK11" s="27" t="n">
        <v>3601.28</v>
      </c>
      <c r="DL11" s="27" t="n">
        <v>3685.69</v>
      </c>
      <c r="DM11" s="27" t="n">
        <v>3830.03</v>
      </c>
      <c r="DN11" s="27" t="n">
        <v>4432.28</v>
      </c>
      <c r="DO11" s="27" t="n">
        <v>5129.03</v>
      </c>
      <c r="DP11" s="27" t="n">
        <v>5705.03</v>
      </c>
      <c r="DQ11" s="27" t="n">
        <v>6202.86</v>
      </c>
      <c r="DR11" s="27" t="n">
        <v>6514.76</v>
      </c>
      <c r="DS11" s="27" t="n">
        <v>7099.48</v>
      </c>
      <c r="DT11" s="27" t="n">
        <v>7449.62</v>
      </c>
      <c r="DU11" s="27" t="n">
        <v>7782.93</v>
      </c>
      <c r="DV11" s="27" t="n">
        <v>7522.72</v>
      </c>
      <c r="DW11" s="27" t="n">
        <v>6711.55</v>
      </c>
      <c r="DX11" s="27" t="n">
        <v>5989.79</v>
      </c>
      <c r="DY11" s="27" t="n">
        <v>5268.52</v>
      </c>
      <c r="DZ11" s="27" t="n">
        <v>4542.59</v>
      </c>
      <c r="EA11" s="27" t="n">
        <v>3370.21</v>
      </c>
      <c r="EB11" s="27" t="n">
        <v>3155.24</v>
      </c>
      <c r="EC11" s="27" t="n">
        <v>2840.79</v>
      </c>
      <c r="ED11" s="27" t="n">
        <v>2625.79</v>
      </c>
      <c r="EE11" s="27" t="n">
        <v>2399.38</v>
      </c>
      <c r="EF11" s="27" t="n">
        <v>2258.52</v>
      </c>
      <c r="EG11" s="27" t="n">
        <v>2083.21</v>
      </c>
      <c r="EH11" s="27" t="n">
        <v>1919.03</v>
      </c>
      <c r="EI11" s="27" t="n">
        <v>1688.1</v>
      </c>
      <c r="EJ11" s="27" t="n">
        <v>1619.34</v>
      </c>
      <c r="EK11" s="27" t="n">
        <v>1495.93</v>
      </c>
      <c r="EL11" s="27" t="n">
        <v>1467.1</v>
      </c>
      <c r="EM11" s="27" t="n">
        <v>1427.34</v>
      </c>
      <c r="EN11" s="27" t="n">
        <v>1406.59</v>
      </c>
      <c r="EO11" s="27" t="n">
        <v>1345.76</v>
      </c>
      <c r="EP11" s="27" t="n">
        <v>1337.45</v>
      </c>
      <c r="EQ11" s="27" t="n">
        <v>1304.52</v>
      </c>
      <c r="ER11" s="27" t="n">
        <v>1299</v>
      </c>
      <c r="ES11" s="27" t="n">
        <v>1281.86</v>
      </c>
      <c r="ET11" s="27" t="n">
        <v>1259.48</v>
      </c>
      <c r="EU11" s="27" t="n">
        <v>1221.9</v>
      </c>
      <c r="EV11" s="27" t="n">
        <v>1231.14</v>
      </c>
      <c r="EW11" s="27" t="n">
        <v>1298.48</v>
      </c>
      <c r="EX11" s="27" t="n">
        <v>1354.59</v>
      </c>
      <c r="EY11" s="27" t="n">
        <v>1461.34</v>
      </c>
      <c r="EZ11" s="27" t="n">
        <v>1542.48</v>
      </c>
      <c r="FA11" s="27" t="n">
        <v>1590.62</v>
      </c>
      <c r="FB11" s="27" t="n">
        <v>1674.38</v>
      </c>
      <c r="FC11" s="27" t="n">
        <v>1906.79</v>
      </c>
      <c r="FD11" s="27" t="n">
        <v>2048.69</v>
      </c>
      <c r="FE11" s="27" t="n">
        <v>2213.9</v>
      </c>
      <c r="FF11" s="27" t="n">
        <v>2351.48</v>
      </c>
      <c r="FG11" s="27" t="n">
        <v>2675.24</v>
      </c>
      <c r="FH11" s="27" t="n">
        <v>2823.69</v>
      </c>
      <c r="FI11" s="27" t="n">
        <v>3084.48</v>
      </c>
      <c r="FJ11" s="27" t="n">
        <v>3277.1</v>
      </c>
      <c r="FK11" s="27" t="n">
        <v>3557.79</v>
      </c>
      <c r="FL11" s="27" t="n">
        <v>3622.45</v>
      </c>
      <c r="FM11" s="27" t="n">
        <v>3799.03</v>
      </c>
      <c r="FN11" s="27" t="n">
        <v>4027.17</v>
      </c>
      <c r="FO11" s="27" t="n">
        <v>4397.9</v>
      </c>
      <c r="FP11" s="27" t="n">
        <v>5244.62</v>
      </c>
      <c r="FQ11" s="27" t="n">
        <v>6223.55</v>
      </c>
      <c r="FR11" s="27" t="n">
        <v>7662.55</v>
      </c>
      <c r="FS11" s="27" t="n">
        <v>9171.9</v>
      </c>
      <c r="FT11" s="27" t="n">
        <v>9259.93</v>
      </c>
      <c r="FU11" s="27" t="n">
        <v>9328.83</v>
      </c>
      <c r="FV11" s="27" t="n">
        <v>9319.1</v>
      </c>
      <c r="FW11" s="27" t="n">
        <v>9342.549999999999</v>
      </c>
      <c r="FX11" s="27" t="n">
        <v>9362.17</v>
      </c>
      <c r="FY11" s="27" t="n">
        <v>9367.07</v>
      </c>
      <c r="FZ11" s="27" t="n">
        <v>9371.76</v>
      </c>
      <c r="GA11" s="27" t="n">
        <v>9394.93</v>
      </c>
      <c r="GB11" s="27" t="n">
        <v>9466.48</v>
      </c>
      <c r="GC11" s="27" t="n">
        <v>9457.48</v>
      </c>
      <c r="GD11" s="27" t="n">
        <v>9356.24</v>
      </c>
      <c r="GE11" s="27" t="n">
        <v>9311.690000000001</v>
      </c>
      <c r="GF11" s="27" t="n">
        <v>9471.969999999999</v>
      </c>
      <c r="GG11" s="27" t="n">
        <v>9448.690000000001</v>
      </c>
      <c r="GH11" s="27" t="n">
        <v>9429.139999999999</v>
      </c>
      <c r="GI11" s="27" t="n">
        <v>9215.280000000001</v>
      </c>
      <c r="GJ11" s="27" t="n">
        <v>9048.280000000001</v>
      </c>
      <c r="GK11" s="27" t="n">
        <v>8865.139999999999</v>
      </c>
      <c r="GL11" s="27" t="n">
        <v>8803</v>
      </c>
    </row>
    <row r="12">
      <c r="A12" s="6" t="inlineStr">
        <is>
          <t>DAM|9</t>
        </is>
      </c>
      <c r="B12" s="2" t="n">
        <v>34</v>
      </c>
      <c r="C12" s="27" t="n">
        <v>7980.44</v>
      </c>
      <c r="D12" s="27" t="n">
        <v>7969.88</v>
      </c>
      <c r="E12" s="27" t="n">
        <v>7945.29</v>
      </c>
      <c r="F12" s="27" t="n">
        <v>7916.76</v>
      </c>
      <c r="G12" s="27" t="n">
        <v>7871.38</v>
      </c>
      <c r="H12" s="27" t="n">
        <v>7858.06</v>
      </c>
      <c r="I12" s="27" t="n">
        <v>7777.18</v>
      </c>
      <c r="J12" s="27" t="n">
        <v>7764.35</v>
      </c>
      <c r="K12" s="27" t="n">
        <v>7638.03</v>
      </c>
      <c r="L12" s="27" t="n">
        <v>7624.44</v>
      </c>
      <c r="M12" s="27" t="n">
        <v>7622.12</v>
      </c>
      <c r="N12" s="27" t="n">
        <v>7619.29</v>
      </c>
      <c r="O12" s="27" t="n">
        <v>7587.53</v>
      </c>
      <c r="P12" s="27" t="n">
        <v>7500.74</v>
      </c>
      <c r="Q12" s="27" t="n">
        <v>7456.12</v>
      </c>
      <c r="R12" s="27" t="n">
        <v>7432.41</v>
      </c>
      <c r="S12" s="27" t="n">
        <v>7472.26</v>
      </c>
      <c r="T12" s="27" t="n">
        <v>7475.09</v>
      </c>
      <c r="U12" s="27" t="n">
        <v>7502.62</v>
      </c>
      <c r="V12" s="27" t="n">
        <v>7511.26</v>
      </c>
      <c r="W12" s="27" t="n">
        <v>7644.62</v>
      </c>
      <c r="X12" s="27" t="n">
        <v>7672.12</v>
      </c>
      <c r="Y12" s="27" t="n">
        <v>7702.06</v>
      </c>
      <c r="Z12" s="27" t="n">
        <v>7717.26</v>
      </c>
      <c r="AA12" s="27" t="n">
        <v>7826.53</v>
      </c>
      <c r="AB12" s="27" t="n">
        <v>7858.91</v>
      </c>
      <c r="AC12" s="27" t="n">
        <v>7852.82</v>
      </c>
      <c r="AD12" s="27" t="n">
        <v>7817.82</v>
      </c>
      <c r="AE12" s="27" t="n">
        <v>7763.21</v>
      </c>
      <c r="AF12" s="27" t="n">
        <v>7715.88</v>
      </c>
      <c r="AG12" s="27" t="n">
        <v>7541.76</v>
      </c>
      <c r="AH12" s="27" t="n">
        <v>7354.15</v>
      </c>
      <c r="AI12" s="27" t="n">
        <v>6647.41</v>
      </c>
      <c r="AJ12" s="27" t="n">
        <v>5886.26</v>
      </c>
      <c r="AK12" s="27" t="n">
        <v>5120.82</v>
      </c>
      <c r="AL12" s="27" t="n">
        <v>4592.44</v>
      </c>
      <c r="AM12" s="27" t="n">
        <v>3796.62</v>
      </c>
      <c r="AN12" s="27" t="n">
        <v>3230.47</v>
      </c>
      <c r="AO12" s="27" t="n">
        <v>2897.32</v>
      </c>
      <c r="AP12" s="27" t="n">
        <v>2638.76</v>
      </c>
      <c r="AQ12" s="27" t="n">
        <v>2439.35</v>
      </c>
      <c r="AR12" s="27" t="n">
        <v>2319.03</v>
      </c>
      <c r="AS12" s="27" t="n">
        <v>2282.32</v>
      </c>
      <c r="AT12" s="27" t="n">
        <v>2235.38</v>
      </c>
      <c r="AU12" s="27" t="n">
        <v>2157.32</v>
      </c>
      <c r="AV12" s="27" t="n">
        <v>2140.76</v>
      </c>
      <c r="AW12" s="27" t="n">
        <v>2111.53</v>
      </c>
      <c r="AX12" s="27" t="n">
        <v>2088.06</v>
      </c>
      <c r="AY12" s="27" t="n">
        <v>2054.74</v>
      </c>
      <c r="AZ12" s="27" t="n">
        <v>2070.06</v>
      </c>
      <c r="BA12" s="27" t="n">
        <v>2051.85</v>
      </c>
      <c r="BB12" s="27" t="n">
        <v>2033.65</v>
      </c>
      <c r="BC12" s="27" t="n">
        <v>1832.85</v>
      </c>
      <c r="BD12" s="27" t="n">
        <v>1874.88</v>
      </c>
      <c r="BE12" s="27" t="n">
        <v>2054.03</v>
      </c>
      <c r="BF12" s="27" t="n">
        <v>2130.59</v>
      </c>
      <c r="BG12" s="27" t="n">
        <v>2405.59</v>
      </c>
      <c r="BH12" s="27" t="n">
        <v>2543.59</v>
      </c>
      <c r="BI12" s="27" t="n">
        <v>2710.35</v>
      </c>
      <c r="BJ12" s="27" t="n">
        <v>2869.53</v>
      </c>
      <c r="BK12" s="27" t="n">
        <v>3430.06</v>
      </c>
      <c r="BL12" s="27" t="n">
        <v>3835.29</v>
      </c>
      <c r="BM12" s="27" t="n">
        <v>4684.18</v>
      </c>
      <c r="BN12" s="27" t="n">
        <v>5209.62</v>
      </c>
      <c r="BO12" s="27" t="n">
        <v>6288.97</v>
      </c>
      <c r="BP12" s="27" t="n">
        <v>6464.82</v>
      </c>
      <c r="BQ12" s="27" t="n">
        <v>6851.06</v>
      </c>
      <c r="BR12" s="27" t="n">
        <v>6889.56</v>
      </c>
      <c r="BS12" s="27" t="n">
        <v>7181.18</v>
      </c>
      <c r="BT12" s="27" t="n">
        <v>7375.47</v>
      </c>
      <c r="BU12" s="27" t="n">
        <v>7638.35</v>
      </c>
      <c r="BV12" s="27" t="n">
        <v>7785.56</v>
      </c>
      <c r="BW12" s="27" t="n">
        <v>8051.65</v>
      </c>
      <c r="BX12" s="27" t="n">
        <v>8297.59</v>
      </c>
      <c r="BY12" s="27" t="n">
        <v>9250</v>
      </c>
      <c r="BZ12" s="27" t="n">
        <v>9204.68</v>
      </c>
      <c r="CA12" s="27" t="n">
        <v>9657.940000000001</v>
      </c>
      <c r="CB12" s="27" t="n">
        <v>9672.65</v>
      </c>
      <c r="CC12" s="27" t="n">
        <v>9561.76</v>
      </c>
      <c r="CD12" s="27" t="n">
        <v>9534.209999999999</v>
      </c>
      <c r="CE12" s="27" t="n">
        <v>9515.26</v>
      </c>
      <c r="CF12" s="27" t="n">
        <v>9500.059999999999</v>
      </c>
      <c r="CG12" s="27" t="n">
        <v>9225.940000000001</v>
      </c>
      <c r="CH12" s="27" t="n">
        <v>9306.440000000001</v>
      </c>
      <c r="CI12" s="27" t="n">
        <v>9053.35</v>
      </c>
      <c r="CJ12" s="27" t="n">
        <v>8767.65</v>
      </c>
      <c r="CK12" s="27" t="n">
        <v>8557.18</v>
      </c>
      <c r="CL12" s="27" t="n">
        <v>8531.26</v>
      </c>
      <c r="CM12" s="27" t="n">
        <v>8406.68</v>
      </c>
      <c r="CN12" s="27" t="n">
        <v>8417.559999999999</v>
      </c>
      <c r="CO12" s="27" t="n">
        <v>8429.68</v>
      </c>
      <c r="CP12" s="27" t="n">
        <v>8307.290000000001</v>
      </c>
      <c r="CQ12" s="27" t="n">
        <v>8090.59</v>
      </c>
      <c r="CR12" s="27" t="n">
        <v>8063.82</v>
      </c>
      <c r="CS12" s="27" t="n">
        <v>8021.18</v>
      </c>
      <c r="CT12" s="27" t="n">
        <v>7991.71</v>
      </c>
      <c r="CU12" s="27" t="n">
        <v>7980.44</v>
      </c>
      <c r="CV12" s="27" t="n">
        <v>7969.88</v>
      </c>
      <c r="CW12" s="27" t="n">
        <v>7945.29</v>
      </c>
      <c r="CX12" s="27" t="n">
        <v>7916.76</v>
      </c>
      <c r="CY12" s="27" t="n">
        <v>7871.38</v>
      </c>
      <c r="CZ12" s="27" t="n">
        <v>7858.06</v>
      </c>
      <c r="DA12" s="27" t="n">
        <v>7777.18</v>
      </c>
      <c r="DB12" s="27" t="n">
        <v>7764.35</v>
      </c>
      <c r="DC12" s="27" t="n">
        <v>7638.03</v>
      </c>
      <c r="DD12" s="27" t="n">
        <v>7624.44</v>
      </c>
      <c r="DE12" s="27" t="n">
        <v>7622.12</v>
      </c>
      <c r="DF12" s="27" t="n">
        <v>7619.29</v>
      </c>
      <c r="DG12" s="27" t="n">
        <v>7587.53</v>
      </c>
      <c r="DH12" s="27" t="n">
        <v>7500.74</v>
      </c>
      <c r="DI12" s="27" t="n">
        <v>7456.12</v>
      </c>
      <c r="DJ12" s="27" t="n">
        <v>7432.41</v>
      </c>
      <c r="DK12" s="27" t="n">
        <v>7472.26</v>
      </c>
      <c r="DL12" s="27" t="n">
        <v>7475.09</v>
      </c>
      <c r="DM12" s="27" t="n">
        <v>7502.62</v>
      </c>
      <c r="DN12" s="27" t="n">
        <v>7511.26</v>
      </c>
      <c r="DO12" s="27" t="n">
        <v>7644.62</v>
      </c>
      <c r="DP12" s="27" t="n">
        <v>7672.12</v>
      </c>
      <c r="DQ12" s="27" t="n">
        <v>7702.06</v>
      </c>
      <c r="DR12" s="27" t="n">
        <v>7717.26</v>
      </c>
      <c r="DS12" s="27" t="n">
        <v>7826.53</v>
      </c>
      <c r="DT12" s="27" t="n">
        <v>7858.91</v>
      </c>
      <c r="DU12" s="27" t="n">
        <v>7852.82</v>
      </c>
      <c r="DV12" s="27" t="n">
        <v>7817.82</v>
      </c>
      <c r="DW12" s="27" t="n">
        <v>7763.21</v>
      </c>
      <c r="DX12" s="27" t="n">
        <v>7715.88</v>
      </c>
      <c r="DY12" s="27" t="n">
        <v>7541.76</v>
      </c>
      <c r="DZ12" s="27" t="n">
        <v>7354.15</v>
      </c>
      <c r="EA12" s="27" t="n">
        <v>6647.41</v>
      </c>
      <c r="EB12" s="27" t="n">
        <v>5886.26</v>
      </c>
      <c r="EC12" s="27" t="n">
        <v>5120.82</v>
      </c>
      <c r="ED12" s="27" t="n">
        <v>4592.44</v>
      </c>
      <c r="EE12" s="27" t="n">
        <v>3796.62</v>
      </c>
      <c r="EF12" s="27" t="n">
        <v>3230.47</v>
      </c>
      <c r="EG12" s="27" t="n">
        <v>2897.32</v>
      </c>
      <c r="EH12" s="27" t="n">
        <v>2638.76</v>
      </c>
      <c r="EI12" s="27" t="n">
        <v>2439.35</v>
      </c>
      <c r="EJ12" s="27" t="n">
        <v>2319.03</v>
      </c>
      <c r="EK12" s="27" t="n">
        <v>2282.32</v>
      </c>
      <c r="EL12" s="27" t="n">
        <v>2235.38</v>
      </c>
      <c r="EM12" s="27" t="n">
        <v>2157.32</v>
      </c>
      <c r="EN12" s="27" t="n">
        <v>2140.76</v>
      </c>
      <c r="EO12" s="27" t="n">
        <v>2111.53</v>
      </c>
      <c r="EP12" s="27" t="n">
        <v>2088.06</v>
      </c>
      <c r="EQ12" s="27" t="n">
        <v>2054.74</v>
      </c>
      <c r="ER12" s="27" t="n">
        <v>2070.06</v>
      </c>
      <c r="ES12" s="27" t="n">
        <v>2051.85</v>
      </c>
      <c r="ET12" s="27" t="n">
        <v>2033.65</v>
      </c>
      <c r="EU12" s="27" t="n">
        <v>1832.85</v>
      </c>
      <c r="EV12" s="27" t="n">
        <v>1874.88</v>
      </c>
      <c r="EW12" s="27" t="n">
        <v>2054.03</v>
      </c>
      <c r="EX12" s="27" t="n">
        <v>2130.59</v>
      </c>
      <c r="EY12" s="27" t="n">
        <v>2405.59</v>
      </c>
      <c r="EZ12" s="27" t="n">
        <v>2543.59</v>
      </c>
      <c r="FA12" s="27" t="n">
        <v>2710.35</v>
      </c>
      <c r="FB12" s="27" t="n">
        <v>2869.53</v>
      </c>
      <c r="FC12" s="27" t="n">
        <v>3430.06</v>
      </c>
      <c r="FD12" s="27" t="n">
        <v>3835.29</v>
      </c>
      <c r="FE12" s="27" t="n">
        <v>4684.18</v>
      </c>
      <c r="FF12" s="27" t="n">
        <v>5209.62</v>
      </c>
      <c r="FG12" s="27" t="n">
        <v>6288.97</v>
      </c>
      <c r="FH12" s="27" t="n">
        <v>6464.82</v>
      </c>
      <c r="FI12" s="27" t="n">
        <v>6851.06</v>
      </c>
      <c r="FJ12" s="27" t="n">
        <v>6889.56</v>
      </c>
      <c r="FK12" s="27" t="n">
        <v>7181.18</v>
      </c>
      <c r="FL12" s="27" t="n">
        <v>7375.47</v>
      </c>
      <c r="FM12" s="27" t="n">
        <v>7638.35</v>
      </c>
      <c r="FN12" s="27" t="n">
        <v>7785.56</v>
      </c>
      <c r="FO12" s="27" t="n">
        <v>8051.65</v>
      </c>
      <c r="FP12" s="27" t="n">
        <v>8297.59</v>
      </c>
      <c r="FQ12" s="27" t="n">
        <v>9250</v>
      </c>
      <c r="FR12" s="27" t="n">
        <v>9204.68</v>
      </c>
      <c r="FS12" s="27" t="n">
        <v>9657.940000000001</v>
      </c>
      <c r="FT12" s="27" t="n">
        <v>9672.65</v>
      </c>
      <c r="FU12" s="27" t="n">
        <v>9561.76</v>
      </c>
      <c r="FV12" s="27" t="n">
        <v>9534.209999999999</v>
      </c>
      <c r="FW12" s="27" t="n">
        <v>9515.26</v>
      </c>
      <c r="FX12" s="27" t="n">
        <v>9500.059999999999</v>
      </c>
      <c r="FY12" s="27" t="n">
        <v>9225.940000000001</v>
      </c>
      <c r="FZ12" s="27" t="n">
        <v>9306.440000000001</v>
      </c>
      <c r="GA12" s="27" t="n">
        <v>9053.35</v>
      </c>
      <c r="GB12" s="27" t="n">
        <v>8767.65</v>
      </c>
      <c r="GC12" s="27" t="n">
        <v>8557.18</v>
      </c>
      <c r="GD12" s="27" t="n">
        <v>8531.26</v>
      </c>
      <c r="GE12" s="27" t="n">
        <v>8406.68</v>
      </c>
      <c r="GF12" s="27" t="n">
        <v>8417.559999999999</v>
      </c>
      <c r="GG12" s="27" t="n">
        <v>8429.68</v>
      </c>
      <c r="GH12" s="27" t="n">
        <v>8307.290000000001</v>
      </c>
      <c r="GI12" s="27" t="n">
        <v>8090.59</v>
      </c>
      <c r="GJ12" s="27" t="n">
        <v>8063.82</v>
      </c>
      <c r="GK12" s="27" t="n">
        <v>8021.18</v>
      </c>
      <c r="GL12" s="27" t="n">
        <v>7991.71</v>
      </c>
    </row>
    <row r="13">
      <c r="A13" s="6" t="inlineStr">
        <is>
          <t>DAM|10</t>
        </is>
      </c>
      <c r="B13" s="2" t="n">
        <v>31</v>
      </c>
      <c r="C13" s="27" t="n">
        <v>2864.74</v>
      </c>
      <c r="D13" s="27" t="n">
        <v>2827.03</v>
      </c>
      <c r="E13" s="27" t="n">
        <v>2773.29</v>
      </c>
      <c r="F13" s="27" t="n">
        <v>2716.29</v>
      </c>
      <c r="G13" s="27" t="n">
        <v>2661.26</v>
      </c>
      <c r="H13" s="27" t="n">
        <v>2606.71</v>
      </c>
      <c r="I13" s="27" t="n">
        <v>2604.55</v>
      </c>
      <c r="J13" s="27" t="n">
        <v>2571.52</v>
      </c>
      <c r="K13" s="27" t="n">
        <v>2545.94</v>
      </c>
      <c r="L13" s="27" t="n">
        <v>2541.65</v>
      </c>
      <c r="M13" s="27" t="n">
        <v>2536.03</v>
      </c>
      <c r="N13" s="27" t="n">
        <v>2538.68</v>
      </c>
      <c r="O13" s="27" t="n">
        <v>2533.39</v>
      </c>
      <c r="P13" s="27" t="n">
        <v>2529.52</v>
      </c>
      <c r="Q13" s="27" t="n">
        <v>2545.42</v>
      </c>
      <c r="R13" s="27" t="n">
        <v>2552.26</v>
      </c>
      <c r="S13" s="27" t="n">
        <v>2533.58</v>
      </c>
      <c r="T13" s="27" t="n">
        <v>2527.65</v>
      </c>
      <c r="U13" s="27" t="n">
        <v>2509.48</v>
      </c>
      <c r="V13" s="27" t="n">
        <v>2547.19</v>
      </c>
      <c r="W13" s="27" t="n">
        <v>2604.52</v>
      </c>
      <c r="X13" s="27" t="n">
        <v>2671.35</v>
      </c>
      <c r="Y13" s="27" t="n">
        <v>2707.13</v>
      </c>
      <c r="Z13" s="27" t="n">
        <v>2691.97</v>
      </c>
      <c r="AA13" s="27" t="n">
        <v>2879.1</v>
      </c>
      <c r="AB13" s="27" t="n">
        <v>2881.9</v>
      </c>
      <c r="AC13" s="27" t="n">
        <v>2963.06</v>
      </c>
      <c r="AD13" s="27" t="n">
        <v>2968.03</v>
      </c>
      <c r="AE13" s="27" t="n">
        <v>2879.58</v>
      </c>
      <c r="AF13" s="27" t="n">
        <v>2752.16</v>
      </c>
      <c r="AG13" s="27" t="n">
        <v>2623.06</v>
      </c>
      <c r="AH13" s="27" t="n">
        <v>2336.03</v>
      </c>
      <c r="AI13" s="27" t="n">
        <v>2005.77</v>
      </c>
      <c r="AJ13" s="27" t="n">
        <v>1824.39</v>
      </c>
      <c r="AK13" s="27" t="n">
        <v>1537.13</v>
      </c>
      <c r="AL13" s="27" t="n">
        <v>1362.81</v>
      </c>
      <c r="AM13" s="27" t="n">
        <v>1161.03</v>
      </c>
      <c r="AN13" s="27" t="n">
        <v>1137.42</v>
      </c>
      <c r="AO13" s="27" t="n">
        <v>1089.52</v>
      </c>
      <c r="AP13" s="27" t="n">
        <v>1089.39</v>
      </c>
      <c r="AQ13" s="27" t="n">
        <v>965.84</v>
      </c>
      <c r="AR13" s="27" t="n">
        <v>1078.1</v>
      </c>
      <c r="AS13" s="27" t="n">
        <v>1153.03</v>
      </c>
      <c r="AT13" s="27" t="n">
        <v>1139.84</v>
      </c>
      <c r="AU13" s="27" t="n">
        <v>1097.9</v>
      </c>
      <c r="AV13" s="27" t="n">
        <v>1082.58</v>
      </c>
      <c r="AW13" s="27" t="n">
        <v>1059.23</v>
      </c>
      <c r="AX13" s="27" t="n">
        <v>1077.65</v>
      </c>
      <c r="AY13" s="27" t="n">
        <v>1050.06</v>
      </c>
      <c r="AZ13" s="27" t="n">
        <v>1058.74</v>
      </c>
      <c r="BA13" s="27" t="n">
        <v>1037.06</v>
      </c>
      <c r="BB13" s="27" t="n">
        <v>1027.52</v>
      </c>
      <c r="BC13" s="27" t="n">
        <v>884.9</v>
      </c>
      <c r="BD13" s="27" t="n">
        <v>867.9400000000001</v>
      </c>
      <c r="BE13" s="27" t="n">
        <v>1069.35</v>
      </c>
      <c r="BF13" s="27" t="n">
        <v>1124.39</v>
      </c>
      <c r="BG13" s="27" t="n">
        <v>1304.97</v>
      </c>
      <c r="BH13" s="27" t="n">
        <v>1350.77</v>
      </c>
      <c r="BI13" s="27" t="n">
        <v>1432.29</v>
      </c>
      <c r="BJ13" s="27" t="n">
        <v>1460.39</v>
      </c>
      <c r="BK13" s="27" t="n">
        <v>1571.55</v>
      </c>
      <c r="BL13" s="27" t="n">
        <v>1635.84</v>
      </c>
      <c r="BM13" s="27" t="n">
        <v>1775.94</v>
      </c>
      <c r="BN13" s="27" t="n">
        <v>1907.65</v>
      </c>
      <c r="BO13" s="27" t="n">
        <v>1967.13</v>
      </c>
      <c r="BP13" s="27" t="n">
        <v>2093.1</v>
      </c>
      <c r="BQ13" s="27" t="n">
        <v>2304.32</v>
      </c>
      <c r="BR13" s="27" t="n">
        <v>2590.77</v>
      </c>
      <c r="BS13" s="27" t="n">
        <v>3074.23</v>
      </c>
      <c r="BT13" s="27" t="n">
        <v>3372.06</v>
      </c>
      <c r="BU13" s="27" t="n">
        <v>3988.94</v>
      </c>
      <c r="BV13" s="27" t="n">
        <v>5181.39</v>
      </c>
      <c r="BW13" s="27" t="n">
        <v>6181.81</v>
      </c>
      <c r="BX13" s="27" t="n">
        <v>6840.81</v>
      </c>
      <c r="BY13" s="27" t="n">
        <v>7259.1</v>
      </c>
      <c r="BZ13" s="27" t="n">
        <v>7200.13</v>
      </c>
      <c r="CA13" s="27" t="n">
        <v>7112.29</v>
      </c>
      <c r="CB13" s="27" t="n">
        <v>6958.23</v>
      </c>
      <c r="CC13" s="27" t="n">
        <v>6199.9</v>
      </c>
      <c r="CD13" s="27" t="n">
        <v>4921.61</v>
      </c>
      <c r="CE13" s="27" t="n">
        <v>3949.35</v>
      </c>
      <c r="CF13" s="27" t="n">
        <v>3868.45</v>
      </c>
      <c r="CG13" s="27" t="n">
        <v>3781.26</v>
      </c>
      <c r="CH13" s="27" t="n">
        <v>3777.35</v>
      </c>
      <c r="CI13" s="27" t="n">
        <v>3623.1</v>
      </c>
      <c r="CJ13" s="27" t="n">
        <v>3541.55</v>
      </c>
      <c r="CK13" s="27" t="n">
        <v>3474.71</v>
      </c>
      <c r="CL13" s="27" t="n">
        <v>3416</v>
      </c>
      <c r="CM13" s="27" t="n">
        <v>3139.35</v>
      </c>
      <c r="CN13" s="27" t="n">
        <v>3143.26</v>
      </c>
      <c r="CO13" s="27" t="n">
        <v>3124.74</v>
      </c>
      <c r="CP13" s="27" t="n">
        <v>3092.35</v>
      </c>
      <c r="CQ13" s="27" t="n">
        <v>2962.42</v>
      </c>
      <c r="CR13" s="27" t="n">
        <v>2930.65</v>
      </c>
      <c r="CS13" s="27" t="n">
        <v>2863.61</v>
      </c>
      <c r="CT13" s="27" t="n">
        <v>2846.97</v>
      </c>
      <c r="CU13" s="27" t="n">
        <v>2864.74</v>
      </c>
      <c r="CV13" s="27" t="n">
        <v>2827.03</v>
      </c>
      <c r="CW13" s="27" t="n">
        <v>2773.29</v>
      </c>
      <c r="CX13" s="27" t="n">
        <v>2716.29</v>
      </c>
      <c r="CY13" s="27" t="n">
        <v>2661.26</v>
      </c>
      <c r="CZ13" s="27" t="n">
        <v>2606.71</v>
      </c>
      <c r="DA13" s="27" t="n">
        <v>2604.55</v>
      </c>
      <c r="DB13" s="27" t="n">
        <v>2571.52</v>
      </c>
      <c r="DC13" s="27" t="n">
        <v>2545.94</v>
      </c>
      <c r="DD13" s="27" t="n">
        <v>2541.65</v>
      </c>
      <c r="DE13" s="27" t="n">
        <v>2536.03</v>
      </c>
      <c r="DF13" s="27" t="n">
        <v>2538.68</v>
      </c>
      <c r="DG13" s="27" t="n">
        <v>2533.39</v>
      </c>
      <c r="DH13" s="27" t="n">
        <v>2529.52</v>
      </c>
      <c r="DI13" s="27" t="n">
        <v>2545.42</v>
      </c>
      <c r="DJ13" s="27" t="n">
        <v>2552.26</v>
      </c>
      <c r="DK13" s="27" t="n">
        <v>2533.58</v>
      </c>
      <c r="DL13" s="27" t="n">
        <v>2527.65</v>
      </c>
      <c r="DM13" s="27" t="n">
        <v>2509.48</v>
      </c>
      <c r="DN13" s="27" t="n">
        <v>2547.19</v>
      </c>
      <c r="DO13" s="27" t="n">
        <v>2604.52</v>
      </c>
      <c r="DP13" s="27" t="n">
        <v>2671.35</v>
      </c>
      <c r="DQ13" s="27" t="n">
        <v>2707.13</v>
      </c>
      <c r="DR13" s="27" t="n">
        <v>2691.97</v>
      </c>
      <c r="DS13" s="27" t="n">
        <v>2879.1</v>
      </c>
      <c r="DT13" s="27" t="n">
        <v>2881.9</v>
      </c>
      <c r="DU13" s="27" t="n">
        <v>2963.06</v>
      </c>
      <c r="DV13" s="27" t="n">
        <v>2968.03</v>
      </c>
      <c r="DW13" s="27" t="n">
        <v>2879.58</v>
      </c>
      <c r="DX13" s="27" t="n">
        <v>2752.16</v>
      </c>
      <c r="DY13" s="27" t="n">
        <v>2623.06</v>
      </c>
      <c r="DZ13" s="27" t="n">
        <v>2336.03</v>
      </c>
      <c r="EA13" s="27" t="n">
        <v>2005.77</v>
      </c>
      <c r="EB13" s="27" t="n">
        <v>1824.39</v>
      </c>
      <c r="EC13" s="27" t="n">
        <v>1537.13</v>
      </c>
      <c r="ED13" s="27" t="n">
        <v>1362.81</v>
      </c>
      <c r="EE13" s="27" t="n">
        <v>1161.03</v>
      </c>
      <c r="EF13" s="27" t="n">
        <v>1137.42</v>
      </c>
      <c r="EG13" s="27" t="n">
        <v>1089.52</v>
      </c>
      <c r="EH13" s="27" t="n">
        <v>1089.39</v>
      </c>
      <c r="EI13" s="27" t="n">
        <v>965.84</v>
      </c>
      <c r="EJ13" s="27" t="n">
        <v>1078.1</v>
      </c>
      <c r="EK13" s="27" t="n">
        <v>1153.03</v>
      </c>
      <c r="EL13" s="27" t="n">
        <v>1139.84</v>
      </c>
      <c r="EM13" s="27" t="n">
        <v>1097.9</v>
      </c>
      <c r="EN13" s="27" t="n">
        <v>1082.58</v>
      </c>
      <c r="EO13" s="27" t="n">
        <v>1059.23</v>
      </c>
      <c r="EP13" s="27" t="n">
        <v>1077.65</v>
      </c>
      <c r="EQ13" s="27" t="n">
        <v>1050.06</v>
      </c>
      <c r="ER13" s="27" t="n">
        <v>1058.74</v>
      </c>
      <c r="ES13" s="27" t="n">
        <v>1037.06</v>
      </c>
      <c r="ET13" s="27" t="n">
        <v>1027.52</v>
      </c>
      <c r="EU13" s="27" t="n">
        <v>884.9</v>
      </c>
      <c r="EV13" s="27" t="n">
        <v>867.9400000000001</v>
      </c>
      <c r="EW13" s="27" t="n">
        <v>1069.35</v>
      </c>
      <c r="EX13" s="27" t="n">
        <v>1124.39</v>
      </c>
      <c r="EY13" s="27" t="n">
        <v>1304.97</v>
      </c>
      <c r="EZ13" s="27" t="n">
        <v>1350.77</v>
      </c>
      <c r="FA13" s="27" t="n">
        <v>1432.29</v>
      </c>
      <c r="FB13" s="27" t="n">
        <v>1460.39</v>
      </c>
      <c r="FC13" s="27" t="n">
        <v>1571.55</v>
      </c>
      <c r="FD13" s="27" t="n">
        <v>1635.84</v>
      </c>
      <c r="FE13" s="27" t="n">
        <v>1775.94</v>
      </c>
      <c r="FF13" s="27" t="n">
        <v>1907.65</v>
      </c>
      <c r="FG13" s="27" t="n">
        <v>1967.13</v>
      </c>
      <c r="FH13" s="27" t="n">
        <v>2093.1</v>
      </c>
      <c r="FI13" s="27" t="n">
        <v>2304.32</v>
      </c>
      <c r="FJ13" s="27" t="n">
        <v>2590.77</v>
      </c>
      <c r="FK13" s="27" t="n">
        <v>3074.23</v>
      </c>
      <c r="FL13" s="27" t="n">
        <v>3372.06</v>
      </c>
      <c r="FM13" s="27" t="n">
        <v>3988.94</v>
      </c>
      <c r="FN13" s="27" t="n">
        <v>5181.39</v>
      </c>
      <c r="FO13" s="27" t="n">
        <v>6181.81</v>
      </c>
      <c r="FP13" s="27" t="n">
        <v>6840.81</v>
      </c>
      <c r="FQ13" s="27" t="n">
        <v>7259.1</v>
      </c>
      <c r="FR13" s="27" t="n">
        <v>7200.13</v>
      </c>
      <c r="FS13" s="27" t="n">
        <v>7112.29</v>
      </c>
      <c r="FT13" s="27" t="n">
        <v>6958.23</v>
      </c>
      <c r="FU13" s="27" t="n">
        <v>6199.9</v>
      </c>
      <c r="FV13" s="27" t="n">
        <v>4921.61</v>
      </c>
      <c r="FW13" s="27" t="n">
        <v>3949.35</v>
      </c>
      <c r="FX13" s="27" t="n">
        <v>3868.45</v>
      </c>
      <c r="FY13" s="27" t="n">
        <v>3781.26</v>
      </c>
      <c r="FZ13" s="27" t="n">
        <v>3777.35</v>
      </c>
      <c r="GA13" s="27" t="n">
        <v>3623.1</v>
      </c>
      <c r="GB13" s="27" t="n">
        <v>3541.55</v>
      </c>
      <c r="GC13" s="27" t="n">
        <v>3474.71</v>
      </c>
      <c r="GD13" s="27" t="n">
        <v>3416</v>
      </c>
      <c r="GE13" s="27" t="n">
        <v>3139.35</v>
      </c>
      <c r="GF13" s="27" t="n">
        <v>3143.26</v>
      </c>
      <c r="GG13" s="27" t="n">
        <v>3124.74</v>
      </c>
      <c r="GH13" s="27" t="n">
        <v>3092.35</v>
      </c>
      <c r="GI13" s="27" t="n">
        <v>2962.42</v>
      </c>
      <c r="GJ13" s="27" t="n">
        <v>2930.65</v>
      </c>
      <c r="GK13" s="27" t="n">
        <v>2863.61</v>
      </c>
      <c r="GL13" s="27" t="n">
        <v>2846.97</v>
      </c>
    </row>
    <row r="14">
      <c r="A14" s="6" t="inlineStr">
        <is>
          <t>DAM|11</t>
        </is>
      </c>
      <c r="B14" s="2" t="n">
        <v>30</v>
      </c>
      <c r="C14" s="27" t="n">
        <v>2602.63</v>
      </c>
      <c r="D14" s="27" t="n">
        <v>2551.23</v>
      </c>
      <c r="E14" s="27" t="n">
        <v>2507.2</v>
      </c>
      <c r="F14" s="27" t="n">
        <v>2474.43</v>
      </c>
      <c r="G14" s="27" t="n">
        <v>2429.67</v>
      </c>
      <c r="H14" s="27" t="n">
        <v>2398.03</v>
      </c>
      <c r="I14" s="27" t="n">
        <v>2370.03</v>
      </c>
      <c r="J14" s="27" t="n">
        <v>2344.37</v>
      </c>
      <c r="K14" s="27" t="n">
        <v>2290.4</v>
      </c>
      <c r="L14" s="27" t="n">
        <v>2270.07</v>
      </c>
      <c r="M14" s="27" t="n">
        <v>2252.33</v>
      </c>
      <c r="N14" s="27" t="n">
        <v>2248.3</v>
      </c>
      <c r="O14" s="27" t="n">
        <v>2196.17</v>
      </c>
      <c r="P14" s="27" t="n">
        <v>2198.13</v>
      </c>
      <c r="Q14" s="27" t="n">
        <v>2198.47</v>
      </c>
      <c r="R14" s="27" t="n">
        <v>2206.13</v>
      </c>
      <c r="S14" s="27" t="n">
        <v>2244.33</v>
      </c>
      <c r="T14" s="27" t="n">
        <v>2270.1</v>
      </c>
      <c r="U14" s="27" t="n">
        <v>2342.5</v>
      </c>
      <c r="V14" s="27" t="n">
        <v>2460.57</v>
      </c>
      <c r="W14" s="27" t="n">
        <v>2634.93</v>
      </c>
      <c r="X14" s="27" t="n">
        <v>2795.83</v>
      </c>
      <c r="Y14" s="27" t="n">
        <v>2944.73</v>
      </c>
      <c r="Z14" s="27" t="n">
        <v>3005.67</v>
      </c>
      <c r="AA14" s="27" t="n">
        <v>3261.23</v>
      </c>
      <c r="AB14" s="27" t="n">
        <v>3296.47</v>
      </c>
      <c r="AC14" s="27" t="n">
        <v>3557.83</v>
      </c>
      <c r="AD14" s="27" t="n">
        <v>3785</v>
      </c>
      <c r="AE14" s="27" t="n">
        <v>4099.17</v>
      </c>
      <c r="AF14" s="27" t="n">
        <v>4053.27</v>
      </c>
      <c r="AG14" s="27" t="n">
        <v>4023.03</v>
      </c>
      <c r="AH14" s="27" t="n">
        <v>3656.83</v>
      </c>
      <c r="AI14" s="27" t="n">
        <v>3295.17</v>
      </c>
      <c r="AJ14" s="27" t="n">
        <v>3026.83</v>
      </c>
      <c r="AK14" s="27" t="n">
        <v>2694.77</v>
      </c>
      <c r="AL14" s="27" t="n">
        <v>2361.33</v>
      </c>
      <c r="AM14" s="27" t="n">
        <v>2170.43</v>
      </c>
      <c r="AN14" s="27" t="n">
        <v>2134.03</v>
      </c>
      <c r="AO14" s="27" t="n">
        <v>2007.33</v>
      </c>
      <c r="AP14" s="27" t="n">
        <v>1922.2</v>
      </c>
      <c r="AQ14" s="27" t="n">
        <v>1757.07</v>
      </c>
      <c r="AR14" s="27" t="n">
        <v>1816.37</v>
      </c>
      <c r="AS14" s="27" t="n">
        <v>1808.73</v>
      </c>
      <c r="AT14" s="27" t="n">
        <v>1733.67</v>
      </c>
      <c r="AU14" s="27" t="n">
        <v>1661.1</v>
      </c>
      <c r="AV14" s="27" t="n">
        <v>1642.77</v>
      </c>
      <c r="AW14" s="27" t="n">
        <v>1608.7</v>
      </c>
      <c r="AX14" s="27" t="n">
        <v>1603.93</v>
      </c>
      <c r="AY14" s="27" t="n">
        <v>1539.47</v>
      </c>
      <c r="AZ14" s="27" t="n">
        <v>1533.07</v>
      </c>
      <c r="BA14" s="27" t="n">
        <v>1439.73</v>
      </c>
      <c r="BB14" s="27" t="n">
        <v>1410.23</v>
      </c>
      <c r="BC14" s="27" t="n">
        <v>1264.53</v>
      </c>
      <c r="BD14" s="27" t="n">
        <v>1230.7</v>
      </c>
      <c r="BE14" s="27" t="n">
        <v>1279.2</v>
      </c>
      <c r="BF14" s="27" t="n">
        <v>1348.33</v>
      </c>
      <c r="BG14" s="27" t="n">
        <v>1546.57</v>
      </c>
      <c r="BH14" s="27" t="n">
        <v>1581.83</v>
      </c>
      <c r="BI14" s="27" t="n">
        <v>1614.8</v>
      </c>
      <c r="BJ14" s="27" t="n">
        <v>1691.93</v>
      </c>
      <c r="BK14" s="27" t="n">
        <v>1918.37</v>
      </c>
      <c r="BL14" s="27" t="n">
        <v>2006.8</v>
      </c>
      <c r="BM14" s="27" t="n">
        <v>2170.6</v>
      </c>
      <c r="BN14" s="27" t="n">
        <v>2405.5</v>
      </c>
      <c r="BO14" s="27" t="n">
        <v>2453.1</v>
      </c>
      <c r="BP14" s="27" t="n">
        <v>2778.2</v>
      </c>
      <c r="BQ14" s="27" t="n">
        <v>3162.53</v>
      </c>
      <c r="BR14" s="27" t="n">
        <v>4278.07</v>
      </c>
      <c r="BS14" s="27" t="n">
        <v>5074.73</v>
      </c>
      <c r="BT14" s="27" t="n">
        <v>6394.27</v>
      </c>
      <c r="BU14" s="27" t="n">
        <v>8600.67</v>
      </c>
      <c r="BV14" s="27" t="n">
        <v>9149.799999999999</v>
      </c>
      <c r="BW14" s="27" t="n">
        <v>9051.9</v>
      </c>
      <c r="BX14" s="27" t="n">
        <v>9267</v>
      </c>
      <c r="BY14" s="27" t="n">
        <v>9102.23</v>
      </c>
      <c r="BZ14" s="27" t="n">
        <v>8825.530000000001</v>
      </c>
      <c r="CA14" s="27" t="n">
        <v>6777.77</v>
      </c>
      <c r="CB14" s="27" t="n">
        <v>5448.5</v>
      </c>
      <c r="CC14" s="27" t="n">
        <v>4624.93</v>
      </c>
      <c r="CD14" s="27" t="n">
        <v>4229.53</v>
      </c>
      <c r="CE14" s="27" t="n">
        <v>3683.23</v>
      </c>
      <c r="CF14" s="27" t="n">
        <v>3559.47</v>
      </c>
      <c r="CG14" s="27" t="n">
        <v>3463.73</v>
      </c>
      <c r="CH14" s="27" t="n">
        <v>3385.27</v>
      </c>
      <c r="CI14" s="27" t="n">
        <v>3178.97</v>
      </c>
      <c r="CJ14" s="27" t="n">
        <v>3133.33</v>
      </c>
      <c r="CK14" s="27" t="n">
        <v>3078.83</v>
      </c>
      <c r="CL14" s="27" t="n">
        <v>3017.5</v>
      </c>
      <c r="CM14" s="27" t="n">
        <v>2874.73</v>
      </c>
      <c r="CN14" s="27" t="n">
        <v>2852</v>
      </c>
      <c r="CO14" s="27" t="n">
        <v>2815.1</v>
      </c>
      <c r="CP14" s="27" t="n">
        <v>2765.33</v>
      </c>
      <c r="CQ14" s="27" t="n">
        <v>2669.77</v>
      </c>
      <c r="CR14" s="27" t="n">
        <v>2638.7</v>
      </c>
      <c r="CS14" s="27" t="n">
        <v>2583.4</v>
      </c>
      <c r="CT14" s="27" t="n">
        <v>2528.47</v>
      </c>
      <c r="CU14" s="27" t="n">
        <v>2602.63</v>
      </c>
      <c r="CV14" s="27" t="n">
        <v>2551.23</v>
      </c>
      <c r="CW14" s="27" t="n">
        <v>2507.2</v>
      </c>
      <c r="CX14" s="27" t="n">
        <v>2474.43</v>
      </c>
      <c r="CY14" s="27" t="n">
        <v>2429.67</v>
      </c>
      <c r="CZ14" s="27" t="n">
        <v>2398.03</v>
      </c>
      <c r="DA14" s="27" t="n">
        <v>2370.03</v>
      </c>
      <c r="DB14" s="27" t="n">
        <v>2344.37</v>
      </c>
      <c r="DC14" s="27" t="n">
        <v>2290.4</v>
      </c>
      <c r="DD14" s="27" t="n">
        <v>2270.07</v>
      </c>
      <c r="DE14" s="27" t="n">
        <v>2252.33</v>
      </c>
      <c r="DF14" s="27" t="n">
        <v>2248.3</v>
      </c>
      <c r="DG14" s="27" t="n">
        <v>2196.17</v>
      </c>
      <c r="DH14" s="27" t="n">
        <v>2198.13</v>
      </c>
      <c r="DI14" s="27" t="n">
        <v>2198.47</v>
      </c>
      <c r="DJ14" s="27" t="n">
        <v>2206.13</v>
      </c>
      <c r="DK14" s="27" t="n">
        <v>2244.33</v>
      </c>
      <c r="DL14" s="27" t="n">
        <v>2270.1</v>
      </c>
      <c r="DM14" s="27" t="n">
        <v>2342.5</v>
      </c>
      <c r="DN14" s="27" t="n">
        <v>2460.57</v>
      </c>
      <c r="DO14" s="27" t="n">
        <v>2634.93</v>
      </c>
      <c r="DP14" s="27" t="n">
        <v>2795.83</v>
      </c>
      <c r="DQ14" s="27" t="n">
        <v>2944.73</v>
      </c>
      <c r="DR14" s="27" t="n">
        <v>3005.67</v>
      </c>
      <c r="DS14" s="27" t="n">
        <v>3261.23</v>
      </c>
      <c r="DT14" s="27" t="n">
        <v>3296.47</v>
      </c>
      <c r="DU14" s="27" t="n">
        <v>3557.83</v>
      </c>
      <c r="DV14" s="27" t="n">
        <v>3785</v>
      </c>
      <c r="DW14" s="27" t="n">
        <v>4099.17</v>
      </c>
      <c r="DX14" s="27" t="n">
        <v>4053.27</v>
      </c>
      <c r="DY14" s="27" t="n">
        <v>4023.03</v>
      </c>
      <c r="DZ14" s="27" t="n">
        <v>3656.83</v>
      </c>
      <c r="EA14" s="27" t="n">
        <v>3295.17</v>
      </c>
      <c r="EB14" s="27" t="n">
        <v>3026.83</v>
      </c>
      <c r="EC14" s="27" t="n">
        <v>2694.77</v>
      </c>
      <c r="ED14" s="27" t="n">
        <v>2361.33</v>
      </c>
      <c r="EE14" s="27" t="n">
        <v>2170.43</v>
      </c>
      <c r="EF14" s="27" t="n">
        <v>2134.03</v>
      </c>
      <c r="EG14" s="27" t="n">
        <v>2007.33</v>
      </c>
      <c r="EH14" s="27" t="n">
        <v>1922.2</v>
      </c>
      <c r="EI14" s="27" t="n">
        <v>1757.07</v>
      </c>
      <c r="EJ14" s="27" t="n">
        <v>1816.37</v>
      </c>
      <c r="EK14" s="27" t="n">
        <v>1808.73</v>
      </c>
      <c r="EL14" s="27" t="n">
        <v>1733.67</v>
      </c>
      <c r="EM14" s="27" t="n">
        <v>1661.1</v>
      </c>
      <c r="EN14" s="27" t="n">
        <v>1642.77</v>
      </c>
      <c r="EO14" s="27" t="n">
        <v>1608.7</v>
      </c>
      <c r="EP14" s="27" t="n">
        <v>1603.93</v>
      </c>
      <c r="EQ14" s="27" t="n">
        <v>1539.47</v>
      </c>
      <c r="ER14" s="27" t="n">
        <v>1533.07</v>
      </c>
      <c r="ES14" s="27" t="n">
        <v>1439.73</v>
      </c>
      <c r="ET14" s="27" t="n">
        <v>1410.23</v>
      </c>
      <c r="EU14" s="27" t="n">
        <v>1264.53</v>
      </c>
      <c r="EV14" s="27" t="n">
        <v>1230.7</v>
      </c>
      <c r="EW14" s="27" t="n">
        <v>1279.2</v>
      </c>
      <c r="EX14" s="27" t="n">
        <v>1348.33</v>
      </c>
      <c r="EY14" s="27" t="n">
        <v>1546.57</v>
      </c>
      <c r="EZ14" s="27" t="n">
        <v>1581.83</v>
      </c>
      <c r="FA14" s="27" t="n">
        <v>1614.8</v>
      </c>
      <c r="FB14" s="27" t="n">
        <v>1691.93</v>
      </c>
      <c r="FC14" s="27" t="n">
        <v>1918.37</v>
      </c>
      <c r="FD14" s="27" t="n">
        <v>2006.8</v>
      </c>
      <c r="FE14" s="27" t="n">
        <v>2170.6</v>
      </c>
      <c r="FF14" s="27" t="n">
        <v>2405.5</v>
      </c>
      <c r="FG14" s="27" t="n">
        <v>2453.1</v>
      </c>
      <c r="FH14" s="27" t="n">
        <v>2778.2</v>
      </c>
      <c r="FI14" s="27" t="n">
        <v>3162.53</v>
      </c>
      <c r="FJ14" s="27" t="n">
        <v>4278.07</v>
      </c>
      <c r="FK14" s="27" t="n">
        <v>5074.73</v>
      </c>
      <c r="FL14" s="27" t="n">
        <v>6394.27</v>
      </c>
      <c r="FM14" s="27" t="n">
        <v>8600.67</v>
      </c>
      <c r="FN14" s="27" t="n">
        <v>9149.799999999999</v>
      </c>
      <c r="FO14" s="27" t="n">
        <v>9051.9</v>
      </c>
      <c r="FP14" s="27" t="n">
        <v>9267</v>
      </c>
      <c r="FQ14" s="27" t="n">
        <v>9102.23</v>
      </c>
      <c r="FR14" s="27" t="n">
        <v>8825.530000000001</v>
      </c>
      <c r="FS14" s="27" t="n">
        <v>6777.77</v>
      </c>
      <c r="FT14" s="27" t="n">
        <v>5448.5</v>
      </c>
      <c r="FU14" s="27" t="n">
        <v>4624.93</v>
      </c>
      <c r="FV14" s="27" t="n">
        <v>4229.53</v>
      </c>
      <c r="FW14" s="27" t="n">
        <v>3683.23</v>
      </c>
      <c r="FX14" s="27" t="n">
        <v>3559.47</v>
      </c>
      <c r="FY14" s="27" t="n">
        <v>3463.73</v>
      </c>
      <c r="FZ14" s="27" t="n">
        <v>3385.27</v>
      </c>
      <c r="GA14" s="27" t="n">
        <v>3178.97</v>
      </c>
      <c r="GB14" s="27" t="n">
        <v>3133.33</v>
      </c>
      <c r="GC14" s="27" t="n">
        <v>3078.83</v>
      </c>
      <c r="GD14" s="27" t="n">
        <v>3017.5</v>
      </c>
      <c r="GE14" s="27" t="n">
        <v>2874.73</v>
      </c>
      <c r="GF14" s="27" t="n">
        <v>2852</v>
      </c>
      <c r="GG14" s="27" t="n">
        <v>2815.1</v>
      </c>
      <c r="GH14" s="27" t="n">
        <v>2765.33</v>
      </c>
      <c r="GI14" s="27" t="n">
        <v>2669.77</v>
      </c>
      <c r="GJ14" s="27" t="n">
        <v>2638.7</v>
      </c>
      <c r="GK14" s="27" t="n">
        <v>2583.4</v>
      </c>
      <c r="GL14" s="27" t="n">
        <v>2528.47</v>
      </c>
    </row>
    <row r="15">
      <c r="A15" s="6" t="inlineStr">
        <is>
          <t>DAM|12</t>
        </is>
      </c>
      <c r="B15" s="2" t="n">
        <v>31</v>
      </c>
      <c r="C15" s="27" t="n">
        <v>2543.87</v>
      </c>
      <c r="D15" s="27" t="n">
        <v>2529.74</v>
      </c>
      <c r="E15" s="27" t="n">
        <v>2567.35</v>
      </c>
      <c r="F15" s="27" t="n">
        <v>2610.84</v>
      </c>
      <c r="G15" s="27" t="n">
        <v>2558.03</v>
      </c>
      <c r="H15" s="27" t="n">
        <v>2521.58</v>
      </c>
      <c r="I15" s="27" t="n">
        <v>2481.97</v>
      </c>
      <c r="J15" s="27" t="n">
        <v>2452.16</v>
      </c>
      <c r="K15" s="27" t="n">
        <v>2418.71</v>
      </c>
      <c r="L15" s="27" t="n">
        <v>2422.06</v>
      </c>
      <c r="M15" s="27" t="n">
        <v>2407.81</v>
      </c>
      <c r="N15" s="27" t="n">
        <v>2411.45</v>
      </c>
      <c r="O15" s="27" t="n">
        <v>2412.16</v>
      </c>
      <c r="P15" s="27" t="n">
        <v>2430.45</v>
      </c>
      <c r="Q15" s="27" t="n">
        <v>2454.84</v>
      </c>
      <c r="R15" s="27" t="n">
        <v>2501.42</v>
      </c>
      <c r="S15" s="27" t="n">
        <v>2527.32</v>
      </c>
      <c r="T15" s="27" t="n">
        <v>2588.23</v>
      </c>
      <c r="U15" s="27" t="n">
        <v>2671</v>
      </c>
      <c r="V15" s="27" t="n">
        <v>2727.9</v>
      </c>
      <c r="W15" s="27" t="n">
        <v>2819.13</v>
      </c>
      <c r="X15" s="27" t="n">
        <v>2918.45</v>
      </c>
      <c r="Y15" s="27" t="n">
        <v>3094.87</v>
      </c>
      <c r="Z15" s="27" t="n">
        <v>3241.97</v>
      </c>
      <c r="AA15" s="27" t="n">
        <v>3747.61</v>
      </c>
      <c r="AB15" s="27" t="n">
        <v>3987.03</v>
      </c>
      <c r="AC15" s="27" t="n">
        <v>4286.13</v>
      </c>
      <c r="AD15" s="27" t="n">
        <v>4817.48</v>
      </c>
      <c r="AE15" s="27" t="n">
        <v>6455.61</v>
      </c>
      <c r="AF15" s="27" t="n">
        <v>7429.84</v>
      </c>
      <c r="AG15" s="27" t="n">
        <v>7910.74</v>
      </c>
      <c r="AH15" s="27" t="n">
        <v>7626.68</v>
      </c>
      <c r="AI15" s="27" t="n">
        <v>6426.1</v>
      </c>
      <c r="AJ15" s="27" t="n">
        <v>5598</v>
      </c>
      <c r="AK15" s="27" t="n">
        <v>4662.58</v>
      </c>
      <c r="AL15" s="27" t="n">
        <v>4136.61</v>
      </c>
      <c r="AM15" s="27" t="n">
        <v>3802.45</v>
      </c>
      <c r="AN15" s="27" t="n">
        <v>3675.03</v>
      </c>
      <c r="AO15" s="27" t="n">
        <v>3483</v>
      </c>
      <c r="AP15" s="27" t="n">
        <v>3341.68</v>
      </c>
      <c r="AQ15" s="27" t="n">
        <v>3215.61</v>
      </c>
      <c r="AR15" s="27" t="n">
        <v>3181.32</v>
      </c>
      <c r="AS15" s="27" t="n">
        <v>3100.58</v>
      </c>
      <c r="AT15" s="27" t="n">
        <v>3006.13</v>
      </c>
      <c r="AU15" s="27" t="n">
        <v>2949.77</v>
      </c>
      <c r="AV15" s="27" t="n">
        <v>2958.55</v>
      </c>
      <c r="AW15" s="27" t="n">
        <v>2946.1</v>
      </c>
      <c r="AX15" s="27" t="n">
        <v>2909.87</v>
      </c>
      <c r="AY15" s="27" t="n">
        <v>2769</v>
      </c>
      <c r="AZ15" s="27" t="n">
        <v>2746.32</v>
      </c>
      <c r="BA15" s="27" t="n">
        <v>2696.84</v>
      </c>
      <c r="BB15" s="27" t="n">
        <v>2600.06</v>
      </c>
      <c r="BC15" s="27" t="n">
        <v>2363.03</v>
      </c>
      <c r="BD15" s="27" t="n">
        <v>2295</v>
      </c>
      <c r="BE15" s="27" t="n">
        <v>2352.23</v>
      </c>
      <c r="BF15" s="27" t="n">
        <v>2420.19</v>
      </c>
      <c r="BG15" s="27" t="n">
        <v>2519.74</v>
      </c>
      <c r="BH15" s="27" t="n">
        <v>2592.03</v>
      </c>
      <c r="BI15" s="27" t="n">
        <v>2631.39</v>
      </c>
      <c r="BJ15" s="27" t="n">
        <v>2751.81</v>
      </c>
      <c r="BK15" s="27" t="n">
        <v>2837.1</v>
      </c>
      <c r="BL15" s="27" t="n">
        <v>2963.35</v>
      </c>
      <c r="BM15" s="27" t="n">
        <v>3133.74</v>
      </c>
      <c r="BN15" s="27" t="n">
        <v>3316.48</v>
      </c>
      <c r="BO15" s="27" t="n">
        <v>3329.1</v>
      </c>
      <c r="BP15" s="27" t="n">
        <v>3696.48</v>
      </c>
      <c r="BQ15" s="27" t="n">
        <v>4144.97</v>
      </c>
      <c r="BR15" s="27" t="n">
        <v>5206.19</v>
      </c>
      <c r="BS15" s="27" t="n">
        <v>6395.29</v>
      </c>
      <c r="BT15" s="27" t="n">
        <v>8167.32</v>
      </c>
      <c r="BU15" s="27" t="n">
        <v>9245.059999999999</v>
      </c>
      <c r="BV15" s="27" t="n">
        <v>9350.190000000001</v>
      </c>
      <c r="BW15" s="27" t="n">
        <v>9373.290000000001</v>
      </c>
      <c r="BX15" s="27" t="n">
        <v>9374.26</v>
      </c>
      <c r="BY15" s="27" t="n">
        <v>9333.940000000001</v>
      </c>
      <c r="BZ15" s="27" t="n">
        <v>9267.35</v>
      </c>
      <c r="CA15" s="27" t="n">
        <v>7541</v>
      </c>
      <c r="CB15" s="27" t="n">
        <v>6902.35</v>
      </c>
      <c r="CC15" s="27" t="n">
        <v>5291.06</v>
      </c>
      <c r="CD15" s="27" t="n">
        <v>4801.9</v>
      </c>
      <c r="CE15" s="27" t="n">
        <v>4333.32</v>
      </c>
      <c r="CF15" s="27" t="n">
        <v>4197.35</v>
      </c>
      <c r="CG15" s="27" t="n">
        <v>4050.32</v>
      </c>
      <c r="CH15" s="27" t="n">
        <v>3930.16</v>
      </c>
      <c r="CI15" s="27" t="n">
        <v>3742.81</v>
      </c>
      <c r="CJ15" s="27" t="n">
        <v>3634.26</v>
      </c>
      <c r="CK15" s="27" t="n">
        <v>3579.23</v>
      </c>
      <c r="CL15" s="27" t="n">
        <v>3501.55</v>
      </c>
      <c r="CM15" s="27" t="n">
        <v>3205.45</v>
      </c>
      <c r="CN15" s="27" t="n">
        <v>3138.32</v>
      </c>
      <c r="CO15" s="27" t="n">
        <v>3054.71</v>
      </c>
      <c r="CP15" s="27" t="n">
        <v>2986.23</v>
      </c>
      <c r="CQ15" s="27" t="n">
        <v>2719.23</v>
      </c>
      <c r="CR15" s="27" t="n">
        <v>2674.52</v>
      </c>
      <c r="CS15" s="27" t="n">
        <v>2619.71</v>
      </c>
      <c r="CT15" s="27" t="n">
        <v>2536.77</v>
      </c>
      <c r="CU15" s="27" t="n">
        <v>2543.87</v>
      </c>
      <c r="CV15" s="27" t="n">
        <v>2529.74</v>
      </c>
      <c r="CW15" s="27" t="n">
        <v>2567.35</v>
      </c>
      <c r="CX15" s="27" t="n">
        <v>2610.84</v>
      </c>
      <c r="CY15" s="27" t="n">
        <v>2558.03</v>
      </c>
      <c r="CZ15" s="27" t="n">
        <v>2521.58</v>
      </c>
      <c r="DA15" s="27" t="n">
        <v>2481.97</v>
      </c>
      <c r="DB15" s="27" t="n">
        <v>2452.16</v>
      </c>
      <c r="DC15" s="27" t="n">
        <v>2418.71</v>
      </c>
      <c r="DD15" s="27" t="n">
        <v>2422.06</v>
      </c>
      <c r="DE15" s="27" t="n">
        <v>2407.81</v>
      </c>
      <c r="DF15" s="27" t="n">
        <v>2411.45</v>
      </c>
      <c r="DG15" s="27" t="n">
        <v>2412.16</v>
      </c>
      <c r="DH15" s="27" t="n">
        <v>2430.45</v>
      </c>
      <c r="DI15" s="27" t="n">
        <v>2454.84</v>
      </c>
      <c r="DJ15" s="27" t="n">
        <v>2501.42</v>
      </c>
      <c r="DK15" s="27" t="n">
        <v>2527.32</v>
      </c>
      <c r="DL15" s="27" t="n">
        <v>2588.23</v>
      </c>
      <c r="DM15" s="27" t="n">
        <v>2671</v>
      </c>
      <c r="DN15" s="27" t="n">
        <v>2727.9</v>
      </c>
      <c r="DO15" s="27" t="n">
        <v>2819.13</v>
      </c>
      <c r="DP15" s="27" t="n">
        <v>2918.45</v>
      </c>
      <c r="DQ15" s="27" t="n">
        <v>3094.87</v>
      </c>
      <c r="DR15" s="27" t="n">
        <v>3241.97</v>
      </c>
      <c r="DS15" s="27" t="n">
        <v>3747.61</v>
      </c>
      <c r="DT15" s="27" t="n">
        <v>3987.03</v>
      </c>
      <c r="DU15" s="27" t="n">
        <v>4286.13</v>
      </c>
      <c r="DV15" s="27" t="n">
        <v>4817.48</v>
      </c>
      <c r="DW15" s="27" t="n">
        <v>6455.61</v>
      </c>
      <c r="DX15" s="27" t="n">
        <v>7429.84</v>
      </c>
      <c r="DY15" s="27" t="n">
        <v>7910.74</v>
      </c>
      <c r="DZ15" s="27" t="n">
        <v>7626.68</v>
      </c>
      <c r="EA15" s="27" t="n">
        <v>6426.1</v>
      </c>
      <c r="EB15" s="27" t="n">
        <v>5598</v>
      </c>
      <c r="EC15" s="27" t="n">
        <v>4662.58</v>
      </c>
      <c r="ED15" s="27" t="n">
        <v>4136.61</v>
      </c>
      <c r="EE15" s="27" t="n">
        <v>3802.45</v>
      </c>
      <c r="EF15" s="27" t="n">
        <v>3675.03</v>
      </c>
      <c r="EG15" s="27" t="n">
        <v>3483</v>
      </c>
      <c r="EH15" s="27" t="n">
        <v>3341.68</v>
      </c>
      <c r="EI15" s="27" t="n">
        <v>3215.61</v>
      </c>
      <c r="EJ15" s="27" t="n">
        <v>3181.32</v>
      </c>
      <c r="EK15" s="27" t="n">
        <v>3100.58</v>
      </c>
      <c r="EL15" s="27" t="n">
        <v>3006.13</v>
      </c>
      <c r="EM15" s="27" t="n">
        <v>2949.77</v>
      </c>
      <c r="EN15" s="27" t="n">
        <v>2958.55</v>
      </c>
      <c r="EO15" s="27" t="n">
        <v>2946.1</v>
      </c>
      <c r="EP15" s="27" t="n">
        <v>2909.87</v>
      </c>
      <c r="EQ15" s="27" t="n">
        <v>2769</v>
      </c>
      <c r="ER15" s="27" t="n">
        <v>2746.32</v>
      </c>
      <c r="ES15" s="27" t="n">
        <v>2696.84</v>
      </c>
      <c r="ET15" s="27" t="n">
        <v>2600.06</v>
      </c>
      <c r="EU15" s="27" t="n">
        <v>2363.03</v>
      </c>
      <c r="EV15" s="27" t="n">
        <v>2295</v>
      </c>
      <c r="EW15" s="27" t="n">
        <v>2352.23</v>
      </c>
      <c r="EX15" s="27" t="n">
        <v>2420.19</v>
      </c>
      <c r="EY15" s="27" t="n">
        <v>2519.74</v>
      </c>
      <c r="EZ15" s="27" t="n">
        <v>2592.03</v>
      </c>
      <c r="FA15" s="27" t="n">
        <v>2631.39</v>
      </c>
      <c r="FB15" s="27" t="n">
        <v>2751.81</v>
      </c>
      <c r="FC15" s="27" t="n">
        <v>2837.1</v>
      </c>
      <c r="FD15" s="27" t="n">
        <v>2963.35</v>
      </c>
      <c r="FE15" s="27" t="n">
        <v>3133.74</v>
      </c>
      <c r="FF15" s="27" t="n">
        <v>3316.48</v>
      </c>
      <c r="FG15" s="27" t="n">
        <v>3329.1</v>
      </c>
      <c r="FH15" s="27" t="n">
        <v>3696.48</v>
      </c>
      <c r="FI15" s="27" t="n">
        <v>4144.97</v>
      </c>
      <c r="FJ15" s="27" t="n">
        <v>5206.19</v>
      </c>
      <c r="FK15" s="27" t="n">
        <v>6395.29</v>
      </c>
      <c r="FL15" s="27" t="n">
        <v>8167.32</v>
      </c>
      <c r="FM15" s="27" t="n">
        <v>9245.059999999999</v>
      </c>
      <c r="FN15" s="27" t="n">
        <v>9350.190000000001</v>
      </c>
      <c r="FO15" s="27" t="n">
        <v>9373.290000000001</v>
      </c>
      <c r="FP15" s="27" t="n">
        <v>9374.26</v>
      </c>
      <c r="FQ15" s="27" t="n">
        <v>9333.940000000001</v>
      </c>
      <c r="FR15" s="27" t="n">
        <v>9267.35</v>
      </c>
      <c r="FS15" s="27" t="n">
        <v>7541</v>
      </c>
      <c r="FT15" s="27" t="n">
        <v>6902.35</v>
      </c>
      <c r="FU15" s="27" t="n">
        <v>5291.06</v>
      </c>
      <c r="FV15" s="27" t="n">
        <v>4801.9</v>
      </c>
      <c r="FW15" s="27" t="n">
        <v>4333.32</v>
      </c>
      <c r="FX15" s="27" t="n">
        <v>4197.35</v>
      </c>
      <c r="FY15" s="27" t="n">
        <v>4050.32</v>
      </c>
      <c r="FZ15" s="27" t="n">
        <v>3930.16</v>
      </c>
      <c r="GA15" s="27" t="n">
        <v>3742.81</v>
      </c>
      <c r="GB15" s="27" t="n">
        <v>3634.26</v>
      </c>
      <c r="GC15" s="27" t="n">
        <v>3579.23</v>
      </c>
      <c r="GD15" s="27" t="n">
        <v>3501.55</v>
      </c>
      <c r="GE15" s="27" t="n">
        <v>3205.45</v>
      </c>
      <c r="GF15" s="27" t="n">
        <v>3138.32</v>
      </c>
      <c r="GG15" s="27" t="n">
        <v>3054.71</v>
      </c>
      <c r="GH15" s="27" t="n">
        <v>2986.23</v>
      </c>
      <c r="GI15" s="27" t="n">
        <v>2719.23</v>
      </c>
      <c r="GJ15" s="27" t="n">
        <v>2674.52</v>
      </c>
      <c r="GK15" s="27" t="n">
        <v>2619.71</v>
      </c>
      <c r="GL15" s="27" t="n">
        <v>2536.77</v>
      </c>
    </row>
    <row r="16">
      <c r="A16" s="6" t="inlineStr">
        <is>
          <t>GDAM|1</t>
        </is>
      </c>
      <c r="B16" s="2" t="n">
        <v>31</v>
      </c>
      <c r="C16" s="27" t="n">
        <v>3248.06</v>
      </c>
      <c r="D16" s="27" t="n">
        <v>3272.23</v>
      </c>
      <c r="E16" s="27" t="n">
        <v>3267</v>
      </c>
      <c r="F16" s="27" t="n">
        <v>3241.71</v>
      </c>
      <c r="G16" s="27" t="n">
        <v>3212.13</v>
      </c>
      <c r="H16" s="27" t="n">
        <v>3208</v>
      </c>
      <c r="I16" s="27" t="n">
        <v>3199.74</v>
      </c>
      <c r="J16" s="27" t="n">
        <v>3200.97</v>
      </c>
      <c r="K16" s="27" t="n">
        <v>3214</v>
      </c>
      <c r="L16" s="27" t="n">
        <v>3214.94</v>
      </c>
      <c r="M16" s="27" t="n">
        <v>3231.68</v>
      </c>
      <c r="N16" s="27" t="n">
        <v>3213.19</v>
      </c>
      <c r="O16" s="27" t="n">
        <v>3204.19</v>
      </c>
      <c r="P16" s="27" t="n">
        <v>3197.29</v>
      </c>
      <c r="Q16" s="27" t="n">
        <v>3200</v>
      </c>
      <c r="R16" s="27" t="n">
        <v>3205.42</v>
      </c>
      <c r="S16" s="27" t="n">
        <v>3374.77</v>
      </c>
      <c r="T16" s="27" t="n">
        <v>3399.45</v>
      </c>
      <c r="U16" s="27" t="n">
        <v>3404.19</v>
      </c>
      <c r="V16" s="27" t="n">
        <v>3402.77</v>
      </c>
      <c r="W16" s="27" t="n">
        <v>3416.06</v>
      </c>
      <c r="X16" s="27" t="n">
        <v>3414.42</v>
      </c>
      <c r="Y16" s="27" t="n">
        <v>3453.97</v>
      </c>
      <c r="Z16" s="27" t="n">
        <v>3511.61</v>
      </c>
      <c r="AA16" s="27" t="n">
        <v>4345.16</v>
      </c>
      <c r="AB16" s="27" t="n">
        <v>4433.1</v>
      </c>
      <c r="AC16" s="27" t="n">
        <v>4585.32</v>
      </c>
      <c r="AD16" s="27" t="n">
        <v>5150.06</v>
      </c>
      <c r="AE16" s="27" t="n">
        <v>7738.45</v>
      </c>
      <c r="AF16" s="27" t="n">
        <v>7936.84</v>
      </c>
      <c r="AG16" s="27" t="n">
        <v>8259.969999999999</v>
      </c>
      <c r="AH16" s="27" t="n">
        <v>8156.58</v>
      </c>
      <c r="AI16" s="27" t="n">
        <v>7998.52</v>
      </c>
      <c r="AJ16" s="27" t="n">
        <v>7725.48</v>
      </c>
      <c r="AK16" s="27" t="n">
        <v>5952.71</v>
      </c>
      <c r="AL16" s="27" t="n">
        <v>4732.55</v>
      </c>
      <c r="AM16" s="27" t="n">
        <v>4366.26</v>
      </c>
      <c r="AN16" s="27" t="n">
        <v>4245.65</v>
      </c>
      <c r="AO16" s="27" t="n">
        <v>3983.29</v>
      </c>
      <c r="AP16" s="27" t="n">
        <v>3822.32</v>
      </c>
      <c r="AQ16" s="27" t="n">
        <v>3444.19</v>
      </c>
      <c r="AR16" s="27" t="n">
        <v>3295.19</v>
      </c>
      <c r="AS16" s="27" t="n">
        <v>3198.45</v>
      </c>
      <c r="AT16" s="27" t="n">
        <v>3147.19</v>
      </c>
      <c r="AU16" s="27" t="n">
        <v>3097.03</v>
      </c>
      <c r="AV16" s="27" t="n">
        <v>3087.23</v>
      </c>
      <c r="AW16" s="27" t="n">
        <v>3022.9</v>
      </c>
      <c r="AX16" s="27" t="n">
        <v>2937.58</v>
      </c>
      <c r="AY16" s="27" t="n">
        <v>2846.35</v>
      </c>
      <c r="AZ16" s="27" t="n">
        <v>2794.61</v>
      </c>
      <c r="BA16" s="27" t="n">
        <v>2791.87</v>
      </c>
      <c r="BB16" s="27" t="n">
        <v>2711.65</v>
      </c>
      <c r="BC16" s="27" t="n">
        <v>2522.03</v>
      </c>
      <c r="BD16" s="27" t="n">
        <v>2478.68</v>
      </c>
      <c r="BE16" s="27" t="n">
        <v>2499.9</v>
      </c>
      <c r="BF16" s="27" t="n">
        <v>2536.87</v>
      </c>
      <c r="BG16" s="27" t="n">
        <v>2601.16</v>
      </c>
      <c r="BH16" s="27" t="n">
        <v>2641.16</v>
      </c>
      <c r="BI16" s="27" t="n">
        <v>2648.84</v>
      </c>
      <c r="BJ16" s="27" t="n">
        <v>2686.87</v>
      </c>
      <c r="BK16" s="27" t="n">
        <v>2806.58</v>
      </c>
      <c r="BL16" s="27" t="n">
        <v>2922.13</v>
      </c>
      <c r="BM16" s="27" t="n">
        <v>3021.48</v>
      </c>
      <c r="BN16" s="27" t="n">
        <v>3195.81</v>
      </c>
      <c r="BO16" s="27" t="n">
        <v>3164.1</v>
      </c>
      <c r="BP16" s="27" t="n">
        <v>3375.06</v>
      </c>
      <c r="BQ16" s="27" t="n">
        <v>3629.03</v>
      </c>
      <c r="BR16" s="27" t="n">
        <v>3981.94</v>
      </c>
      <c r="BS16" s="27" t="n">
        <v>5697.26</v>
      </c>
      <c r="BT16" s="27" t="n">
        <v>6585.9</v>
      </c>
      <c r="BU16" s="27" t="n">
        <v>7748.06</v>
      </c>
      <c r="BV16" s="27" t="n">
        <v>8331.16</v>
      </c>
      <c r="BW16" s="27" t="n">
        <v>8736.26</v>
      </c>
      <c r="BX16" s="27" t="n">
        <v>8965.42</v>
      </c>
      <c r="BY16" s="27" t="n">
        <v>9000.77</v>
      </c>
      <c r="BZ16" s="27" t="n">
        <v>8921.42</v>
      </c>
      <c r="CA16" s="27" t="n">
        <v>8754.969999999999</v>
      </c>
      <c r="CB16" s="27" t="n">
        <v>8421.52</v>
      </c>
      <c r="CC16" s="27" t="n">
        <v>8171.71</v>
      </c>
      <c r="CD16" s="27" t="n">
        <v>6802.32</v>
      </c>
      <c r="CE16" s="27" t="n">
        <v>5659.87</v>
      </c>
      <c r="CF16" s="27" t="n">
        <v>5552.29</v>
      </c>
      <c r="CG16" s="27" t="n">
        <v>5251.68</v>
      </c>
      <c r="CH16" s="27" t="n">
        <v>5170.74</v>
      </c>
      <c r="CI16" s="27" t="n">
        <v>4881.9</v>
      </c>
      <c r="CJ16" s="27" t="n">
        <v>4852.06</v>
      </c>
      <c r="CK16" s="27" t="n">
        <v>4816.52</v>
      </c>
      <c r="CL16" s="27" t="n">
        <v>4800.97</v>
      </c>
      <c r="CM16" s="27" t="n">
        <v>3823.32</v>
      </c>
      <c r="CN16" s="27" t="n">
        <v>3781.19</v>
      </c>
      <c r="CO16" s="27" t="n">
        <v>3834.55</v>
      </c>
      <c r="CP16" s="27" t="n">
        <v>3482.35</v>
      </c>
      <c r="CQ16" s="27" t="n">
        <v>3403.61</v>
      </c>
      <c r="CR16" s="27" t="n">
        <v>3402.71</v>
      </c>
      <c r="CS16" s="27" t="n">
        <v>3377.74</v>
      </c>
      <c r="CT16" s="27" t="n">
        <v>3375.35</v>
      </c>
      <c r="CU16" s="27" t="n">
        <v>3248.06</v>
      </c>
      <c r="CV16" s="27" t="n">
        <v>3272.23</v>
      </c>
      <c r="CW16" s="27" t="n">
        <v>3267</v>
      </c>
      <c r="CX16" s="27" t="n">
        <v>3241.71</v>
      </c>
      <c r="CY16" s="27" t="n">
        <v>3212.13</v>
      </c>
      <c r="CZ16" s="27" t="n">
        <v>3208</v>
      </c>
      <c r="DA16" s="27" t="n">
        <v>3199.74</v>
      </c>
      <c r="DB16" s="27" t="n">
        <v>3200.97</v>
      </c>
      <c r="DC16" s="27" t="n">
        <v>3214</v>
      </c>
      <c r="DD16" s="27" t="n">
        <v>3214.94</v>
      </c>
      <c r="DE16" s="27" t="n">
        <v>3231.68</v>
      </c>
      <c r="DF16" s="27" t="n">
        <v>3213.19</v>
      </c>
      <c r="DG16" s="27" t="n">
        <v>3204.19</v>
      </c>
      <c r="DH16" s="27" t="n">
        <v>3197.29</v>
      </c>
      <c r="DI16" s="27" t="n">
        <v>3200</v>
      </c>
      <c r="DJ16" s="27" t="n">
        <v>3205.42</v>
      </c>
      <c r="DK16" s="27" t="n">
        <v>3374.77</v>
      </c>
      <c r="DL16" s="27" t="n">
        <v>3399.45</v>
      </c>
      <c r="DM16" s="27" t="n">
        <v>3404.19</v>
      </c>
      <c r="DN16" s="27" t="n">
        <v>3402.77</v>
      </c>
      <c r="DO16" s="27" t="n">
        <v>3416.06</v>
      </c>
      <c r="DP16" s="27" t="n">
        <v>3414.42</v>
      </c>
      <c r="DQ16" s="27" t="n">
        <v>3453.97</v>
      </c>
      <c r="DR16" s="27" t="n">
        <v>3511.61</v>
      </c>
      <c r="DS16" s="27" t="n">
        <v>4345.16</v>
      </c>
      <c r="DT16" s="27" t="n">
        <v>4433.1</v>
      </c>
      <c r="DU16" s="27" t="n">
        <v>4585.32</v>
      </c>
      <c r="DV16" s="27" t="n">
        <v>5150.06</v>
      </c>
      <c r="DW16" s="27" t="n">
        <v>7738.45</v>
      </c>
      <c r="DX16" s="27" t="n">
        <v>7936.84</v>
      </c>
      <c r="DY16" s="27" t="n">
        <v>8259.969999999999</v>
      </c>
      <c r="DZ16" s="27" t="n">
        <v>8156.58</v>
      </c>
      <c r="EA16" s="27" t="n">
        <v>7998.52</v>
      </c>
      <c r="EB16" s="27" t="n">
        <v>7725.48</v>
      </c>
      <c r="EC16" s="27" t="n">
        <v>5952.71</v>
      </c>
      <c r="ED16" s="27" t="n">
        <v>4732.55</v>
      </c>
      <c r="EE16" s="27" t="n">
        <v>4366.26</v>
      </c>
      <c r="EF16" s="27" t="n">
        <v>4245.65</v>
      </c>
      <c r="EG16" s="27" t="n">
        <v>3983.29</v>
      </c>
      <c r="EH16" s="27" t="n">
        <v>3822.32</v>
      </c>
      <c r="EI16" s="27" t="n">
        <v>3444.19</v>
      </c>
      <c r="EJ16" s="27" t="n">
        <v>3295.19</v>
      </c>
      <c r="EK16" s="27" t="n">
        <v>3198.45</v>
      </c>
      <c r="EL16" s="27" t="n">
        <v>3147.19</v>
      </c>
      <c r="EM16" s="27" t="n">
        <v>3097.03</v>
      </c>
      <c r="EN16" s="27" t="n">
        <v>3087.23</v>
      </c>
      <c r="EO16" s="27" t="n">
        <v>3022.9</v>
      </c>
      <c r="EP16" s="27" t="n">
        <v>2937.58</v>
      </c>
      <c r="EQ16" s="27" t="n">
        <v>2846.35</v>
      </c>
      <c r="ER16" s="27" t="n">
        <v>2794.61</v>
      </c>
      <c r="ES16" s="27" t="n">
        <v>2791.87</v>
      </c>
      <c r="ET16" s="27" t="n">
        <v>2711.65</v>
      </c>
      <c r="EU16" s="27" t="n">
        <v>2522.03</v>
      </c>
      <c r="EV16" s="27" t="n">
        <v>2478.68</v>
      </c>
      <c r="EW16" s="27" t="n">
        <v>2499.9</v>
      </c>
      <c r="EX16" s="27" t="n">
        <v>2536.87</v>
      </c>
      <c r="EY16" s="27" t="n">
        <v>2601.16</v>
      </c>
      <c r="EZ16" s="27" t="n">
        <v>2641.16</v>
      </c>
      <c r="FA16" s="27" t="n">
        <v>2648.84</v>
      </c>
      <c r="FB16" s="27" t="n">
        <v>2686.87</v>
      </c>
      <c r="FC16" s="27" t="n">
        <v>2806.58</v>
      </c>
      <c r="FD16" s="27" t="n">
        <v>2922.13</v>
      </c>
      <c r="FE16" s="27" t="n">
        <v>3021.48</v>
      </c>
      <c r="FF16" s="27" t="n">
        <v>3195.81</v>
      </c>
      <c r="FG16" s="27" t="n">
        <v>3164.1</v>
      </c>
      <c r="FH16" s="27" t="n">
        <v>3375.06</v>
      </c>
      <c r="FI16" s="27" t="n">
        <v>3629.03</v>
      </c>
      <c r="FJ16" s="27" t="n">
        <v>3981.94</v>
      </c>
      <c r="FK16" s="27" t="n">
        <v>5697.26</v>
      </c>
      <c r="FL16" s="27" t="n">
        <v>6585.9</v>
      </c>
      <c r="FM16" s="27" t="n">
        <v>7748.06</v>
      </c>
      <c r="FN16" s="27" t="n">
        <v>8331.16</v>
      </c>
      <c r="FO16" s="27" t="n">
        <v>8736.26</v>
      </c>
      <c r="FP16" s="27" t="n">
        <v>8965.42</v>
      </c>
      <c r="FQ16" s="27" t="n">
        <v>9000.77</v>
      </c>
      <c r="FR16" s="27" t="n">
        <v>8921.42</v>
      </c>
      <c r="FS16" s="27" t="n">
        <v>8754.969999999999</v>
      </c>
      <c r="FT16" s="27" t="n">
        <v>8421.52</v>
      </c>
      <c r="FU16" s="27" t="n">
        <v>8171.71</v>
      </c>
      <c r="FV16" s="27" t="n">
        <v>6802.32</v>
      </c>
      <c r="FW16" s="27" t="n">
        <v>5659.87</v>
      </c>
      <c r="FX16" s="27" t="n">
        <v>5552.29</v>
      </c>
      <c r="FY16" s="27" t="n">
        <v>5251.68</v>
      </c>
      <c r="FZ16" s="27" t="n">
        <v>5170.74</v>
      </c>
      <c r="GA16" s="27" t="n">
        <v>4881.9</v>
      </c>
      <c r="GB16" s="27" t="n">
        <v>4852.06</v>
      </c>
      <c r="GC16" s="27" t="n">
        <v>4816.52</v>
      </c>
      <c r="GD16" s="27" t="n">
        <v>4800.97</v>
      </c>
      <c r="GE16" s="27" t="n">
        <v>3823.32</v>
      </c>
      <c r="GF16" s="27" t="n">
        <v>3781.19</v>
      </c>
      <c r="GG16" s="27" t="n">
        <v>3834.55</v>
      </c>
      <c r="GH16" s="27" t="n">
        <v>3482.35</v>
      </c>
      <c r="GI16" s="27" t="n">
        <v>3403.61</v>
      </c>
      <c r="GJ16" s="27" t="n">
        <v>3402.71</v>
      </c>
      <c r="GK16" s="27" t="n">
        <v>3377.74</v>
      </c>
      <c r="GL16" s="27" t="n">
        <v>3375.35</v>
      </c>
    </row>
    <row r="17">
      <c r="A17" s="6" t="inlineStr">
        <is>
          <t>GDAM|2</t>
        </is>
      </c>
      <c r="B17" s="2" t="n">
        <v>28</v>
      </c>
      <c r="C17" s="27" t="n">
        <v>3360.57</v>
      </c>
      <c r="D17" s="27" t="n">
        <v>3380.04</v>
      </c>
      <c r="E17" s="27" t="n">
        <v>3416.43</v>
      </c>
      <c r="F17" s="27" t="n">
        <v>3395</v>
      </c>
      <c r="G17" s="27" t="n">
        <v>3390.93</v>
      </c>
      <c r="H17" s="27" t="n">
        <v>3336.54</v>
      </c>
      <c r="I17" s="27" t="n">
        <v>3337.14</v>
      </c>
      <c r="J17" s="27" t="n">
        <v>3357.89</v>
      </c>
      <c r="K17" s="27" t="n">
        <v>3305.71</v>
      </c>
      <c r="L17" s="27" t="n">
        <v>3335.14</v>
      </c>
      <c r="M17" s="27" t="n">
        <v>3366.07</v>
      </c>
      <c r="N17" s="27" t="n">
        <v>3367.21</v>
      </c>
      <c r="O17" s="27" t="n">
        <v>3353.75</v>
      </c>
      <c r="P17" s="27" t="n">
        <v>3417.39</v>
      </c>
      <c r="Q17" s="27" t="n">
        <v>3421.75</v>
      </c>
      <c r="R17" s="27" t="n">
        <v>3419.21</v>
      </c>
      <c r="S17" s="27" t="n">
        <v>3648.29</v>
      </c>
      <c r="T17" s="27" t="n">
        <v>3653.64</v>
      </c>
      <c r="U17" s="27" t="n">
        <v>3661.39</v>
      </c>
      <c r="V17" s="27" t="n">
        <v>3692.57</v>
      </c>
      <c r="W17" s="27" t="n">
        <v>3709.43</v>
      </c>
      <c r="X17" s="27" t="n">
        <v>3774.04</v>
      </c>
      <c r="Y17" s="27" t="n">
        <v>3822.07</v>
      </c>
      <c r="Z17" s="27" t="n">
        <v>3895.29</v>
      </c>
      <c r="AA17" s="27" t="n">
        <v>4449.21</v>
      </c>
      <c r="AB17" s="27" t="n">
        <v>4873.14</v>
      </c>
      <c r="AC17" s="27" t="n">
        <v>5043.68</v>
      </c>
      <c r="AD17" s="27" t="n">
        <v>5546.21</v>
      </c>
      <c r="AE17" s="27" t="n">
        <v>7768.46</v>
      </c>
      <c r="AF17" s="27" t="n">
        <v>7911.25</v>
      </c>
      <c r="AG17" s="27" t="n">
        <v>8036.32</v>
      </c>
      <c r="AH17" s="27" t="n">
        <v>7796.21</v>
      </c>
      <c r="AI17" s="27" t="n">
        <v>6778.04</v>
      </c>
      <c r="AJ17" s="27" t="n">
        <v>5092.14</v>
      </c>
      <c r="AK17" s="27" t="n">
        <v>4355.43</v>
      </c>
      <c r="AL17" s="27" t="n">
        <v>3715.71</v>
      </c>
      <c r="AM17" s="27" t="n">
        <v>3628.39</v>
      </c>
      <c r="AN17" s="27" t="n">
        <v>3420.93</v>
      </c>
      <c r="AO17" s="27" t="n">
        <v>3262.54</v>
      </c>
      <c r="AP17" s="27" t="n">
        <v>2985.21</v>
      </c>
      <c r="AQ17" s="27" t="n">
        <v>2645.89</v>
      </c>
      <c r="AR17" s="27" t="n">
        <v>2537.39</v>
      </c>
      <c r="AS17" s="27" t="n">
        <v>2623.86</v>
      </c>
      <c r="AT17" s="27" t="n">
        <v>2567.57</v>
      </c>
      <c r="AU17" s="27" t="n">
        <v>2553.86</v>
      </c>
      <c r="AV17" s="27" t="n">
        <v>2527.43</v>
      </c>
      <c r="AW17" s="27" t="n">
        <v>2484.14</v>
      </c>
      <c r="AX17" s="27" t="n">
        <v>2447.61</v>
      </c>
      <c r="AY17" s="27" t="n">
        <v>2352.14</v>
      </c>
      <c r="AZ17" s="27" t="n">
        <v>2296</v>
      </c>
      <c r="BA17" s="27" t="n">
        <v>2266.5</v>
      </c>
      <c r="BB17" s="27" t="n">
        <v>2204.75</v>
      </c>
      <c r="BC17" s="27" t="n">
        <v>2045.14</v>
      </c>
      <c r="BD17" s="27" t="n">
        <v>2007.89</v>
      </c>
      <c r="BE17" s="27" t="n">
        <v>2065.75</v>
      </c>
      <c r="BF17" s="27" t="n">
        <v>2100.11</v>
      </c>
      <c r="BG17" s="27" t="n">
        <v>2139.14</v>
      </c>
      <c r="BH17" s="27" t="n">
        <v>2187.75</v>
      </c>
      <c r="BI17" s="27" t="n">
        <v>2196.64</v>
      </c>
      <c r="BJ17" s="27" t="n">
        <v>2229.46</v>
      </c>
      <c r="BK17" s="27" t="n">
        <v>2333.14</v>
      </c>
      <c r="BL17" s="27" t="n">
        <v>2440.18</v>
      </c>
      <c r="BM17" s="27" t="n">
        <v>2621.61</v>
      </c>
      <c r="BN17" s="27" t="n">
        <v>2726.43</v>
      </c>
      <c r="BO17" s="27" t="n">
        <v>2629.93</v>
      </c>
      <c r="BP17" s="27" t="n">
        <v>2693.54</v>
      </c>
      <c r="BQ17" s="27" t="n">
        <v>2839</v>
      </c>
      <c r="BR17" s="27" t="n">
        <v>3095.5</v>
      </c>
      <c r="BS17" s="27" t="n">
        <v>3278.11</v>
      </c>
      <c r="BT17" s="27" t="n">
        <v>3648.46</v>
      </c>
      <c r="BU17" s="27" t="n">
        <v>4113.21</v>
      </c>
      <c r="BV17" s="27" t="n">
        <v>4896.07</v>
      </c>
      <c r="BW17" s="27" t="n">
        <v>6119.46</v>
      </c>
      <c r="BX17" s="27" t="n">
        <v>7383.61</v>
      </c>
      <c r="BY17" s="27" t="n">
        <v>7550.43</v>
      </c>
      <c r="BZ17" s="27" t="n">
        <v>7587.18</v>
      </c>
      <c r="CA17" s="27" t="n">
        <v>7073.82</v>
      </c>
      <c r="CB17" s="27" t="n">
        <v>6755.89</v>
      </c>
      <c r="CC17" s="27" t="n">
        <v>6223.93</v>
      </c>
      <c r="CD17" s="27" t="n">
        <v>5401.04</v>
      </c>
      <c r="CE17" s="27" t="n">
        <v>5034.89</v>
      </c>
      <c r="CF17" s="27" t="n">
        <v>4971.75</v>
      </c>
      <c r="CG17" s="27" t="n">
        <v>4926.71</v>
      </c>
      <c r="CH17" s="27" t="n">
        <v>4883.46</v>
      </c>
      <c r="CI17" s="27" t="n">
        <v>4869.43</v>
      </c>
      <c r="CJ17" s="27" t="n">
        <v>4794.46</v>
      </c>
      <c r="CK17" s="27" t="n">
        <v>4794.43</v>
      </c>
      <c r="CL17" s="27" t="n">
        <v>4794.43</v>
      </c>
      <c r="CM17" s="27" t="n">
        <v>3933.07</v>
      </c>
      <c r="CN17" s="27" t="n">
        <v>3919.64</v>
      </c>
      <c r="CO17" s="27" t="n">
        <v>3920.54</v>
      </c>
      <c r="CP17" s="27" t="n">
        <v>3552.18</v>
      </c>
      <c r="CQ17" s="27" t="n">
        <v>3531.68</v>
      </c>
      <c r="CR17" s="27" t="n">
        <v>3489.25</v>
      </c>
      <c r="CS17" s="27" t="n">
        <v>3482.5</v>
      </c>
      <c r="CT17" s="27" t="n">
        <v>3483.89</v>
      </c>
      <c r="CU17" s="27" t="n">
        <v>3360.57</v>
      </c>
      <c r="CV17" s="27" t="n">
        <v>3380.04</v>
      </c>
      <c r="CW17" s="27" t="n">
        <v>3416.43</v>
      </c>
      <c r="CX17" s="27" t="n">
        <v>3395</v>
      </c>
      <c r="CY17" s="27" t="n">
        <v>3390.93</v>
      </c>
      <c r="CZ17" s="27" t="n">
        <v>3336.54</v>
      </c>
      <c r="DA17" s="27" t="n">
        <v>3337.14</v>
      </c>
      <c r="DB17" s="27" t="n">
        <v>3357.89</v>
      </c>
      <c r="DC17" s="27" t="n">
        <v>3305.71</v>
      </c>
      <c r="DD17" s="27" t="n">
        <v>3335.14</v>
      </c>
      <c r="DE17" s="27" t="n">
        <v>3366.07</v>
      </c>
      <c r="DF17" s="27" t="n">
        <v>3367.21</v>
      </c>
      <c r="DG17" s="27" t="n">
        <v>3353.75</v>
      </c>
      <c r="DH17" s="27" t="n">
        <v>3417.39</v>
      </c>
      <c r="DI17" s="27" t="n">
        <v>3421.75</v>
      </c>
      <c r="DJ17" s="27" t="n">
        <v>3419.21</v>
      </c>
      <c r="DK17" s="27" t="n">
        <v>3648.29</v>
      </c>
      <c r="DL17" s="27" t="n">
        <v>3653.64</v>
      </c>
      <c r="DM17" s="27" t="n">
        <v>3661.39</v>
      </c>
      <c r="DN17" s="27" t="n">
        <v>3692.57</v>
      </c>
      <c r="DO17" s="27" t="n">
        <v>3709.43</v>
      </c>
      <c r="DP17" s="27" t="n">
        <v>3774.04</v>
      </c>
      <c r="DQ17" s="27" t="n">
        <v>3822.07</v>
      </c>
      <c r="DR17" s="27" t="n">
        <v>3895.29</v>
      </c>
      <c r="DS17" s="27" t="n">
        <v>4449.21</v>
      </c>
      <c r="DT17" s="27" t="n">
        <v>4873.14</v>
      </c>
      <c r="DU17" s="27" t="n">
        <v>5043.68</v>
      </c>
      <c r="DV17" s="27" t="n">
        <v>5546.21</v>
      </c>
      <c r="DW17" s="27" t="n">
        <v>7768.46</v>
      </c>
      <c r="DX17" s="27" t="n">
        <v>7911.25</v>
      </c>
      <c r="DY17" s="27" t="n">
        <v>8036.32</v>
      </c>
      <c r="DZ17" s="27" t="n">
        <v>7796.21</v>
      </c>
      <c r="EA17" s="27" t="n">
        <v>6778.04</v>
      </c>
      <c r="EB17" s="27" t="n">
        <v>5092.14</v>
      </c>
      <c r="EC17" s="27" t="n">
        <v>4355.43</v>
      </c>
      <c r="ED17" s="27" t="n">
        <v>3715.71</v>
      </c>
      <c r="EE17" s="27" t="n">
        <v>3628.39</v>
      </c>
      <c r="EF17" s="27" t="n">
        <v>3420.93</v>
      </c>
      <c r="EG17" s="27" t="n">
        <v>3262.54</v>
      </c>
      <c r="EH17" s="27" t="n">
        <v>2985.21</v>
      </c>
      <c r="EI17" s="27" t="n">
        <v>2645.89</v>
      </c>
      <c r="EJ17" s="27" t="n">
        <v>2537.39</v>
      </c>
      <c r="EK17" s="27" t="n">
        <v>2623.86</v>
      </c>
      <c r="EL17" s="27" t="n">
        <v>2567.57</v>
      </c>
      <c r="EM17" s="27" t="n">
        <v>2553.86</v>
      </c>
      <c r="EN17" s="27" t="n">
        <v>2527.43</v>
      </c>
      <c r="EO17" s="27" t="n">
        <v>2484.14</v>
      </c>
      <c r="EP17" s="27" t="n">
        <v>2447.61</v>
      </c>
      <c r="EQ17" s="27" t="n">
        <v>2352.14</v>
      </c>
      <c r="ER17" s="27" t="n">
        <v>2296</v>
      </c>
      <c r="ES17" s="27" t="n">
        <v>2266.5</v>
      </c>
      <c r="ET17" s="27" t="n">
        <v>2204.75</v>
      </c>
      <c r="EU17" s="27" t="n">
        <v>2045.14</v>
      </c>
      <c r="EV17" s="27" t="n">
        <v>2007.89</v>
      </c>
      <c r="EW17" s="27" t="n">
        <v>2065.75</v>
      </c>
      <c r="EX17" s="27" t="n">
        <v>2100.11</v>
      </c>
      <c r="EY17" s="27" t="n">
        <v>2139.14</v>
      </c>
      <c r="EZ17" s="27" t="n">
        <v>2187.75</v>
      </c>
      <c r="FA17" s="27" t="n">
        <v>2196.64</v>
      </c>
      <c r="FB17" s="27" t="n">
        <v>2229.46</v>
      </c>
      <c r="FC17" s="27" t="n">
        <v>2333.14</v>
      </c>
      <c r="FD17" s="27" t="n">
        <v>2440.18</v>
      </c>
      <c r="FE17" s="27" t="n">
        <v>2621.61</v>
      </c>
      <c r="FF17" s="27" t="n">
        <v>2726.43</v>
      </c>
      <c r="FG17" s="27" t="n">
        <v>2629.93</v>
      </c>
      <c r="FH17" s="27" t="n">
        <v>2693.54</v>
      </c>
      <c r="FI17" s="27" t="n">
        <v>2839</v>
      </c>
      <c r="FJ17" s="27" t="n">
        <v>3095.5</v>
      </c>
      <c r="FK17" s="27" t="n">
        <v>3278.11</v>
      </c>
      <c r="FL17" s="27" t="n">
        <v>3648.46</v>
      </c>
      <c r="FM17" s="27" t="n">
        <v>4113.21</v>
      </c>
      <c r="FN17" s="27" t="n">
        <v>4896.07</v>
      </c>
      <c r="FO17" s="27" t="n">
        <v>6119.46</v>
      </c>
      <c r="FP17" s="27" t="n">
        <v>7383.61</v>
      </c>
      <c r="FQ17" s="27" t="n">
        <v>7550.43</v>
      </c>
      <c r="FR17" s="27" t="n">
        <v>7587.18</v>
      </c>
      <c r="FS17" s="27" t="n">
        <v>7073.82</v>
      </c>
      <c r="FT17" s="27" t="n">
        <v>6755.89</v>
      </c>
      <c r="FU17" s="27" t="n">
        <v>6223.93</v>
      </c>
      <c r="FV17" s="27" t="n">
        <v>5401.04</v>
      </c>
      <c r="FW17" s="27" t="n">
        <v>5034.89</v>
      </c>
      <c r="FX17" s="27" t="n">
        <v>4971.75</v>
      </c>
      <c r="FY17" s="27" t="n">
        <v>4926.71</v>
      </c>
      <c r="FZ17" s="27" t="n">
        <v>4883.46</v>
      </c>
      <c r="GA17" s="27" t="n">
        <v>4869.43</v>
      </c>
      <c r="GB17" s="27" t="n">
        <v>4794.46</v>
      </c>
      <c r="GC17" s="27" t="n">
        <v>4794.43</v>
      </c>
      <c r="GD17" s="27" t="n">
        <v>4794.43</v>
      </c>
      <c r="GE17" s="27" t="n">
        <v>3933.07</v>
      </c>
      <c r="GF17" s="27" t="n">
        <v>3919.64</v>
      </c>
      <c r="GG17" s="27" t="n">
        <v>3920.54</v>
      </c>
      <c r="GH17" s="27" t="n">
        <v>3552.18</v>
      </c>
      <c r="GI17" s="27" t="n">
        <v>3531.68</v>
      </c>
      <c r="GJ17" s="27" t="n">
        <v>3489.25</v>
      </c>
      <c r="GK17" s="27" t="n">
        <v>3482.5</v>
      </c>
      <c r="GL17" s="27" t="n">
        <v>3483.89</v>
      </c>
    </row>
    <row r="18">
      <c r="A18" s="6" t="inlineStr">
        <is>
          <t>GDAM|3</t>
        </is>
      </c>
      <c r="B18" s="2" t="n">
        <v>31</v>
      </c>
      <c r="C18" s="27" t="n">
        <v>5070.35</v>
      </c>
      <c r="D18" s="27" t="n">
        <v>5076.13</v>
      </c>
      <c r="E18" s="27" t="n">
        <v>5185.87</v>
      </c>
      <c r="F18" s="27" t="n">
        <v>5084.16</v>
      </c>
      <c r="G18" s="27" t="n">
        <v>4856.81</v>
      </c>
      <c r="H18" s="27" t="n">
        <v>4844.45</v>
      </c>
      <c r="I18" s="27" t="n">
        <v>4818.52</v>
      </c>
      <c r="J18" s="27" t="n">
        <v>4755.23</v>
      </c>
      <c r="K18" s="27" t="n">
        <v>4752.65</v>
      </c>
      <c r="L18" s="27" t="n">
        <v>4767.81</v>
      </c>
      <c r="M18" s="27" t="n">
        <v>4763</v>
      </c>
      <c r="N18" s="27" t="n">
        <v>4764.58</v>
      </c>
      <c r="O18" s="27" t="n">
        <v>4743.61</v>
      </c>
      <c r="P18" s="27" t="n">
        <v>4743.58</v>
      </c>
      <c r="Q18" s="27" t="n">
        <v>4744.26</v>
      </c>
      <c r="R18" s="27" t="n">
        <v>4748.58</v>
      </c>
      <c r="S18" s="27" t="n">
        <v>5175.58</v>
      </c>
      <c r="T18" s="27" t="n">
        <v>5264.9</v>
      </c>
      <c r="U18" s="27" t="n">
        <v>5262.58</v>
      </c>
      <c r="V18" s="27" t="n">
        <v>5206.23</v>
      </c>
      <c r="W18" s="27" t="n">
        <v>5346.52</v>
      </c>
      <c r="X18" s="27" t="n">
        <v>5466.71</v>
      </c>
      <c r="Y18" s="27" t="n">
        <v>5412.32</v>
      </c>
      <c r="Z18" s="27" t="n">
        <v>5401.94</v>
      </c>
      <c r="AA18" s="27" t="n">
        <v>5699.81</v>
      </c>
      <c r="AB18" s="27" t="n">
        <v>5980.42</v>
      </c>
      <c r="AC18" s="27" t="n">
        <v>6210.48</v>
      </c>
      <c r="AD18" s="27" t="n">
        <v>6531.65</v>
      </c>
      <c r="AE18" s="27" t="n">
        <v>7135.26</v>
      </c>
      <c r="AF18" s="27" t="n">
        <v>6792.61</v>
      </c>
      <c r="AG18" s="27" t="n">
        <v>6190.26</v>
      </c>
      <c r="AH18" s="27" t="n">
        <v>5568.19</v>
      </c>
      <c r="AI18" s="27" t="n">
        <v>5060.45</v>
      </c>
      <c r="AJ18" s="27" t="n">
        <v>4149.48</v>
      </c>
      <c r="AK18" s="27" t="n">
        <v>3822.87</v>
      </c>
      <c r="AL18" s="27" t="n">
        <v>3234.81</v>
      </c>
      <c r="AM18" s="27" t="n">
        <v>3134.58</v>
      </c>
      <c r="AN18" s="27" t="n">
        <v>3087.77</v>
      </c>
      <c r="AO18" s="27" t="n">
        <v>3002.55</v>
      </c>
      <c r="AP18" s="27" t="n">
        <v>2869.94</v>
      </c>
      <c r="AQ18" s="27" t="n">
        <v>2584.19</v>
      </c>
      <c r="AR18" s="27" t="n">
        <v>2579.03</v>
      </c>
      <c r="AS18" s="27" t="n">
        <v>2524.9</v>
      </c>
      <c r="AT18" s="27" t="n">
        <v>2483.16</v>
      </c>
      <c r="AU18" s="27" t="n">
        <v>2429.29</v>
      </c>
      <c r="AV18" s="27" t="n">
        <v>2463.19</v>
      </c>
      <c r="AW18" s="27" t="n">
        <v>2407.23</v>
      </c>
      <c r="AX18" s="27" t="n">
        <v>2353.13</v>
      </c>
      <c r="AY18" s="27" t="n">
        <v>2285.42</v>
      </c>
      <c r="AZ18" s="27" t="n">
        <v>2179.26</v>
      </c>
      <c r="BA18" s="27" t="n">
        <v>2126.55</v>
      </c>
      <c r="BB18" s="27" t="n">
        <v>2099.42</v>
      </c>
      <c r="BC18" s="27" t="n">
        <v>1935.48</v>
      </c>
      <c r="BD18" s="27" t="n">
        <v>1923.52</v>
      </c>
      <c r="BE18" s="27" t="n">
        <v>1953.94</v>
      </c>
      <c r="BF18" s="27" t="n">
        <v>2000.61</v>
      </c>
      <c r="BG18" s="27" t="n">
        <v>2103.48</v>
      </c>
      <c r="BH18" s="27" t="n">
        <v>2162.48</v>
      </c>
      <c r="BI18" s="27" t="n">
        <v>2244.68</v>
      </c>
      <c r="BJ18" s="27" t="n">
        <v>2344</v>
      </c>
      <c r="BK18" s="27" t="n">
        <v>2618.16</v>
      </c>
      <c r="BL18" s="27" t="n">
        <v>2700.65</v>
      </c>
      <c r="BM18" s="27" t="n">
        <v>2848.06</v>
      </c>
      <c r="BN18" s="27" t="n">
        <v>2938.9</v>
      </c>
      <c r="BO18" s="27" t="n">
        <v>2948.58</v>
      </c>
      <c r="BP18" s="27" t="n">
        <v>3032.35</v>
      </c>
      <c r="BQ18" s="27" t="n">
        <v>3139.94</v>
      </c>
      <c r="BR18" s="27" t="n">
        <v>3272.65</v>
      </c>
      <c r="BS18" s="27" t="n">
        <v>3494.16</v>
      </c>
      <c r="BT18" s="27" t="n">
        <v>3787.77</v>
      </c>
      <c r="BU18" s="27" t="n">
        <v>4214.03</v>
      </c>
      <c r="BV18" s="27" t="n">
        <v>5059.45</v>
      </c>
      <c r="BW18" s="27" t="n">
        <v>6535.48</v>
      </c>
      <c r="BX18" s="27" t="n">
        <v>7697.52</v>
      </c>
      <c r="BY18" s="27" t="n">
        <v>8341</v>
      </c>
      <c r="BZ18" s="27" t="n">
        <v>8794.809999999999</v>
      </c>
      <c r="CA18" s="27" t="n">
        <v>8562.450000000001</v>
      </c>
      <c r="CB18" s="27" t="n">
        <v>8391.65</v>
      </c>
      <c r="CC18" s="27" t="n">
        <v>7930.52</v>
      </c>
      <c r="CD18" s="27" t="n">
        <v>7529.77</v>
      </c>
      <c r="CE18" s="27" t="n">
        <v>6925.45</v>
      </c>
      <c r="CF18" s="27" t="n">
        <v>6907.19</v>
      </c>
      <c r="CG18" s="27" t="n">
        <v>6836.42</v>
      </c>
      <c r="CH18" s="27" t="n">
        <v>6781.97</v>
      </c>
      <c r="CI18" s="27" t="n">
        <v>6738.87</v>
      </c>
      <c r="CJ18" s="27" t="n">
        <v>6693.1</v>
      </c>
      <c r="CK18" s="27" t="n">
        <v>6617.23</v>
      </c>
      <c r="CL18" s="27" t="n">
        <v>6475.65</v>
      </c>
      <c r="CM18" s="27" t="n">
        <v>5935.35</v>
      </c>
      <c r="CN18" s="27" t="n">
        <v>5925.84</v>
      </c>
      <c r="CO18" s="27" t="n">
        <v>5858.52</v>
      </c>
      <c r="CP18" s="27" t="n">
        <v>5557.06</v>
      </c>
      <c r="CQ18" s="27" t="n">
        <v>5198.84</v>
      </c>
      <c r="CR18" s="27" t="n">
        <v>5180.9</v>
      </c>
      <c r="CS18" s="27" t="n">
        <v>5154.9</v>
      </c>
      <c r="CT18" s="27" t="n">
        <v>5116.42</v>
      </c>
      <c r="CU18" s="27" t="n">
        <v>5070.35</v>
      </c>
      <c r="CV18" s="27" t="n">
        <v>5076.13</v>
      </c>
      <c r="CW18" s="27" t="n">
        <v>5185.87</v>
      </c>
      <c r="CX18" s="27" t="n">
        <v>5084.16</v>
      </c>
      <c r="CY18" s="27" t="n">
        <v>4856.81</v>
      </c>
      <c r="CZ18" s="27" t="n">
        <v>4844.45</v>
      </c>
      <c r="DA18" s="27" t="n">
        <v>4818.52</v>
      </c>
      <c r="DB18" s="27" t="n">
        <v>4755.23</v>
      </c>
      <c r="DC18" s="27" t="n">
        <v>4752.65</v>
      </c>
      <c r="DD18" s="27" t="n">
        <v>4767.81</v>
      </c>
      <c r="DE18" s="27" t="n">
        <v>4763</v>
      </c>
      <c r="DF18" s="27" t="n">
        <v>4764.58</v>
      </c>
      <c r="DG18" s="27" t="n">
        <v>4743.61</v>
      </c>
      <c r="DH18" s="27" t="n">
        <v>4743.58</v>
      </c>
      <c r="DI18" s="27" t="n">
        <v>4744.26</v>
      </c>
      <c r="DJ18" s="27" t="n">
        <v>4748.58</v>
      </c>
      <c r="DK18" s="27" t="n">
        <v>5175.58</v>
      </c>
      <c r="DL18" s="27" t="n">
        <v>5264.9</v>
      </c>
      <c r="DM18" s="27" t="n">
        <v>5262.58</v>
      </c>
      <c r="DN18" s="27" t="n">
        <v>5206.23</v>
      </c>
      <c r="DO18" s="27" t="n">
        <v>5346.52</v>
      </c>
      <c r="DP18" s="27" t="n">
        <v>5466.71</v>
      </c>
      <c r="DQ18" s="27" t="n">
        <v>5412.32</v>
      </c>
      <c r="DR18" s="27" t="n">
        <v>5401.94</v>
      </c>
      <c r="DS18" s="27" t="n">
        <v>5699.81</v>
      </c>
      <c r="DT18" s="27" t="n">
        <v>5980.42</v>
      </c>
      <c r="DU18" s="27" t="n">
        <v>6210.48</v>
      </c>
      <c r="DV18" s="27" t="n">
        <v>6531.65</v>
      </c>
      <c r="DW18" s="27" t="n">
        <v>7135.26</v>
      </c>
      <c r="DX18" s="27" t="n">
        <v>6792.61</v>
      </c>
      <c r="DY18" s="27" t="n">
        <v>6190.26</v>
      </c>
      <c r="DZ18" s="27" t="n">
        <v>5568.19</v>
      </c>
      <c r="EA18" s="27" t="n">
        <v>5060.45</v>
      </c>
      <c r="EB18" s="27" t="n">
        <v>4149.48</v>
      </c>
      <c r="EC18" s="27" t="n">
        <v>3822.87</v>
      </c>
      <c r="ED18" s="27" t="n">
        <v>3234.81</v>
      </c>
      <c r="EE18" s="27" t="n">
        <v>3134.58</v>
      </c>
      <c r="EF18" s="27" t="n">
        <v>3087.77</v>
      </c>
      <c r="EG18" s="27" t="n">
        <v>3002.55</v>
      </c>
      <c r="EH18" s="27" t="n">
        <v>2869.94</v>
      </c>
      <c r="EI18" s="27" t="n">
        <v>2584.19</v>
      </c>
      <c r="EJ18" s="27" t="n">
        <v>2579.03</v>
      </c>
      <c r="EK18" s="27" t="n">
        <v>2524.9</v>
      </c>
      <c r="EL18" s="27" t="n">
        <v>2483.16</v>
      </c>
      <c r="EM18" s="27" t="n">
        <v>2429.29</v>
      </c>
      <c r="EN18" s="27" t="n">
        <v>2463.19</v>
      </c>
      <c r="EO18" s="27" t="n">
        <v>2407.23</v>
      </c>
      <c r="EP18" s="27" t="n">
        <v>2353.13</v>
      </c>
      <c r="EQ18" s="27" t="n">
        <v>2285.42</v>
      </c>
      <c r="ER18" s="27" t="n">
        <v>2179.26</v>
      </c>
      <c r="ES18" s="27" t="n">
        <v>2126.55</v>
      </c>
      <c r="ET18" s="27" t="n">
        <v>2099.42</v>
      </c>
      <c r="EU18" s="27" t="n">
        <v>1935.48</v>
      </c>
      <c r="EV18" s="27" t="n">
        <v>1923.52</v>
      </c>
      <c r="EW18" s="27" t="n">
        <v>1953.94</v>
      </c>
      <c r="EX18" s="27" t="n">
        <v>2000.61</v>
      </c>
      <c r="EY18" s="27" t="n">
        <v>2103.48</v>
      </c>
      <c r="EZ18" s="27" t="n">
        <v>2162.48</v>
      </c>
      <c r="FA18" s="27" t="n">
        <v>2244.68</v>
      </c>
      <c r="FB18" s="27" t="n">
        <v>2344</v>
      </c>
      <c r="FC18" s="27" t="n">
        <v>2618.16</v>
      </c>
      <c r="FD18" s="27" t="n">
        <v>2700.65</v>
      </c>
      <c r="FE18" s="27" t="n">
        <v>2848.06</v>
      </c>
      <c r="FF18" s="27" t="n">
        <v>2938.9</v>
      </c>
      <c r="FG18" s="27" t="n">
        <v>2948.58</v>
      </c>
      <c r="FH18" s="27" t="n">
        <v>3032.35</v>
      </c>
      <c r="FI18" s="27" t="n">
        <v>3139.94</v>
      </c>
      <c r="FJ18" s="27" t="n">
        <v>3272.65</v>
      </c>
      <c r="FK18" s="27" t="n">
        <v>3494.16</v>
      </c>
      <c r="FL18" s="27" t="n">
        <v>3787.77</v>
      </c>
      <c r="FM18" s="27" t="n">
        <v>4214.03</v>
      </c>
      <c r="FN18" s="27" t="n">
        <v>5059.45</v>
      </c>
      <c r="FO18" s="27" t="n">
        <v>6535.48</v>
      </c>
      <c r="FP18" s="27" t="n">
        <v>7697.52</v>
      </c>
      <c r="FQ18" s="27" t="n">
        <v>8341</v>
      </c>
      <c r="FR18" s="27" t="n">
        <v>8794.809999999999</v>
      </c>
      <c r="FS18" s="27" t="n">
        <v>8562.450000000001</v>
      </c>
      <c r="FT18" s="27" t="n">
        <v>8391.65</v>
      </c>
      <c r="FU18" s="27" t="n">
        <v>7930.52</v>
      </c>
      <c r="FV18" s="27" t="n">
        <v>7529.77</v>
      </c>
      <c r="FW18" s="27" t="n">
        <v>6925.45</v>
      </c>
      <c r="FX18" s="27" t="n">
        <v>6907.19</v>
      </c>
      <c r="FY18" s="27" t="n">
        <v>6836.42</v>
      </c>
      <c r="FZ18" s="27" t="n">
        <v>6781.97</v>
      </c>
      <c r="GA18" s="27" t="n">
        <v>6738.87</v>
      </c>
      <c r="GB18" s="27" t="n">
        <v>6693.1</v>
      </c>
      <c r="GC18" s="27" t="n">
        <v>6617.23</v>
      </c>
      <c r="GD18" s="27" t="n">
        <v>6475.65</v>
      </c>
      <c r="GE18" s="27" t="n">
        <v>5935.35</v>
      </c>
      <c r="GF18" s="27" t="n">
        <v>5925.84</v>
      </c>
      <c r="GG18" s="27" t="n">
        <v>5858.52</v>
      </c>
      <c r="GH18" s="27" t="n">
        <v>5557.06</v>
      </c>
      <c r="GI18" s="27" t="n">
        <v>5198.84</v>
      </c>
      <c r="GJ18" s="27" t="n">
        <v>5180.9</v>
      </c>
      <c r="GK18" s="27" t="n">
        <v>5154.9</v>
      </c>
      <c r="GL18" s="27" t="n">
        <v>5116.42</v>
      </c>
    </row>
    <row r="19">
      <c r="A19" s="6" t="inlineStr">
        <is>
          <t>GDAM|4</t>
        </is>
      </c>
      <c r="B19" s="2" t="n">
        <v>30</v>
      </c>
      <c r="C19" s="27" t="n">
        <v>8352.870000000001</v>
      </c>
      <c r="D19" s="27" t="n">
        <v>8416.67</v>
      </c>
      <c r="E19" s="27" t="n">
        <v>8411.700000000001</v>
      </c>
      <c r="F19" s="27" t="n">
        <v>8248.370000000001</v>
      </c>
      <c r="G19" s="27" t="n">
        <v>8024.13</v>
      </c>
      <c r="H19" s="27" t="n">
        <v>8036</v>
      </c>
      <c r="I19" s="27" t="n">
        <v>8012.83</v>
      </c>
      <c r="J19" s="27" t="n">
        <v>8000.23</v>
      </c>
      <c r="K19" s="27" t="n">
        <v>7902.07</v>
      </c>
      <c r="L19" s="27" t="n">
        <v>7861.43</v>
      </c>
      <c r="M19" s="27" t="n">
        <v>7867.13</v>
      </c>
      <c r="N19" s="27" t="n">
        <v>7878.07</v>
      </c>
      <c r="O19" s="27" t="n">
        <v>7801.8</v>
      </c>
      <c r="P19" s="27" t="n">
        <v>7572.13</v>
      </c>
      <c r="Q19" s="27" t="n">
        <v>7803.43</v>
      </c>
      <c r="R19" s="27" t="n">
        <v>7803.5</v>
      </c>
      <c r="S19" s="27" t="n">
        <v>7855.1</v>
      </c>
      <c r="T19" s="27" t="n">
        <v>7858.47</v>
      </c>
      <c r="U19" s="27" t="n">
        <v>7930.07</v>
      </c>
      <c r="V19" s="27" t="n">
        <v>7956.83</v>
      </c>
      <c r="W19" s="27" t="n">
        <v>7955.27</v>
      </c>
      <c r="X19" s="27" t="n">
        <v>7971.37</v>
      </c>
      <c r="Y19" s="27" t="n">
        <v>8020.1</v>
      </c>
      <c r="Z19" s="27" t="n">
        <v>8002.43</v>
      </c>
      <c r="AA19" s="27" t="n">
        <v>8207.43</v>
      </c>
      <c r="AB19" s="27" t="n">
        <v>8455.83</v>
      </c>
      <c r="AC19" s="27" t="n">
        <v>8527.6</v>
      </c>
      <c r="AD19" s="27" t="n">
        <v>8292.629999999999</v>
      </c>
      <c r="AE19" s="27" t="n">
        <v>6346.6</v>
      </c>
      <c r="AF19" s="27" t="n">
        <v>4802.73</v>
      </c>
      <c r="AG19" s="27" t="n">
        <v>4062</v>
      </c>
      <c r="AH19" s="27" t="n">
        <v>3516.03</v>
      </c>
      <c r="AI19" s="27" t="n">
        <v>3093</v>
      </c>
      <c r="AJ19" s="27" t="n">
        <v>2777.77</v>
      </c>
      <c r="AK19" s="27" t="n">
        <v>2603.07</v>
      </c>
      <c r="AL19" s="27" t="n">
        <v>2239.2</v>
      </c>
      <c r="AM19" s="27" t="n">
        <v>2126.07</v>
      </c>
      <c r="AN19" s="27" t="n">
        <v>2100.17</v>
      </c>
      <c r="AO19" s="27" t="n">
        <v>2064.8</v>
      </c>
      <c r="AP19" s="27" t="n">
        <v>2059.43</v>
      </c>
      <c r="AQ19" s="27" t="n">
        <v>1751.3</v>
      </c>
      <c r="AR19" s="27" t="n">
        <v>1731.17</v>
      </c>
      <c r="AS19" s="27" t="n">
        <v>1683.8</v>
      </c>
      <c r="AT19" s="27" t="n">
        <v>1679.6</v>
      </c>
      <c r="AU19" s="27" t="n">
        <v>1655.87</v>
      </c>
      <c r="AV19" s="27" t="n">
        <v>1660.73</v>
      </c>
      <c r="AW19" s="27" t="n">
        <v>1672.77</v>
      </c>
      <c r="AX19" s="27" t="n">
        <v>1658.4</v>
      </c>
      <c r="AY19" s="27" t="n">
        <v>1622.23</v>
      </c>
      <c r="AZ19" s="27" t="n">
        <v>1585.4</v>
      </c>
      <c r="BA19" s="27" t="n">
        <v>1572.13</v>
      </c>
      <c r="BB19" s="27" t="n">
        <v>1569.37</v>
      </c>
      <c r="BC19" s="27" t="n">
        <v>1488.13</v>
      </c>
      <c r="BD19" s="27" t="n">
        <v>1488.97</v>
      </c>
      <c r="BE19" s="27" t="n">
        <v>1556</v>
      </c>
      <c r="BF19" s="27" t="n">
        <v>1568.2</v>
      </c>
      <c r="BG19" s="27" t="n">
        <v>1709.9</v>
      </c>
      <c r="BH19" s="27" t="n">
        <v>1796.47</v>
      </c>
      <c r="BI19" s="27" t="n">
        <v>1950.37</v>
      </c>
      <c r="BJ19" s="27" t="n">
        <v>2007.03</v>
      </c>
      <c r="BK19" s="27" t="n">
        <v>2418.57</v>
      </c>
      <c r="BL19" s="27" t="n">
        <v>2457.1</v>
      </c>
      <c r="BM19" s="27" t="n">
        <v>2579.87</v>
      </c>
      <c r="BN19" s="27" t="n">
        <v>2645.83</v>
      </c>
      <c r="BO19" s="27" t="n">
        <v>2671.27</v>
      </c>
      <c r="BP19" s="27" t="n">
        <v>2765.13</v>
      </c>
      <c r="BQ19" s="27" t="n">
        <v>2913.47</v>
      </c>
      <c r="BR19" s="27" t="n">
        <v>3056.93</v>
      </c>
      <c r="BS19" s="27" t="n">
        <v>3450.23</v>
      </c>
      <c r="BT19" s="27" t="n">
        <v>3962.73</v>
      </c>
      <c r="BU19" s="27" t="n">
        <v>5134.5</v>
      </c>
      <c r="BV19" s="27" t="n">
        <v>5982.93</v>
      </c>
      <c r="BW19" s="27" t="n">
        <v>7107.63</v>
      </c>
      <c r="BX19" s="27" t="n">
        <v>8207.299999999999</v>
      </c>
      <c r="BY19" s="27" t="n">
        <v>9049.57</v>
      </c>
      <c r="BZ19" s="27" t="n">
        <v>9351.27</v>
      </c>
      <c r="CA19" s="27" t="n">
        <v>9316.030000000001</v>
      </c>
      <c r="CB19" s="27" t="n">
        <v>9323.07</v>
      </c>
      <c r="CC19" s="27" t="n">
        <v>9317.07</v>
      </c>
      <c r="CD19" s="27" t="n">
        <v>9164.530000000001</v>
      </c>
      <c r="CE19" s="27" t="n">
        <v>8941.870000000001</v>
      </c>
      <c r="CF19" s="27" t="n">
        <v>8895.33</v>
      </c>
      <c r="CG19" s="27" t="n">
        <v>8895.27</v>
      </c>
      <c r="CH19" s="27" t="n">
        <v>8898.23</v>
      </c>
      <c r="CI19" s="27" t="n">
        <v>8876.67</v>
      </c>
      <c r="CJ19" s="27" t="n">
        <v>8876.700000000001</v>
      </c>
      <c r="CK19" s="27" t="n">
        <v>8800.07</v>
      </c>
      <c r="CL19" s="27" t="n">
        <v>8800.07</v>
      </c>
      <c r="CM19" s="27" t="n">
        <v>8638.57</v>
      </c>
      <c r="CN19" s="27" t="n">
        <v>8498.67</v>
      </c>
      <c r="CO19" s="27" t="n">
        <v>8543.030000000001</v>
      </c>
      <c r="CP19" s="27" t="n">
        <v>8623.43</v>
      </c>
      <c r="CQ19" s="27" t="n">
        <v>8616.73</v>
      </c>
      <c r="CR19" s="27" t="n">
        <v>8613.5</v>
      </c>
      <c r="CS19" s="27" t="n">
        <v>8604.530000000001</v>
      </c>
      <c r="CT19" s="27" t="n">
        <v>8604.530000000001</v>
      </c>
      <c r="CU19" s="27" t="n">
        <v>8352.870000000001</v>
      </c>
      <c r="CV19" s="27" t="n">
        <v>8416.67</v>
      </c>
      <c r="CW19" s="27" t="n">
        <v>8411.700000000001</v>
      </c>
      <c r="CX19" s="27" t="n">
        <v>8248.370000000001</v>
      </c>
      <c r="CY19" s="27" t="n">
        <v>8024.13</v>
      </c>
      <c r="CZ19" s="27" t="n">
        <v>8036</v>
      </c>
      <c r="DA19" s="27" t="n">
        <v>8012.83</v>
      </c>
      <c r="DB19" s="27" t="n">
        <v>8000.23</v>
      </c>
      <c r="DC19" s="27" t="n">
        <v>7902.07</v>
      </c>
      <c r="DD19" s="27" t="n">
        <v>7861.43</v>
      </c>
      <c r="DE19" s="27" t="n">
        <v>7867.13</v>
      </c>
      <c r="DF19" s="27" t="n">
        <v>7878.07</v>
      </c>
      <c r="DG19" s="27" t="n">
        <v>7801.8</v>
      </c>
      <c r="DH19" s="27" t="n">
        <v>7572.13</v>
      </c>
      <c r="DI19" s="27" t="n">
        <v>7803.43</v>
      </c>
      <c r="DJ19" s="27" t="n">
        <v>7803.5</v>
      </c>
      <c r="DK19" s="27" t="n">
        <v>7855.1</v>
      </c>
      <c r="DL19" s="27" t="n">
        <v>7858.47</v>
      </c>
      <c r="DM19" s="27" t="n">
        <v>7930.07</v>
      </c>
      <c r="DN19" s="27" t="n">
        <v>7956.83</v>
      </c>
      <c r="DO19" s="27" t="n">
        <v>7955.27</v>
      </c>
      <c r="DP19" s="27" t="n">
        <v>7971.37</v>
      </c>
      <c r="DQ19" s="27" t="n">
        <v>8020.1</v>
      </c>
      <c r="DR19" s="27" t="n">
        <v>8002.43</v>
      </c>
      <c r="DS19" s="27" t="n">
        <v>8207.43</v>
      </c>
      <c r="DT19" s="27" t="n">
        <v>8455.83</v>
      </c>
      <c r="DU19" s="27" t="n">
        <v>8527.6</v>
      </c>
      <c r="DV19" s="27" t="n">
        <v>8292.629999999999</v>
      </c>
      <c r="DW19" s="27" t="n">
        <v>6346.6</v>
      </c>
      <c r="DX19" s="27" t="n">
        <v>4802.73</v>
      </c>
      <c r="DY19" s="27" t="n">
        <v>4062</v>
      </c>
      <c r="DZ19" s="27" t="n">
        <v>3516.03</v>
      </c>
      <c r="EA19" s="27" t="n">
        <v>3093</v>
      </c>
      <c r="EB19" s="27" t="n">
        <v>2777.77</v>
      </c>
      <c r="EC19" s="27" t="n">
        <v>2603.07</v>
      </c>
      <c r="ED19" s="27" t="n">
        <v>2239.2</v>
      </c>
      <c r="EE19" s="27" t="n">
        <v>2126.07</v>
      </c>
      <c r="EF19" s="27" t="n">
        <v>2100.17</v>
      </c>
      <c r="EG19" s="27" t="n">
        <v>2064.8</v>
      </c>
      <c r="EH19" s="27" t="n">
        <v>2059.43</v>
      </c>
      <c r="EI19" s="27" t="n">
        <v>1751.3</v>
      </c>
      <c r="EJ19" s="27" t="n">
        <v>1731.17</v>
      </c>
      <c r="EK19" s="27" t="n">
        <v>1683.8</v>
      </c>
      <c r="EL19" s="27" t="n">
        <v>1679.6</v>
      </c>
      <c r="EM19" s="27" t="n">
        <v>1655.87</v>
      </c>
      <c r="EN19" s="27" t="n">
        <v>1660.73</v>
      </c>
      <c r="EO19" s="27" t="n">
        <v>1672.77</v>
      </c>
      <c r="EP19" s="27" t="n">
        <v>1658.4</v>
      </c>
      <c r="EQ19" s="27" t="n">
        <v>1622.23</v>
      </c>
      <c r="ER19" s="27" t="n">
        <v>1585.4</v>
      </c>
      <c r="ES19" s="27" t="n">
        <v>1572.13</v>
      </c>
      <c r="ET19" s="27" t="n">
        <v>1569.37</v>
      </c>
      <c r="EU19" s="27" t="n">
        <v>1488.13</v>
      </c>
      <c r="EV19" s="27" t="n">
        <v>1488.97</v>
      </c>
      <c r="EW19" s="27" t="n">
        <v>1556</v>
      </c>
      <c r="EX19" s="27" t="n">
        <v>1568.2</v>
      </c>
      <c r="EY19" s="27" t="n">
        <v>1709.9</v>
      </c>
      <c r="EZ19" s="27" t="n">
        <v>1796.47</v>
      </c>
      <c r="FA19" s="27" t="n">
        <v>1950.37</v>
      </c>
      <c r="FB19" s="27" t="n">
        <v>2007.03</v>
      </c>
      <c r="FC19" s="27" t="n">
        <v>2418.57</v>
      </c>
      <c r="FD19" s="27" t="n">
        <v>2457.1</v>
      </c>
      <c r="FE19" s="27" t="n">
        <v>2579.87</v>
      </c>
      <c r="FF19" s="27" t="n">
        <v>2645.83</v>
      </c>
      <c r="FG19" s="27" t="n">
        <v>2671.27</v>
      </c>
      <c r="FH19" s="27" t="n">
        <v>2765.13</v>
      </c>
      <c r="FI19" s="27" t="n">
        <v>2913.47</v>
      </c>
      <c r="FJ19" s="27" t="n">
        <v>3056.93</v>
      </c>
      <c r="FK19" s="27" t="n">
        <v>3450.23</v>
      </c>
      <c r="FL19" s="27" t="n">
        <v>3962.73</v>
      </c>
      <c r="FM19" s="27" t="n">
        <v>5134.5</v>
      </c>
      <c r="FN19" s="27" t="n">
        <v>5982.93</v>
      </c>
      <c r="FO19" s="27" t="n">
        <v>7107.63</v>
      </c>
      <c r="FP19" s="27" t="n">
        <v>8207.299999999999</v>
      </c>
      <c r="FQ19" s="27" t="n">
        <v>9049.57</v>
      </c>
      <c r="FR19" s="27" t="n">
        <v>9351.27</v>
      </c>
      <c r="FS19" s="27" t="n">
        <v>9316.030000000001</v>
      </c>
      <c r="FT19" s="27" t="n">
        <v>9323.07</v>
      </c>
      <c r="FU19" s="27" t="n">
        <v>9317.07</v>
      </c>
      <c r="FV19" s="27" t="n">
        <v>9164.530000000001</v>
      </c>
      <c r="FW19" s="27" t="n">
        <v>8941.870000000001</v>
      </c>
      <c r="FX19" s="27" t="n">
        <v>8895.33</v>
      </c>
      <c r="FY19" s="27" t="n">
        <v>8895.27</v>
      </c>
      <c r="FZ19" s="27" t="n">
        <v>8898.23</v>
      </c>
      <c r="GA19" s="27" t="n">
        <v>8876.67</v>
      </c>
      <c r="GB19" s="27" t="n">
        <v>8876.700000000001</v>
      </c>
      <c r="GC19" s="27" t="n">
        <v>8800.07</v>
      </c>
      <c r="GD19" s="27" t="n">
        <v>8800.07</v>
      </c>
      <c r="GE19" s="27" t="n">
        <v>8638.57</v>
      </c>
      <c r="GF19" s="27" t="n">
        <v>8498.67</v>
      </c>
      <c r="GG19" s="27" t="n">
        <v>8543.030000000001</v>
      </c>
      <c r="GH19" s="27" t="n">
        <v>8623.43</v>
      </c>
      <c r="GI19" s="27" t="n">
        <v>8616.73</v>
      </c>
      <c r="GJ19" s="27" t="n">
        <v>8613.5</v>
      </c>
      <c r="GK19" s="27" t="n">
        <v>8604.530000000001</v>
      </c>
      <c r="GL19" s="27" t="n">
        <v>8604.530000000001</v>
      </c>
    </row>
    <row r="20">
      <c r="A20" s="6" t="inlineStr">
        <is>
          <t>GDAM|5</t>
        </is>
      </c>
      <c r="B20" s="2" t="n">
        <v>31</v>
      </c>
      <c r="C20" s="27" t="n">
        <v>8526.84</v>
      </c>
      <c r="D20" s="27" t="n">
        <v>8594.42</v>
      </c>
      <c r="E20" s="27" t="n">
        <v>8497.030000000001</v>
      </c>
      <c r="F20" s="27" t="n">
        <v>8379.42</v>
      </c>
      <c r="G20" s="27" t="n">
        <v>8389.77</v>
      </c>
      <c r="H20" s="27" t="n">
        <v>8299.77</v>
      </c>
      <c r="I20" s="27" t="n">
        <v>8174.19</v>
      </c>
      <c r="J20" s="27" t="n">
        <v>8153</v>
      </c>
      <c r="K20" s="27" t="n">
        <v>7877.58</v>
      </c>
      <c r="L20" s="27" t="n">
        <v>7850.1</v>
      </c>
      <c r="M20" s="27" t="n">
        <v>7859.58</v>
      </c>
      <c r="N20" s="27" t="n">
        <v>7842.61</v>
      </c>
      <c r="O20" s="27" t="n">
        <v>7607.48</v>
      </c>
      <c r="P20" s="27" t="n">
        <v>7591.42</v>
      </c>
      <c r="Q20" s="27" t="n">
        <v>7590.58</v>
      </c>
      <c r="R20" s="27" t="n">
        <v>7603.97</v>
      </c>
      <c r="S20" s="27" t="n">
        <v>7332.87</v>
      </c>
      <c r="T20" s="27" t="n">
        <v>6939.97</v>
      </c>
      <c r="U20" s="27" t="n">
        <v>6950.1</v>
      </c>
      <c r="V20" s="27" t="n">
        <v>7072.1</v>
      </c>
      <c r="W20" s="27" t="n">
        <v>6739.84</v>
      </c>
      <c r="X20" s="27" t="n">
        <v>6720.29</v>
      </c>
      <c r="Y20" s="27" t="n">
        <v>6462.81</v>
      </c>
      <c r="Z20" s="27" t="n">
        <v>6322.61</v>
      </c>
      <c r="AA20" s="27" t="n">
        <v>6973.29</v>
      </c>
      <c r="AB20" s="27" t="n">
        <v>6577.65</v>
      </c>
      <c r="AC20" s="27" t="n">
        <v>6090.65</v>
      </c>
      <c r="AD20" s="27" t="n">
        <v>5196.84</v>
      </c>
      <c r="AE20" s="27" t="n">
        <v>4038.68</v>
      </c>
      <c r="AF20" s="27" t="n">
        <v>3488.52</v>
      </c>
      <c r="AG20" s="27" t="n">
        <v>2886.55</v>
      </c>
      <c r="AH20" s="27" t="n">
        <v>2337.03</v>
      </c>
      <c r="AI20" s="27" t="n">
        <v>2147.35</v>
      </c>
      <c r="AJ20" s="27" t="n">
        <v>1896.68</v>
      </c>
      <c r="AK20" s="27" t="n">
        <v>1810.06</v>
      </c>
      <c r="AL20" s="27" t="n">
        <v>1682.61</v>
      </c>
      <c r="AM20" s="27" t="n">
        <v>1671.55</v>
      </c>
      <c r="AN20" s="27" t="n">
        <v>1650.39</v>
      </c>
      <c r="AO20" s="27" t="n">
        <v>1779.45</v>
      </c>
      <c r="AP20" s="27" t="n">
        <v>1875.26</v>
      </c>
      <c r="AQ20" s="27" t="n">
        <v>1784.16</v>
      </c>
      <c r="AR20" s="27" t="n">
        <v>1803.77</v>
      </c>
      <c r="AS20" s="27" t="n">
        <v>1774.48</v>
      </c>
      <c r="AT20" s="27" t="n">
        <v>1825.13</v>
      </c>
      <c r="AU20" s="27" t="n">
        <v>1723.06</v>
      </c>
      <c r="AV20" s="27" t="n">
        <v>1733.45</v>
      </c>
      <c r="AW20" s="27" t="n">
        <v>1737.71</v>
      </c>
      <c r="AX20" s="27" t="n">
        <v>1717.48</v>
      </c>
      <c r="AY20" s="27" t="n">
        <v>1718.97</v>
      </c>
      <c r="AZ20" s="27" t="n">
        <v>1732.52</v>
      </c>
      <c r="BA20" s="27" t="n">
        <v>1716.48</v>
      </c>
      <c r="BB20" s="27" t="n">
        <v>1700.42</v>
      </c>
      <c r="BC20" s="27" t="n">
        <v>1620.32</v>
      </c>
      <c r="BD20" s="27" t="n">
        <v>1643.19</v>
      </c>
      <c r="BE20" s="27" t="n">
        <v>1691.45</v>
      </c>
      <c r="BF20" s="27" t="n">
        <v>1793.06</v>
      </c>
      <c r="BG20" s="27" t="n">
        <v>1996.55</v>
      </c>
      <c r="BH20" s="27" t="n">
        <v>2125.06</v>
      </c>
      <c r="BI20" s="27" t="n">
        <v>2377.45</v>
      </c>
      <c r="BJ20" s="27" t="n">
        <v>2446.84</v>
      </c>
      <c r="BK20" s="27" t="n">
        <v>2798.52</v>
      </c>
      <c r="BL20" s="27" t="n">
        <v>2847.68</v>
      </c>
      <c r="BM20" s="27" t="n">
        <v>2896.97</v>
      </c>
      <c r="BN20" s="27" t="n">
        <v>2935.42</v>
      </c>
      <c r="BO20" s="27" t="n">
        <v>2872.13</v>
      </c>
      <c r="BP20" s="27" t="n">
        <v>2844.23</v>
      </c>
      <c r="BQ20" s="27" t="n">
        <v>2952.55</v>
      </c>
      <c r="BR20" s="27" t="n">
        <v>3035.52</v>
      </c>
      <c r="BS20" s="27" t="n">
        <v>3074.16</v>
      </c>
      <c r="BT20" s="27" t="n">
        <v>3375.68</v>
      </c>
      <c r="BU20" s="27" t="n">
        <v>3741.1</v>
      </c>
      <c r="BV20" s="27" t="n">
        <v>4294.16</v>
      </c>
      <c r="BW20" s="27" t="n">
        <v>5744.1</v>
      </c>
      <c r="BX20" s="27" t="n">
        <v>7255.48</v>
      </c>
      <c r="BY20" s="27" t="n">
        <v>8215.969999999999</v>
      </c>
      <c r="BZ20" s="27" t="n">
        <v>8874.16</v>
      </c>
      <c r="CA20" s="27" t="n">
        <v>9095.190000000001</v>
      </c>
      <c r="CB20" s="27" t="n">
        <v>9145.190000000001</v>
      </c>
      <c r="CC20" s="27" t="n">
        <v>9145.190000000001</v>
      </c>
      <c r="CD20" s="27" t="n">
        <v>9368.23</v>
      </c>
      <c r="CE20" s="27" t="n">
        <v>9312.969999999999</v>
      </c>
      <c r="CF20" s="27" t="n">
        <v>9296.9</v>
      </c>
      <c r="CG20" s="27" t="n">
        <v>9306.9</v>
      </c>
      <c r="CH20" s="27" t="n">
        <v>9315.32</v>
      </c>
      <c r="CI20" s="27" t="n">
        <v>9290</v>
      </c>
      <c r="CJ20" s="27" t="n">
        <v>9284.65</v>
      </c>
      <c r="CK20" s="27" t="n">
        <v>9280.74</v>
      </c>
      <c r="CL20" s="27" t="n">
        <v>9390.52</v>
      </c>
      <c r="CM20" s="27" t="n">
        <v>9412.969999999999</v>
      </c>
      <c r="CN20" s="27" t="n">
        <v>9461.290000000001</v>
      </c>
      <c r="CO20" s="27" t="n">
        <v>9516.059999999999</v>
      </c>
      <c r="CP20" s="27" t="n">
        <v>9651.610000000001</v>
      </c>
      <c r="CQ20" s="27" t="n">
        <v>9629.129999999999</v>
      </c>
      <c r="CR20" s="27" t="n">
        <v>9693.58</v>
      </c>
      <c r="CS20" s="27" t="n">
        <v>9661.35</v>
      </c>
      <c r="CT20" s="27" t="n">
        <v>9661.35</v>
      </c>
      <c r="CU20" s="27" t="n">
        <v>8526.84</v>
      </c>
      <c r="CV20" s="27" t="n">
        <v>8594.42</v>
      </c>
      <c r="CW20" s="27" t="n">
        <v>8497.030000000001</v>
      </c>
      <c r="CX20" s="27" t="n">
        <v>8379.42</v>
      </c>
      <c r="CY20" s="27" t="n">
        <v>8389.77</v>
      </c>
      <c r="CZ20" s="27" t="n">
        <v>8299.77</v>
      </c>
      <c r="DA20" s="27" t="n">
        <v>8174.19</v>
      </c>
      <c r="DB20" s="27" t="n">
        <v>8153</v>
      </c>
      <c r="DC20" s="27" t="n">
        <v>7877.58</v>
      </c>
      <c r="DD20" s="27" t="n">
        <v>7850.1</v>
      </c>
      <c r="DE20" s="27" t="n">
        <v>7859.58</v>
      </c>
      <c r="DF20" s="27" t="n">
        <v>7842.61</v>
      </c>
      <c r="DG20" s="27" t="n">
        <v>7607.48</v>
      </c>
      <c r="DH20" s="27" t="n">
        <v>7591.42</v>
      </c>
      <c r="DI20" s="27" t="n">
        <v>7590.58</v>
      </c>
      <c r="DJ20" s="27" t="n">
        <v>7603.97</v>
      </c>
      <c r="DK20" s="27" t="n">
        <v>7332.87</v>
      </c>
      <c r="DL20" s="27" t="n">
        <v>6939.97</v>
      </c>
      <c r="DM20" s="27" t="n">
        <v>6950.1</v>
      </c>
      <c r="DN20" s="27" t="n">
        <v>7072.1</v>
      </c>
      <c r="DO20" s="27" t="n">
        <v>6739.84</v>
      </c>
      <c r="DP20" s="27" t="n">
        <v>6720.29</v>
      </c>
      <c r="DQ20" s="27" t="n">
        <v>6462.81</v>
      </c>
      <c r="DR20" s="27" t="n">
        <v>6322.61</v>
      </c>
      <c r="DS20" s="27" t="n">
        <v>6973.29</v>
      </c>
      <c r="DT20" s="27" t="n">
        <v>6577.65</v>
      </c>
      <c r="DU20" s="27" t="n">
        <v>6090.65</v>
      </c>
      <c r="DV20" s="27" t="n">
        <v>5196.84</v>
      </c>
      <c r="DW20" s="27" t="n">
        <v>4038.68</v>
      </c>
      <c r="DX20" s="27" t="n">
        <v>3488.52</v>
      </c>
      <c r="DY20" s="27" t="n">
        <v>2886.55</v>
      </c>
      <c r="DZ20" s="27" t="n">
        <v>2337.03</v>
      </c>
      <c r="EA20" s="27" t="n">
        <v>2147.35</v>
      </c>
      <c r="EB20" s="27" t="n">
        <v>1896.68</v>
      </c>
      <c r="EC20" s="27" t="n">
        <v>1810.06</v>
      </c>
      <c r="ED20" s="27" t="n">
        <v>1682.61</v>
      </c>
      <c r="EE20" s="27" t="n">
        <v>1671.55</v>
      </c>
      <c r="EF20" s="27" t="n">
        <v>1650.39</v>
      </c>
      <c r="EG20" s="27" t="n">
        <v>1779.45</v>
      </c>
      <c r="EH20" s="27" t="n">
        <v>1875.26</v>
      </c>
      <c r="EI20" s="27" t="n">
        <v>1784.16</v>
      </c>
      <c r="EJ20" s="27" t="n">
        <v>1803.77</v>
      </c>
      <c r="EK20" s="27" t="n">
        <v>1774.48</v>
      </c>
      <c r="EL20" s="27" t="n">
        <v>1825.13</v>
      </c>
      <c r="EM20" s="27" t="n">
        <v>1723.06</v>
      </c>
      <c r="EN20" s="27" t="n">
        <v>1733.45</v>
      </c>
      <c r="EO20" s="27" t="n">
        <v>1737.71</v>
      </c>
      <c r="EP20" s="27" t="n">
        <v>1717.48</v>
      </c>
      <c r="EQ20" s="27" t="n">
        <v>1718.97</v>
      </c>
      <c r="ER20" s="27" t="n">
        <v>1732.52</v>
      </c>
      <c r="ES20" s="27" t="n">
        <v>1716.48</v>
      </c>
      <c r="ET20" s="27" t="n">
        <v>1700.42</v>
      </c>
      <c r="EU20" s="27" t="n">
        <v>1620.32</v>
      </c>
      <c r="EV20" s="27" t="n">
        <v>1643.19</v>
      </c>
      <c r="EW20" s="27" t="n">
        <v>1691.45</v>
      </c>
      <c r="EX20" s="27" t="n">
        <v>1793.06</v>
      </c>
      <c r="EY20" s="27" t="n">
        <v>1996.55</v>
      </c>
      <c r="EZ20" s="27" t="n">
        <v>2125.06</v>
      </c>
      <c r="FA20" s="27" t="n">
        <v>2377.45</v>
      </c>
      <c r="FB20" s="27" t="n">
        <v>2446.84</v>
      </c>
      <c r="FC20" s="27" t="n">
        <v>2798.52</v>
      </c>
      <c r="FD20" s="27" t="n">
        <v>2847.68</v>
      </c>
      <c r="FE20" s="27" t="n">
        <v>2896.97</v>
      </c>
      <c r="FF20" s="27" t="n">
        <v>2935.42</v>
      </c>
      <c r="FG20" s="27" t="n">
        <v>2872.13</v>
      </c>
      <c r="FH20" s="27" t="n">
        <v>2844.23</v>
      </c>
      <c r="FI20" s="27" t="n">
        <v>2952.55</v>
      </c>
      <c r="FJ20" s="27" t="n">
        <v>3035.52</v>
      </c>
      <c r="FK20" s="27" t="n">
        <v>3074.16</v>
      </c>
      <c r="FL20" s="27" t="n">
        <v>3375.68</v>
      </c>
      <c r="FM20" s="27" t="n">
        <v>3741.1</v>
      </c>
      <c r="FN20" s="27" t="n">
        <v>4294.16</v>
      </c>
      <c r="FO20" s="27" t="n">
        <v>5744.1</v>
      </c>
      <c r="FP20" s="27" t="n">
        <v>7255.48</v>
      </c>
      <c r="FQ20" s="27" t="n">
        <v>8215.969999999999</v>
      </c>
      <c r="FR20" s="27" t="n">
        <v>8874.16</v>
      </c>
      <c r="FS20" s="27" t="n">
        <v>9095.190000000001</v>
      </c>
      <c r="FT20" s="27" t="n">
        <v>9145.190000000001</v>
      </c>
      <c r="FU20" s="27" t="n">
        <v>9145.190000000001</v>
      </c>
      <c r="FV20" s="27" t="n">
        <v>9368.23</v>
      </c>
      <c r="FW20" s="27" t="n">
        <v>9312.969999999999</v>
      </c>
      <c r="FX20" s="27" t="n">
        <v>9296.9</v>
      </c>
      <c r="FY20" s="27" t="n">
        <v>9306.9</v>
      </c>
      <c r="FZ20" s="27" t="n">
        <v>9315.32</v>
      </c>
      <c r="GA20" s="27" t="n">
        <v>9290</v>
      </c>
      <c r="GB20" s="27" t="n">
        <v>9284.65</v>
      </c>
      <c r="GC20" s="27" t="n">
        <v>9280.74</v>
      </c>
      <c r="GD20" s="27" t="n">
        <v>9390.52</v>
      </c>
      <c r="GE20" s="27" t="n">
        <v>9412.969999999999</v>
      </c>
      <c r="GF20" s="27" t="n">
        <v>9461.290000000001</v>
      </c>
      <c r="GG20" s="27" t="n">
        <v>9516.059999999999</v>
      </c>
      <c r="GH20" s="27" t="n">
        <v>9651.610000000001</v>
      </c>
      <c r="GI20" s="27" t="n">
        <v>9629.129999999999</v>
      </c>
      <c r="GJ20" s="27" t="n">
        <v>9693.58</v>
      </c>
      <c r="GK20" s="27" t="n">
        <v>9661.35</v>
      </c>
      <c r="GL20" s="27" t="n">
        <v>9661.35</v>
      </c>
    </row>
    <row r="21">
      <c r="A21" s="6" t="inlineStr">
        <is>
          <t>GDAM|6</t>
        </is>
      </c>
      <c r="B21" s="2" t="n">
        <v>30</v>
      </c>
      <c r="C21" s="27" t="n">
        <v>9658.370000000001</v>
      </c>
      <c r="D21" s="27" t="n">
        <v>9630.07</v>
      </c>
      <c r="E21" s="27" t="n">
        <v>9630.4</v>
      </c>
      <c r="F21" s="27" t="n">
        <v>9630.4</v>
      </c>
      <c r="G21" s="27" t="n">
        <v>9383.4</v>
      </c>
      <c r="H21" s="27" t="n">
        <v>9343.299999999999</v>
      </c>
      <c r="I21" s="27" t="n">
        <v>9293.299999999999</v>
      </c>
      <c r="J21" s="27" t="n">
        <v>9100</v>
      </c>
      <c r="K21" s="27" t="n">
        <v>8829.93</v>
      </c>
      <c r="L21" s="27" t="n">
        <v>8829.969999999999</v>
      </c>
      <c r="M21" s="27" t="n">
        <v>8825</v>
      </c>
      <c r="N21" s="27" t="n">
        <v>8840</v>
      </c>
      <c r="O21" s="27" t="n">
        <v>8223.43</v>
      </c>
      <c r="P21" s="27" t="n">
        <v>8260.43</v>
      </c>
      <c r="Q21" s="27" t="n">
        <v>8238.43</v>
      </c>
      <c r="R21" s="27" t="n">
        <v>8378.370000000001</v>
      </c>
      <c r="S21" s="27" t="n">
        <v>7820.17</v>
      </c>
      <c r="T21" s="27" t="n">
        <v>7973.73</v>
      </c>
      <c r="U21" s="27" t="n">
        <v>7693.9</v>
      </c>
      <c r="V21" s="27" t="n">
        <v>7600.57</v>
      </c>
      <c r="W21" s="27" t="n">
        <v>7281.8</v>
      </c>
      <c r="X21" s="27" t="n">
        <v>7310.1</v>
      </c>
      <c r="Y21" s="27" t="n">
        <v>7468.97</v>
      </c>
      <c r="Z21" s="27" t="n">
        <v>7785.53</v>
      </c>
      <c r="AA21" s="27" t="n">
        <v>7729.53</v>
      </c>
      <c r="AB21" s="27" t="n">
        <v>7570.7</v>
      </c>
      <c r="AC21" s="27" t="n">
        <v>7669.63</v>
      </c>
      <c r="AD21" s="27" t="n">
        <v>6413.17</v>
      </c>
      <c r="AE21" s="27" t="n">
        <v>4550.9</v>
      </c>
      <c r="AF21" s="27" t="n">
        <v>3686.6</v>
      </c>
      <c r="AG21" s="27" t="n">
        <v>3217.67</v>
      </c>
      <c r="AH21" s="27" t="n">
        <v>2845.07</v>
      </c>
      <c r="AI21" s="27" t="n">
        <v>2677.9</v>
      </c>
      <c r="AJ21" s="27" t="n">
        <v>2426.3</v>
      </c>
      <c r="AK21" s="27" t="n">
        <v>2176.63</v>
      </c>
      <c r="AL21" s="27" t="n">
        <v>1874.13</v>
      </c>
      <c r="AM21" s="27" t="n">
        <v>1553.3</v>
      </c>
      <c r="AN21" s="27" t="n">
        <v>1540.17</v>
      </c>
      <c r="AO21" s="27" t="n">
        <v>1566</v>
      </c>
      <c r="AP21" s="27" t="n">
        <v>1600.43</v>
      </c>
      <c r="AQ21" s="27" t="n">
        <v>1535.6</v>
      </c>
      <c r="AR21" s="27" t="n">
        <v>1570.13</v>
      </c>
      <c r="AS21" s="27" t="n">
        <v>1587.77</v>
      </c>
      <c r="AT21" s="27" t="n">
        <v>1571.43</v>
      </c>
      <c r="AU21" s="27" t="n">
        <v>1564.83</v>
      </c>
      <c r="AV21" s="27" t="n">
        <v>1553.07</v>
      </c>
      <c r="AW21" s="27" t="n">
        <v>1549.57</v>
      </c>
      <c r="AX21" s="27" t="n">
        <v>1553.9</v>
      </c>
      <c r="AY21" s="27" t="n">
        <v>1566.03</v>
      </c>
      <c r="AZ21" s="27" t="n">
        <v>1580.97</v>
      </c>
      <c r="BA21" s="27" t="n">
        <v>1643.77</v>
      </c>
      <c r="BB21" s="27" t="n">
        <v>1636.83</v>
      </c>
      <c r="BC21" s="27" t="n">
        <v>1591.4</v>
      </c>
      <c r="BD21" s="27" t="n">
        <v>1607.6</v>
      </c>
      <c r="BE21" s="27" t="n">
        <v>1673.73</v>
      </c>
      <c r="BF21" s="27" t="n">
        <v>1833.4</v>
      </c>
      <c r="BG21" s="27" t="n">
        <v>2026.3</v>
      </c>
      <c r="BH21" s="27" t="n">
        <v>2171.1</v>
      </c>
      <c r="BI21" s="27" t="n">
        <v>2359.47</v>
      </c>
      <c r="BJ21" s="27" t="n">
        <v>2465.33</v>
      </c>
      <c r="BK21" s="27" t="n">
        <v>2879.97</v>
      </c>
      <c r="BL21" s="27" t="n">
        <v>2932.03</v>
      </c>
      <c r="BM21" s="27" t="n">
        <v>2966</v>
      </c>
      <c r="BN21" s="27" t="n">
        <v>2900.47</v>
      </c>
      <c r="BO21" s="27" t="n">
        <v>2857.9</v>
      </c>
      <c r="BP21" s="27" t="n">
        <v>2830.33</v>
      </c>
      <c r="BQ21" s="27" t="n">
        <v>2984.03</v>
      </c>
      <c r="BR21" s="27" t="n">
        <v>3146.57</v>
      </c>
      <c r="BS21" s="27" t="n">
        <v>3197.77</v>
      </c>
      <c r="BT21" s="27" t="n">
        <v>3405.43</v>
      </c>
      <c r="BU21" s="27" t="n">
        <v>3401.37</v>
      </c>
      <c r="BV21" s="27" t="n">
        <v>3654.03</v>
      </c>
      <c r="BW21" s="27" t="n">
        <v>4593.27</v>
      </c>
      <c r="BX21" s="27" t="n">
        <v>4992.27</v>
      </c>
      <c r="BY21" s="27" t="n">
        <v>5530.47</v>
      </c>
      <c r="BZ21" s="27" t="n">
        <v>7240.17</v>
      </c>
      <c r="CA21" s="27" t="n">
        <v>8630.030000000001</v>
      </c>
      <c r="CB21" s="27" t="n">
        <v>9043.77</v>
      </c>
      <c r="CC21" s="27" t="n">
        <v>9044.17</v>
      </c>
      <c r="CD21" s="27" t="n">
        <v>9432.77</v>
      </c>
      <c r="CE21" s="27" t="n">
        <v>9556.530000000001</v>
      </c>
      <c r="CF21" s="27" t="n">
        <v>9556.6</v>
      </c>
      <c r="CG21" s="27" t="n">
        <v>9556.67</v>
      </c>
      <c r="CH21" s="27" t="n">
        <v>9716.57</v>
      </c>
      <c r="CI21" s="27" t="n">
        <v>9716.700000000001</v>
      </c>
      <c r="CJ21" s="27" t="n">
        <v>9716.700000000001</v>
      </c>
      <c r="CK21" s="27" t="n">
        <v>9716.700000000001</v>
      </c>
      <c r="CL21" s="27" t="n">
        <v>9716.700000000001</v>
      </c>
      <c r="CM21" s="27" t="n">
        <v>9716.700000000001</v>
      </c>
      <c r="CN21" s="27" t="n">
        <v>9756.700000000001</v>
      </c>
      <c r="CO21" s="27" t="n">
        <v>9773.33</v>
      </c>
      <c r="CP21" s="27" t="n">
        <v>9933.299999999999</v>
      </c>
      <c r="CQ21" s="27" t="n">
        <v>9916.629999999999</v>
      </c>
      <c r="CR21" s="27" t="n">
        <v>9916.67</v>
      </c>
      <c r="CS21" s="27" t="n">
        <v>9916.629999999999</v>
      </c>
      <c r="CT21" s="27" t="n">
        <v>9883.33</v>
      </c>
      <c r="CU21" s="27" t="n">
        <v>9658.370000000001</v>
      </c>
      <c r="CV21" s="27" t="n">
        <v>9630.07</v>
      </c>
      <c r="CW21" s="27" t="n">
        <v>9630.4</v>
      </c>
      <c r="CX21" s="27" t="n">
        <v>9630.4</v>
      </c>
      <c r="CY21" s="27" t="n">
        <v>9383.4</v>
      </c>
      <c r="CZ21" s="27" t="n">
        <v>9343.299999999999</v>
      </c>
      <c r="DA21" s="27" t="n">
        <v>9293.299999999999</v>
      </c>
      <c r="DB21" s="27" t="n">
        <v>9100</v>
      </c>
      <c r="DC21" s="27" t="n">
        <v>8829.93</v>
      </c>
      <c r="DD21" s="27" t="n">
        <v>8829.969999999999</v>
      </c>
      <c r="DE21" s="27" t="n">
        <v>8825</v>
      </c>
      <c r="DF21" s="27" t="n">
        <v>8840</v>
      </c>
      <c r="DG21" s="27" t="n">
        <v>8223.43</v>
      </c>
      <c r="DH21" s="27" t="n">
        <v>8260.43</v>
      </c>
      <c r="DI21" s="27" t="n">
        <v>8238.43</v>
      </c>
      <c r="DJ21" s="27" t="n">
        <v>8378.370000000001</v>
      </c>
      <c r="DK21" s="27" t="n">
        <v>7820.17</v>
      </c>
      <c r="DL21" s="27" t="n">
        <v>7973.73</v>
      </c>
      <c r="DM21" s="27" t="n">
        <v>7693.9</v>
      </c>
      <c r="DN21" s="27" t="n">
        <v>7600.57</v>
      </c>
      <c r="DO21" s="27" t="n">
        <v>7281.8</v>
      </c>
      <c r="DP21" s="27" t="n">
        <v>7310.1</v>
      </c>
      <c r="DQ21" s="27" t="n">
        <v>7468.97</v>
      </c>
      <c r="DR21" s="27" t="n">
        <v>7785.53</v>
      </c>
      <c r="DS21" s="27" t="n">
        <v>7729.53</v>
      </c>
      <c r="DT21" s="27" t="n">
        <v>7570.7</v>
      </c>
      <c r="DU21" s="27" t="n">
        <v>7669.63</v>
      </c>
      <c r="DV21" s="27" t="n">
        <v>6413.17</v>
      </c>
      <c r="DW21" s="27" t="n">
        <v>4550.9</v>
      </c>
      <c r="DX21" s="27" t="n">
        <v>3686.6</v>
      </c>
      <c r="DY21" s="27" t="n">
        <v>3217.67</v>
      </c>
      <c r="DZ21" s="27" t="n">
        <v>2845.07</v>
      </c>
      <c r="EA21" s="27" t="n">
        <v>2677.9</v>
      </c>
      <c r="EB21" s="27" t="n">
        <v>2426.3</v>
      </c>
      <c r="EC21" s="27" t="n">
        <v>2176.63</v>
      </c>
      <c r="ED21" s="27" t="n">
        <v>1874.13</v>
      </c>
      <c r="EE21" s="27" t="n">
        <v>1553.3</v>
      </c>
      <c r="EF21" s="27" t="n">
        <v>1540.17</v>
      </c>
      <c r="EG21" s="27" t="n">
        <v>1566</v>
      </c>
      <c r="EH21" s="27" t="n">
        <v>1600.43</v>
      </c>
      <c r="EI21" s="27" t="n">
        <v>1535.6</v>
      </c>
      <c r="EJ21" s="27" t="n">
        <v>1570.13</v>
      </c>
      <c r="EK21" s="27" t="n">
        <v>1587.77</v>
      </c>
      <c r="EL21" s="27" t="n">
        <v>1571.43</v>
      </c>
      <c r="EM21" s="27" t="n">
        <v>1564.83</v>
      </c>
      <c r="EN21" s="27" t="n">
        <v>1553.07</v>
      </c>
      <c r="EO21" s="27" t="n">
        <v>1549.57</v>
      </c>
      <c r="EP21" s="27" t="n">
        <v>1553.9</v>
      </c>
      <c r="EQ21" s="27" t="n">
        <v>1566.03</v>
      </c>
      <c r="ER21" s="27" t="n">
        <v>1580.97</v>
      </c>
      <c r="ES21" s="27" t="n">
        <v>1643.77</v>
      </c>
      <c r="ET21" s="27" t="n">
        <v>1636.83</v>
      </c>
      <c r="EU21" s="27" t="n">
        <v>1591.4</v>
      </c>
      <c r="EV21" s="27" t="n">
        <v>1607.6</v>
      </c>
      <c r="EW21" s="27" t="n">
        <v>1673.73</v>
      </c>
      <c r="EX21" s="27" t="n">
        <v>1833.4</v>
      </c>
      <c r="EY21" s="27" t="n">
        <v>2026.3</v>
      </c>
      <c r="EZ21" s="27" t="n">
        <v>2171.1</v>
      </c>
      <c r="FA21" s="27" t="n">
        <v>2359.47</v>
      </c>
      <c r="FB21" s="27" t="n">
        <v>2465.33</v>
      </c>
      <c r="FC21" s="27" t="n">
        <v>2879.97</v>
      </c>
      <c r="FD21" s="27" t="n">
        <v>2932.03</v>
      </c>
      <c r="FE21" s="27" t="n">
        <v>2966</v>
      </c>
      <c r="FF21" s="27" t="n">
        <v>2900.47</v>
      </c>
      <c r="FG21" s="27" t="n">
        <v>2857.9</v>
      </c>
      <c r="FH21" s="27" t="n">
        <v>2830.33</v>
      </c>
      <c r="FI21" s="27" t="n">
        <v>2984.03</v>
      </c>
      <c r="FJ21" s="27" t="n">
        <v>3146.57</v>
      </c>
      <c r="FK21" s="27" t="n">
        <v>3197.77</v>
      </c>
      <c r="FL21" s="27" t="n">
        <v>3405.43</v>
      </c>
      <c r="FM21" s="27" t="n">
        <v>3401.37</v>
      </c>
      <c r="FN21" s="27" t="n">
        <v>3654.03</v>
      </c>
      <c r="FO21" s="27" t="n">
        <v>4593.27</v>
      </c>
      <c r="FP21" s="27" t="n">
        <v>4992.27</v>
      </c>
      <c r="FQ21" s="27" t="n">
        <v>5530.47</v>
      </c>
      <c r="FR21" s="27" t="n">
        <v>7240.17</v>
      </c>
      <c r="FS21" s="27" t="n">
        <v>8630.030000000001</v>
      </c>
      <c r="FT21" s="27" t="n">
        <v>9043.77</v>
      </c>
      <c r="FU21" s="27" t="n">
        <v>9044.17</v>
      </c>
      <c r="FV21" s="27" t="n">
        <v>9432.77</v>
      </c>
      <c r="FW21" s="27" t="n">
        <v>9556.530000000001</v>
      </c>
      <c r="FX21" s="27" t="n">
        <v>9556.6</v>
      </c>
      <c r="FY21" s="27" t="n">
        <v>9556.67</v>
      </c>
      <c r="FZ21" s="27" t="n">
        <v>9716.57</v>
      </c>
      <c r="GA21" s="27" t="n">
        <v>9716.700000000001</v>
      </c>
      <c r="GB21" s="27" t="n">
        <v>9716.700000000001</v>
      </c>
      <c r="GC21" s="27" t="n">
        <v>9716.700000000001</v>
      </c>
      <c r="GD21" s="27" t="n">
        <v>9716.700000000001</v>
      </c>
      <c r="GE21" s="27" t="n">
        <v>9716.700000000001</v>
      </c>
      <c r="GF21" s="27" t="n">
        <v>9756.700000000001</v>
      </c>
      <c r="GG21" s="27" t="n">
        <v>9773.33</v>
      </c>
      <c r="GH21" s="27" t="n">
        <v>9933.299999999999</v>
      </c>
      <c r="GI21" s="27" t="n">
        <v>9916.629999999999</v>
      </c>
      <c r="GJ21" s="27" t="n">
        <v>9916.67</v>
      </c>
      <c r="GK21" s="27" t="n">
        <v>9916.629999999999</v>
      </c>
      <c r="GL21" s="27" t="n">
        <v>9883.33</v>
      </c>
    </row>
    <row r="22">
      <c r="A22" s="6" t="inlineStr">
        <is>
          <t>GDAM|7</t>
        </is>
      </c>
      <c r="B22" s="2" t="n">
        <v>29</v>
      </c>
      <c r="C22" s="27" t="n">
        <v>7500.28</v>
      </c>
      <c r="D22" s="27" t="n">
        <v>7345.76</v>
      </c>
      <c r="E22" s="27" t="n">
        <v>7312.9</v>
      </c>
      <c r="F22" s="27" t="n">
        <v>7298.17</v>
      </c>
      <c r="G22" s="27" t="n">
        <v>7126.28</v>
      </c>
      <c r="H22" s="27" t="n">
        <v>6932.93</v>
      </c>
      <c r="I22" s="27" t="n">
        <v>6723.93</v>
      </c>
      <c r="J22" s="27" t="n">
        <v>6691.93</v>
      </c>
      <c r="K22" s="27" t="n">
        <v>6552.97</v>
      </c>
      <c r="L22" s="27" t="n">
        <v>6547.1</v>
      </c>
      <c r="M22" s="27" t="n">
        <v>6544.34</v>
      </c>
      <c r="N22" s="27" t="n">
        <v>6416.07</v>
      </c>
      <c r="O22" s="27" t="n">
        <v>6102.1</v>
      </c>
      <c r="P22" s="27" t="n">
        <v>6089.79</v>
      </c>
      <c r="Q22" s="27" t="n">
        <v>6128.76</v>
      </c>
      <c r="R22" s="27" t="n">
        <v>6120.59</v>
      </c>
      <c r="S22" s="27" t="n">
        <v>5860</v>
      </c>
      <c r="T22" s="27" t="n">
        <v>5889.07</v>
      </c>
      <c r="U22" s="27" t="n">
        <v>6169.07</v>
      </c>
      <c r="V22" s="27" t="n">
        <v>6048.48</v>
      </c>
      <c r="W22" s="27" t="n">
        <v>6330.52</v>
      </c>
      <c r="X22" s="27" t="n">
        <v>6362.31</v>
      </c>
      <c r="Y22" s="27" t="n">
        <v>6608.62</v>
      </c>
      <c r="Z22" s="27" t="n">
        <v>6652.66</v>
      </c>
      <c r="AA22" s="27" t="n">
        <v>6783.79</v>
      </c>
      <c r="AB22" s="27" t="n">
        <v>6863.38</v>
      </c>
      <c r="AC22" s="27" t="n">
        <v>6636.62</v>
      </c>
      <c r="AD22" s="27" t="n">
        <v>5943.83</v>
      </c>
      <c r="AE22" s="27" t="n">
        <v>4911.1</v>
      </c>
      <c r="AF22" s="27" t="n">
        <v>4269.48</v>
      </c>
      <c r="AG22" s="27" t="n">
        <v>3702.24</v>
      </c>
      <c r="AH22" s="27" t="n">
        <v>3369.69</v>
      </c>
      <c r="AI22" s="27" t="n">
        <v>3169.31</v>
      </c>
      <c r="AJ22" s="27" t="n">
        <v>2899.86</v>
      </c>
      <c r="AK22" s="27" t="n">
        <v>2698.72</v>
      </c>
      <c r="AL22" s="27" t="n">
        <v>2170.76</v>
      </c>
      <c r="AM22" s="27" t="n">
        <v>2004.34</v>
      </c>
      <c r="AN22" s="27" t="n">
        <v>1932.76</v>
      </c>
      <c r="AO22" s="27" t="n">
        <v>1861.17</v>
      </c>
      <c r="AP22" s="27" t="n">
        <v>1789.86</v>
      </c>
      <c r="AQ22" s="27" t="n">
        <v>1540.17</v>
      </c>
      <c r="AR22" s="27" t="n">
        <v>1556.83</v>
      </c>
      <c r="AS22" s="27" t="n">
        <v>1542.03</v>
      </c>
      <c r="AT22" s="27" t="n">
        <v>1488.9</v>
      </c>
      <c r="AU22" s="27" t="n">
        <v>1528.34</v>
      </c>
      <c r="AV22" s="27" t="n">
        <v>1526.1</v>
      </c>
      <c r="AW22" s="27" t="n">
        <v>1474.55</v>
      </c>
      <c r="AX22" s="27" t="n">
        <v>1485.14</v>
      </c>
      <c r="AY22" s="27" t="n">
        <v>1375.52</v>
      </c>
      <c r="AZ22" s="27" t="n">
        <v>1347.62</v>
      </c>
      <c r="BA22" s="27" t="n">
        <v>1333.76</v>
      </c>
      <c r="BB22" s="27" t="n">
        <v>1330.28</v>
      </c>
      <c r="BC22" s="27" t="n">
        <v>1289.59</v>
      </c>
      <c r="BD22" s="27" t="n">
        <v>1292.83</v>
      </c>
      <c r="BE22" s="27" t="n">
        <v>1353.59</v>
      </c>
      <c r="BF22" s="27" t="n">
        <v>1384.45</v>
      </c>
      <c r="BG22" s="27" t="n">
        <v>1473.66</v>
      </c>
      <c r="BH22" s="27" t="n">
        <v>1535.07</v>
      </c>
      <c r="BI22" s="27" t="n">
        <v>1668</v>
      </c>
      <c r="BJ22" s="27" t="n">
        <v>1697.1</v>
      </c>
      <c r="BK22" s="27" t="n">
        <v>1998.66</v>
      </c>
      <c r="BL22" s="27" t="n">
        <v>2117.86</v>
      </c>
      <c r="BM22" s="27" t="n">
        <v>2245.45</v>
      </c>
      <c r="BN22" s="27" t="n">
        <v>2326.93</v>
      </c>
      <c r="BO22" s="27" t="n">
        <v>2484.79</v>
      </c>
      <c r="BP22" s="27" t="n">
        <v>2541.28</v>
      </c>
      <c r="BQ22" s="27" t="n">
        <v>2698.31</v>
      </c>
      <c r="BR22" s="27" t="n">
        <v>2853.31</v>
      </c>
      <c r="BS22" s="27" t="n">
        <v>2963.48</v>
      </c>
      <c r="BT22" s="27" t="n">
        <v>3065.93</v>
      </c>
      <c r="BU22" s="27" t="n">
        <v>3251.17</v>
      </c>
      <c r="BV22" s="27" t="n">
        <v>3404.03</v>
      </c>
      <c r="BW22" s="27" t="n">
        <v>4951.72</v>
      </c>
      <c r="BX22" s="27" t="n">
        <v>5455.03</v>
      </c>
      <c r="BY22" s="27" t="n">
        <v>6027.38</v>
      </c>
      <c r="BZ22" s="27" t="n">
        <v>6830.41</v>
      </c>
      <c r="CA22" s="27" t="n">
        <v>7618.59</v>
      </c>
      <c r="CB22" s="27" t="n">
        <v>7910.86</v>
      </c>
      <c r="CC22" s="27" t="n">
        <v>8099.28</v>
      </c>
      <c r="CD22" s="27" t="n">
        <v>8974.209999999999</v>
      </c>
      <c r="CE22" s="27" t="n">
        <v>9022.209999999999</v>
      </c>
      <c r="CF22" s="27" t="n">
        <v>9022.17</v>
      </c>
      <c r="CG22" s="27" t="n">
        <v>9019.48</v>
      </c>
      <c r="CH22" s="27" t="n">
        <v>9016.1</v>
      </c>
      <c r="CI22" s="27" t="n">
        <v>8965.41</v>
      </c>
      <c r="CJ22" s="27" t="n">
        <v>8996.549999999999</v>
      </c>
      <c r="CK22" s="27" t="n">
        <v>9086.209999999999</v>
      </c>
      <c r="CL22" s="27" t="n">
        <v>9112.52</v>
      </c>
      <c r="CM22" s="27" t="n">
        <v>9193.030000000001</v>
      </c>
      <c r="CN22" s="27" t="n">
        <v>9193.030000000001</v>
      </c>
      <c r="CO22" s="27" t="n">
        <v>9193</v>
      </c>
      <c r="CP22" s="27" t="n">
        <v>9448.1</v>
      </c>
      <c r="CQ22" s="27" t="n">
        <v>9426.07</v>
      </c>
      <c r="CR22" s="27" t="n">
        <v>9335.9</v>
      </c>
      <c r="CS22" s="27" t="n">
        <v>9308.76</v>
      </c>
      <c r="CT22" s="27" t="n">
        <v>9186.07</v>
      </c>
      <c r="CU22" s="27" t="n">
        <v>7500.28</v>
      </c>
      <c r="CV22" s="27" t="n">
        <v>7345.76</v>
      </c>
      <c r="CW22" s="27" t="n">
        <v>7312.9</v>
      </c>
      <c r="CX22" s="27" t="n">
        <v>7298.17</v>
      </c>
      <c r="CY22" s="27" t="n">
        <v>7126.28</v>
      </c>
      <c r="CZ22" s="27" t="n">
        <v>6932.93</v>
      </c>
      <c r="DA22" s="27" t="n">
        <v>6723.93</v>
      </c>
      <c r="DB22" s="27" t="n">
        <v>6691.93</v>
      </c>
      <c r="DC22" s="27" t="n">
        <v>6552.97</v>
      </c>
      <c r="DD22" s="27" t="n">
        <v>6547.1</v>
      </c>
      <c r="DE22" s="27" t="n">
        <v>6544.34</v>
      </c>
      <c r="DF22" s="27" t="n">
        <v>6416.07</v>
      </c>
      <c r="DG22" s="27" t="n">
        <v>6102.1</v>
      </c>
      <c r="DH22" s="27" t="n">
        <v>6089.79</v>
      </c>
      <c r="DI22" s="27" t="n">
        <v>6128.76</v>
      </c>
      <c r="DJ22" s="27" t="n">
        <v>6120.59</v>
      </c>
      <c r="DK22" s="27" t="n">
        <v>5860</v>
      </c>
      <c r="DL22" s="27" t="n">
        <v>5889.07</v>
      </c>
      <c r="DM22" s="27" t="n">
        <v>6169.07</v>
      </c>
      <c r="DN22" s="27" t="n">
        <v>6048.48</v>
      </c>
      <c r="DO22" s="27" t="n">
        <v>6330.52</v>
      </c>
      <c r="DP22" s="27" t="n">
        <v>6362.31</v>
      </c>
      <c r="DQ22" s="27" t="n">
        <v>6608.62</v>
      </c>
      <c r="DR22" s="27" t="n">
        <v>6652.66</v>
      </c>
      <c r="DS22" s="27" t="n">
        <v>6783.79</v>
      </c>
      <c r="DT22" s="27" t="n">
        <v>6863.38</v>
      </c>
      <c r="DU22" s="27" t="n">
        <v>6636.62</v>
      </c>
      <c r="DV22" s="27" t="n">
        <v>5943.83</v>
      </c>
      <c r="DW22" s="27" t="n">
        <v>4911.1</v>
      </c>
      <c r="DX22" s="27" t="n">
        <v>4269.48</v>
      </c>
      <c r="DY22" s="27" t="n">
        <v>3702.24</v>
      </c>
      <c r="DZ22" s="27" t="n">
        <v>3369.69</v>
      </c>
      <c r="EA22" s="27" t="n">
        <v>3169.31</v>
      </c>
      <c r="EB22" s="27" t="n">
        <v>2899.86</v>
      </c>
      <c r="EC22" s="27" t="n">
        <v>2698.72</v>
      </c>
      <c r="ED22" s="27" t="n">
        <v>2170.76</v>
      </c>
      <c r="EE22" s="27" t="n">
        <v>2004.34</v>
      </c>
      <c r="EF22" s="27" t="n">
        <v>1932.76</v>
      </c>
      <c r="EG22" s="27" t="n">
        <v>1861.17</v>
      </c>
      <c r="EH22" s="27" t="n">
        <v>1789.86</v>
      </c>
      <c r="EI22" s="27" t="n">
        <v>1540.17</v>
      </c>
      <c r="EJ22" s="27" t="n">
        <v>1556.83</v>
      </c>
      <c r="EK22" s="27" t="n">
        <v>1542.03</v>
      </c>
      <c r="EL22" s="27" t="n">
        <v>1488.9</v>
      </c>
      <c r="EM22" s="27" t="n">
        <v>1528.34</v>
      </c>
      <c r="EN22" s="27" t="n">
        <v>1526.1</v>
      </c>
      <c r="EO22" s="27" t="n">
        <v>1474.55</v>
      </c>
      <c r="EP22" s="27" t="n">
        <v>1485.14</v>
      </c>
      <c r="EQ22" s="27" t="n">
        <v>1375.52</v>
      </c>
      <c r="ER22" s="27" t="n">
        <v>1347.62</v>
      </c>
      <c r="ES22" s="27" t="n">
        <v>1333.76</v>
      </c>
      <c r="ET22" s="27" t="n">
        <v>1330.28</v>
      </c>
      <c r="EU22" s="27" t="n">
        <v>1289.59</v>
      </c>
      <c r="EV22" s="27" t="n">
        <v>1292.83</v>
      </c>
      <c r="EW22" s="27" t="n">
        <v>1353.59</v>
      </c>
      <c r="EX22" s="27" t="n">
        <v>1384.45</v>
      </c>
      <c r="EY22" s="27" t="n">
        <v>1473.66</v>
      </c>
      <c r="EZ22" s="27" t="n">
        <v>1535.07</v>
      </c>
      <c r="FA22" s="27" t="n">
        <v>1668</v>
      </c>
      <c r="FB22" s="27" t="n">
        <v>1697.1</v>
      </c>
      <c r="FC22" s="27" t="n">
        <v>1998.66</v>
      </c>
      <c r="FD22" s="27" t="n">
        <v>2117.86</v>
      </c>
      <c r="FE22" s="27" t="n">
        <v>2245.45</v>
      </c>
      <c r="FF22" s="27" t="n">
        <v>2326.93</v>
      </c>
      <c r="FG22" s="27" t="n">
        <v>2484.79</v>
      </c>
      <c r="FH22" s="27" t="n">
        <v>2541.28</v>
      </c>
      <c r="FI22" s="27" t="n">
        <v>2698.31</v>
      </c>
      <c r="FJ22" s="27" t="n">
        <v>2853.31</v>
      </c>
      <c r="FK22" s="27" t="n">
        <v>2963.48</v>
      </c>
      <c r="FL22" s="27" t="n">
        <v>3065.93</v>
      </c>
      <c r="FM22" s="27" t="n">
        <v>3251.17</v>
      </c>
      <c r="FN22" s="27" t="n">
        <v>3404.03</v>
      </c>
      <c r="FO22" s="27" t="n">
        <v>4951.72</v>
      </c>
      <c r="FP22" s="27" t="n">
        <v>5455.03</v>
      </c>
      <c r="FQ22" s="27" t="n">
        <v>6027.38</v>
      </c>
      <c r="FR22" s="27" t="n">
        <v>6830.41</v>
      </c>
      <c r="FS22" s="27" t="n">
        <v>7618.59</v>
      </c>
      <c r="FT22" s="27" t="n">
        <v>7910.86</v>
      </c>
      <c r="FU22" s="27" t="n">
        <v>8099.28</v>
      </c>
      <c r="FV22" s="27" t="n">
        <v>8974.209999999999</v>
      </c>
      <c r="FW22" s="27" t="n">
        <v>9022.209999999999</v>
      </c>
      <c r="FX22" s="27" t="n">
        <v>9022.17</v>
      </c>
      <c r="FY22" s="27" t="n">
        <v>9019.48</v>
      </c>
      <c r="FZ22" s="27" t="n">
        <v>9016.1</v>
      </c>
      <c r="GA22" s="27" t="n">
        <v>8965.41</v>
      </c>
      <c r="GB22" s="27" t="n">
        <v>8996.549999999999</v>
      </c>
      <c r="GC22" s="27" t="n">
        <v>9086.209999999999</v>
      </c>
      <c r="GD22" s="27" t="n">
        <v>9112.52</v>
      </c>
      <c r="GE22" s="27" t="n">
        <v>9193.030000000001</v>
      </c>
      <c r="GF22" s="27" t="n">
        <v>9193.030000000001</v>
      </c>
      <c r="GG22" s="27" t="n">
        <v>9193</v>
      </c>
      <c r="GH22" s="27" t="n">
        <v>9448.1</v>
      </c>
      <c r="GI22" s="27" t="n">
        <v>9426.07</v>
      </c>
      <c r="GJ22" s="27" t="n">
        <v>9335.9</v>
      </c>
      <c r="GK22" s="27" t="n">
        <v>9308.76</v>
      </c>
      <c r="GL22" s="27" t="n">
        <v>9186.07</v>
      </c>
    </row>
    <row r="23">
      <c r="A23" s="6" t="inlineStr">
        <is>
          <t>GDAM|8</t>
        </is>
      </c>
      <c r="B23" s="2" t="n">
        <v>29</v>
      </c>
      <c r="C23" s="27" t="n">
        <v>7941.86</v>
      </c>
      <c r="D23" s="27" t="n">
        <v>7784.03</v>
      </c>
      <c r="E23" s="27" t="n">
        <v>7773.9</v>
      </c>
      <c r="F23" s="27" t="n">
        <v>7776.28</v>
      </c>
      <c r="G23" s="27" t="n">
        <v>7557.07</v>
      </c>
      <c r="H23" s="27" t="n">
        <v>7541.17</v>
      </c>
      <c r="I23" s="27" t="n">
        <v>7522.9</v>
      </c>
      <c r="J23" s="27" t="n">
        <v>7007.34</v>
      </c>
      <c r="K23" s="27" t="n">
        <v>6893.17</v>
      </c>
      <c r="L23" s="27" t="n">
        <v>6361.72</v>
      </c>
      <c r="M23" s="27" t="n">
        <v>6426.07</v>
      </c>
      <c r="N23" s="27" t="n">
        <v>6293.83</v>
      </c>
      <c r="O23" s="27" t="n">
        <v>5548</v>
      </c>
      <c r="P23" s="27" t="n">
        <v>5767.38</v>
      </c>
      <c r="Q23" s="27" t="n">
        <v>5793.03</v>
      </c>
      <c r="R23" s="27" t="n">
        <v>5761.59</v>
      </c>
      <c r="S23" s="27" t="n">
        <v>5363.34</v>
      </c>
      <c r="T23" s="27" t="n">
        <v>5410.66</v>
      </c>
      <c r="U23" s="27" t="n">
        <v>5413.69</v>
      </c>
      <c r="V23" s="27" t="n">
        <v>5581.45</v>
      </c>
      <c r="W23" s="27" t="n">
        <v>5812.76</v>
      </c>
      <c r="X23" s="27" t="n">
        <v>6126.93</v>
      </c>
      <c r="Y23" s="27" t="n">
        <v>6177.79</v>
      </c>
      <c r="Z23" s="27" t="n">
        <v>6301.76</v>
      </c>
      <c r="AA23" s="27" t="n">
        <v>6682.24</v>
      </c>
      <c r="AB23" s="27" t="n">
        <v>6737.34</v>
      </c>
      <c r="AC23" s="27" t="n">
        <v>6693.34</v>
      </c>
      <c r="AD23" s="27" t="n">
        <v>6372.72</v>
      </c>
      <c r="AE23" s="27" t="n">
        <v>6110.24</v>
      </c>
      <c r="AF23" s="27" t="n">
        <v>5464.34</v>
      </c>
      <c r="AG23" s="27" t="n">
        <v>4863.38</v>
      </c>
      <c r="AH23" s="27" t="n">
        <v>4190.38</v>
      </c>
      <c r="AI23" s="27" t="n">
        <v>3745.76</v>
      </c>
      <c r="AJ23" s="27" t="n">
        <v>3430.24</v>
      </c>
      <c r="AK23" s="27" t="n">
        <v>3194.48</v>
      </c>
      <c r="AL23" s="27" t="n">
        <v>2558.93</v>
      </c>
      <c r="AM23" s="27" t="n">
        <v>2376.55</v>
      </c>
      <c r="AN23" s="27" t="n">
        <v>2146.83</v>
      </c>
      <c r="AO23" s="27" t="n">
        <v>2007.31</v>
      </c>
      <c r="AP23" s="27" t="n">
        <v>1913.69</v>
      </c>
      <c r="AQ23" s="27" t="n">
        <v>1748.14</v>
      </c>
      <c r="AR23" s="27" t="n">
        <v>1715.76</v>
      </c>
      <c r="AS23" s="27" t="n">
        <v>1661.34</v>
      </c>
      <c r="AT23" s="27" t="n">
        <v>1692.93</v>
      </c>
      <c r="AU23" s="27" t="n">
        <v>1748</v>
      </c>
      <c r="AV23" s="27" t="n">
        <v>1743.55</v>
      </c>
      <c r="AW23" s="27" t="n">
        <v>1697.62</v>
      </c>
      <c r="AX23" s="27" t="n">
        <v>1670.34</v>
      </c>
      <c r="AY23" s="27" t="n">
        <v>1639.34</v>
      </c>
      <c r="AZ23" s="27" t="n">
        <v>1536.97</v>
      </c>
      <c r="BA23" s="27" t="n">
        <v>1519.38</v>
      </c>
      <c r="BB23" s="27" t="n">
        <v>1520.62</v>
      </c>
      <c r="BC23" s="27" t="n">
        <v>1488.45</v>
      </c>
      <c r="BD23" s="27" t="n">
        <v>1494.83</v>
      </c>
      <c r="BE23" s="27" t="n">
        <v>1535.07</v>
      </c>
      <c r="BF23" s="27" t="n">
        <v>1589</v>
      </c>
      <c r="BG23" s="27" t="n">
        <v>1608.86</v>
      </c>
      <c r="BH23" s="27" t="n">
        <v>1650.14</v>
      </c>
      <c r="BI23" s="27" t="n">
        <v>1692.52</v>
      </c>
      <c r="BJ23" s="27" t="n">
        <v>1715.83</v>
      </c>
      <c r="BK23" s="27" t="n">
        <v>2143.45</v>
      </c>
      <c r="BL23" s="27" t="n">
        <v>2205.45</v>
      </c>
      <c r="BM23" s="27" t="n">
        <v>2351.21</v>
      </c>
      <c r="BN23" s="27" t="n">
        <v>2485.86</v>
      </c>
      <c r="BO23" s="27" t="n">
        <v>2685.72</v>
      </c>
      <c r="BP23" s="27" t="n">
        <v>2799.9</v>
      </c>
      <c r="BQ23" s="27" t="n">
        <v>3017.21</v>
      </c>
      <c r="BR23" s="27" t="n">
        <v>3158.66</v>
      </c>
      <c r="BS23" s="27" t="n">
        <v>3458.83</v>
      </c>
      <c r="BT23" s="27" t="n">
        <v>3642.66</v>
      </c>
      <c r="BU23" s="27" t="n">
        <v>3808.48</v>
      </c>
      <c r="BV23" s="27" t="n">
        <v>4166.79</v>
      </c>
      <c r="BW23" s="27" t="n">
        <v>6260.93</v>
      </c>
      <c r="BX23" s="27" t="n">
        <v>6576.38</v>
      </c>
      <c r="BY23" s="27" t="n">
        <v>7707.28</v>
      </c>
      <c r="BZ23" s="27" t="n">
        <v>8838.59</v>
      </c>
      <c r="CA23" s="27" t="n">
        <v>9389.83</v>
      </c>
      <c r="CB23" s="27" t="n">
        <v>9424.139999999999</v>
      </c>
      <c r="CC23" s="27" t="n">
        <v>9551.719999999999</v>
      </c>
      <c r="CD23" s="27" t="n">
        <v>9541.450000000001</v>
      </c>
      <c r="CE23" s="27" t="n">
        <v>9593.139999999999</v>
      </c>
      <c r="CF23" s="27" t="n">
        <v>9591.379999999999</v>
      </c>
      <c r="CG23" s="27" t="n">
        <v>9613.83</v>
      </c>
      <c r="CH23" s="27" t="n">
        <v>9615.549999999999</v>
      </c>
      <c r="CI23" s="27" t="n">
        <v>9620.719999999999</v>
      </c>
      <c r="CJ23" s="27" t="n">
        <v>9593.1</v>
      </c>
      <c r="CK23" s="27" t="n">
        <v>9624.52</v>
      </c>
      <c r="CL23" s="27" t="n">
        <v>9547.969999999999</v>
      </c>
      <c r="CM23" s="27" t="n">
        <v>9482.83</v>
      </c>
      <c r="CN23" s="27" t="n">
        <v>9482.83</v>
      </c>
      <c r="CO23" s="27" t="n">
        <v>9483.24</v>
      </c>
      <c r="CP23" s="27" t="n">
        <v>9613.860000000001</v>
      </c>
      <c r="CQ23" s="27" t="n">
        <v>9586.280000000001</v>
      </c>
      <c r="CR23" s="27" t="n">
        <v>9613.76</v>
      </c>
      <c r="CS23" s="27" t="n">
        <v>9586.1</v>
      </c>
      <c r="CT23" s="27" t="n">
        <v>9499.969999999999</v>
      </c>
      <c r="CU23" s="27" t="n">
        <v>7941.86</v>
      </c>
      <c r="CV23" s="27" t="n">
        <v>7784.03</v>
      </c>
      <c r="CW23" s="27" t="n">
        <v>7773.9</v>
      </c>
      <c r="CX23" s="27" t="n">
        <v>7776.28</v>
      </c>
      <c r="CY23" s="27" t="n">
        <v>7557.07</v>
      </c>
      <c r="CZ23" s="27" t="n">
        <v>7541.17</v>
      </c>
      <c r="DA23" s="27" t="n">
        <v>7522.9</v>
      </c>
      <c r="DB23" s="27" t="n">
        <v>7007.34</v>
      </c>
      <c r="DC23" s="27" t="n">
        <v>6893.17</v>
      </c>
      <c r="DD23" s="27" t="n">
        <v>6361.72</v>
      </c>
      <c r="DE23" s="27" t="n">
        <v>6426.07</v>
      </c>
      <c r="DF23" s="27" t="n">
        <v>6293.83</v>
      </c>
      <c r="DG23" s="27" t="n">
        <v>5548</v>
      </c>
      <c r="DH23" s="27" t="n">
        <v>5767.38</v>
      </c>
      <c r="DI23" s="27" t="n">
        <v>5793.03</v>
      </c>
      <c r="DJ23" s="27" t="n">
        <v>5761.59</v>
      </c>
      <c r="DK23" s="27" t="n">
        <v>5363.34</v>
      </c>
      <c r="DL23" s="27" t="n">
        <v>5410.66</v>
      </c>
      <c r="DM23" s="27" t="n">
        <v>5413.69</v>
      </c>
      <c r="DN23" s="27" t="n">
        <v>5581.45</v>
      </c>
      <c r="DO23" s="27" t="n">
        <v>5812.76</v>
      </c>
      <c r="DP23" s="27" t="n">
        <v>6126.93</v>
      </c>
      <c r="DQ23" s="27" t="n">
        <v>6177.79</v>
      </c>
      <c r="DR23" s="27" t="n">
        <v>6301.76</v>
      </c>
      <c r="DS23" s="27" t="n">
        <v>6682.24</v>
      </c>
      <c r="DT23" s="27" t="n">
        <v>6737.34</v>
      </c>
      <c r="DU23" s="27" t="n">
        <v>6693.34</v>
      </c>
      <c r="DV23" s="27" t="n">
        <v>6372.72</v>
      </c>
      <c r="DW23" s="27" t="n">
        <v>6110.24</v>
      </c>
      <c r="DX23" s="27" t="n">
        <v>5464.34</v>
      </c>
      <c r="DY23" s="27" t="n">
        <v>4863.38</v>
      </c>
      <c r="DZ23" s="27" t="n">
        <v>4190.38</v>
      </c>
      <c r="EA23" s="27" t="n">
        <v>3745.76</v>
      </c>
      <c r="EB23" s="27" t="n">
        <v>3430.24</v>
      </c>
      <c r="EC23" s="27" t="n">
        <v>3194.48</v>
      </c>
      <c r="ED23" s="27" t="n">
        <v>2558.93</v>
      </c>
      <c r="EE23" s="27" t="n">
        <v>2376.55</v>
      </c>
      <c r="EF23" s="27" t="n">
        <v>2146.83</v>
      </c>
      <c r="EG23" s="27" t="n">
        <v>2007.31</v>
      </c>
      <c r="EH23" s="27" t="n">
        <v>1913.69</v>
      </c>
      <c r="EI23" s="27" t="n">
        <v>1748.14</v>
      </c>
      <c r="EJ23" s="27" t="n">
        <v>1715.76</v>
      </c>
      <c r="EK23" s="27" t="n">
        <v>1661.34</v>
      </c>
      <c r="EL23" s="27" t="n">
        <v>1692.93</v>
      </c>
      <c r="EM23" s="27" t="n">
        <v>1748</v>
      </c>
      <c r="EN23" s="27" t="n">
        <v>1743.55</v>
      </c>
      <c r="EO23" s="27" t="n">
        <v>1697.62</v>
      </c>
      <c r="EP23" s="27" t="n">
        <v>1670.34</v>
      </c>
      <c r="EQ23" s="27" t="n">
        <v>1639.34</v>
      </c>
      <c r="ER23" s="27" t="n">
        <v>1536.97</v>
      </c>
      <c r="ES23" s="27" t="n">
        <v>1519.38</v>
      </c>
      <c r="ET23" s="27" t="n">
        <v>1520.62</v>
      </c>
      <c r="EU23" s="27" t="n">
        <v>1488.45</v>
      </c>
      <c r="EV23" s="27" t="n">
        <v>1494.83</v>
      </c>
      <c r="EW23" s="27" t="n">
        <v>1535.07</v>
      </c>
      <c r="EX23" s="27" t="n">
        <v>1589</v>
      </c>
      <c r="EY23" s="27" t="n">
        <v>1608.86</v>
      </c>
      <c r="EZ23" s="27" t="n">
        <v>1650.14</v>
      </c>
      <c r="FA23" s="27" t="n">
        <v>1692.52</v>
      </c>
      <c r="FB23" s="27" t="n">
        <v>1715.83</v>
      </c>
      <c r="FC23" s="27" t="n">
        <v>2143.45</v>
      </c>
      <c r="FD23" s="27" t="n">
        <v>2205.45</v>
      </c>
      <c r="FE23" s="27" t="n">
        <v>2351.21</v>
      </c>
      <c r="FF23" s="27" t="n">
        <v>2485.86</v>
      </c>
      <c r="FG23" s="27" t="n">
        <v>2685.72</v>
      </c>
      <c r="FH23" s="27" t="n">
        <v>2799.9</v>
      </c>
      <c r="FI23" s="27" t="n">
        <v>3017.21</v>
      </c>
      <c r="FJ23" s="27" t="n">
        <v>3158.66</v>
      </c>
      <c r="FK23" s="27" t="n">
        <v>3458.83</v>
      </c>
      <c r="FL23" s="27" t="n">
        <v>3642.66</v>
      </c>
      <c r="FM23" s="27" t="n">
        <v>3808.48</v>
      </c>
      <c r="FN23" s="27" t="n">
        <v>4166.79</v>
      </c>
      <c r="FO23" s="27" t="n">
        <v>6260.93</v>
      </c>
      <c r="FP23" s="27" t="n">
        <v>6576.38</v>
      </c>
      <c r="FQ23" s="27" t="n">
        <v>7707.28</v>
      </c>
      <c r="FR23" s="27" t="n">
        <v>8838.59</v>
      </c>
      <c r="FS23" s="27" t="n">
        <v>9389.83</v>
      </c>
      <c r="FT23" s="27" t="n">
        <v>9424.139999999999</v>
      </c>
      <c r="FU23" s="27" t="n">
        <v>9551.719999999999</v>
      </c>
      <c r="FV23" s="27" t="n">
        <v>9541.450000000001</v>
      </c>
      <c r="FW23" s="27" t="n">
        <v>9593.139999999999</v>
      </c>
      <c r="FX23" s="27" t="n">
        <v>9591.379999999999</v>
      </c>
      <c r="FY23" s="27" t="n">
        <v>9613.83</v>
      </c>
      <c r="FZ23" s="27" t="n">
        <v>9615.549999999999</v>
      </c>
      <c r="GA23" s="27" t="n">
        <v>9620.719999999999</v>
      </c>
      <c r="GB23" s="27" t="n">
        <v>9593.1</v>
      </c>
      <c r="GC23" s="27" t="n">
        <v>9624.52</v>
      </c>
      <c r="GD23" s="27" t="n">
        <v>9547.969999999999</v>
      </c>
      <c r="GE23" s="27" t="n">
        <v>9482.83</v>
      </c>
      <c r="GF23" s="27" t="n">
        <v>9482.83</v>
      </c>
      <c r="GG23" s="27" t="n">
        <v>9483.24</v>
      </c>
      <c r="GH23" s="27" t="n">
        <v>9613.860000000001</v>
      </c>
      <c r="GI23" s="27" t="n">
        <v>9586.280000000001</v>
      </c>
      <c r="GJ23" s="27" t="n">
        <v>9613.76</v>
      </c>
      <c r="GK23" s="27" t="n">
        <v>9586.1</v>
      </c>
      <c r="GL23" s="27" t="n">
        <v>9499.969999999999</v>
      </c>
    </row>
    <row r="24">
      <c r="A24" s="6" t="inlineStr">
        <is>
          <t>GDAM|9</t>
        </is>
      </c>
      <c r="B24" s="2" t="n">
        <v>34</v>
      </c>
      <c r="C24" s="27" t="n">
        <v>8064.29</v>
      </c>
      <c r="D24" s="27" t="n">
        <v>8062</v>
      </c>
      <c r="E24" s="27" t="n">
        <v>8055.94</v>
      </c>
      <c r="F24" s="27" t="n">
        <v>8048.62</v>
      </c>
      <c r="G24" s="27" t="n">
        <v>8031.94</v>
      </c>
      <c r="H24" s="27" t="n">
        <v>8031.97</v>
      </c>
      <c r="I24" s="27" t="n">
        <v>7899.38</v>
      </c>
      <c r="J24" s="27" t="n">
        <v>7897.15</v>
      </c>
      <c r="K24" s="27" t="n">
        <v>7741.24</v>
      </c>
      <c r="L24" s="27" t="n">
        <v>7747.06</v>
      </c>
      <c r="M24" s="27" t="n">
        <v>7747.03</v>
      </c>
      <c r="N24" s="27" t="n">
        <v>7747.06</v>
      </c>
      <c r="O24" s="27" t="n">
        <v>7730.09</v>
      </c>
      <c r="P24" s="27" t="n">
        <v>7721.03</v>
      </c>
      <c r="Q24" s="27" t="n">
        <v>7722.47</v>
      </c>
      <c r="R24" s="27" t="n">
        <v>7722.53</v>
      </c>
      <c r="S24" s="27" t="n">
        <v>7714.5</v>
      </c>
      <c r="T24" s="27" t="n">
        <v>7729.21</v>
      </c>
      <c r="U24" s="27" t="n">
        <v>7728.5</v>
      </c>
      <c r="V24" s="27" t="n">
        <v>7822.29</v>
      </c>
      <c r="W24" s="27" t="n">
        <v>7851.44</v>
      </c>
      <c r="X24" s="27" t="n">
        <v>7964.53</v>
      </c>
      <c r="Y24" s="27" t="n">
        <v>7992.5</v>
      </c>
      <c r="Z24" s="27" t="n">
        <v>8016.03</v>
      </c>
      <c r="AA24" s="27" t="n">
        <v>8164.82</v>
      </c>
      <c r="AB24" s="27" t="n">
        <v>8179.29</v>
      </c>
      <c r="AC24" s="27" t="n">
        <v>8166.21</v>
      </c>
      <c r="AD24" s="27" t="n">
        <v>8117.79</v>
      </c>
      <c r="AE24" s="27" t="n">
        <v>8066.15</v>
      </c>
      <c r="AF24" s="27" t="n">
        <v>7932.24</v>
      </c>
      <c r="AG24" s="27" t="n">
        <v>7618.18</v>
      </c>
      <c r="AH24" s="27" t="n">
        <v>7284.38</v>
      </c>
      <c r="AI24" s="27" t="n">
        <v>6243.85</v>
      </c>
      <c r="AJ24" s="27" t="n">
        <v>5677.71</v>
      </c>
      <c r="AK24" s="27" t="n">
        <v>4541.62</v>
      </c>
      <c r="AL24" s="27" t="n">
        <v>3529.44</v>
      </c>
      <c r="AM24" s="27" t="n">
        <v>3418.26</v>
      </c>
      <c r="AN24" s="27" t="n">
        <v>3121.82</v>
      </c>
      <c r="AO24" s="27" t="n">
        <v>2868.21</v>
      </c>
      <c r="AP24" s="27" t="n">
        <v>2753.18</v>
      </c>
      <c r="AQ24" s="27" t="n">
        <v>2492.65</v>
      </c>
      <c r="AR24" s="27" t="n">
        <v>2463.5</v>
      </c>
      <c r="AS24" s="27" t="n">
        <v>2506.18</v>
      </c>
      <c r="AT24" s="27" t="n">
        <v>2495.97</v>
      </c>
      <c r="AU24" s="27" t="n">
        <v>2477</v>
      </c>
      <c r="AV24" s="27" t="n">
        <v>2460.65</v>
      </c>
      <c r="AW24" s="27" t="n">
        <v>2424.82</v>
      </c>
      <c r="AX24" s="27" t="n">
        <v>2425.85</v>
      </c>
      <c r="AY24" s="27" t="n">
        <v>2386.68</v>
      </c>
      <c r="AZ24" s="27" t="n">
        <v>2331.97</v>
      </c>
      <c r="BA24" s="27" t="n">
        <v>2291.29</v>
      </c>
      <c r="BB24" s="27" t="n">
        <v>2276.59</v>
      </c>
      <c r="BC24" s="27" t="n">
        <v>2172.76</v>
      </c>
      <c r="BD24" s="27" t="n">
        <v>2172.56</v>
      </c>
      <c r="BE24" s="27" t="n">
        <v>2295.59</v>
      </c>
      <c r="BF24" s="27" t="n">
        <v>2379.71</v>
      </c>
      <c r="BG24" s="27" t="n">
        <v>2521.21</v>
      </c>
      <c r="BH24" s="27" t="n">
        <v>2613.47</v>
      </c>
      <c r="BI24" s="27" t="n">
        <v>2660.62</v>
      </c>
      <c r="BJ24" s="27" t="n">
        <v>2710.18</v>
      </c>
      <c r="BK24" s="27" t="n">
        <v>3464.62</v>
      </c>
      <c r="BL24" s="27" t="n">
        <v>3716.44</v>
      </c>
      <c r="BM24" s="27" t="n">
        <v>4124.88</v>
      </c>
      <c r="BN24" s="27" t="n">
        <v>4713.85</v>
      </c>
      <c r="BO24" s="27" t="n">
        <v>5594.18</v>
      </c>
      <c r="BP24" s="27" t="n">
        <v>6023.68</v>
      </c>
      <c r="BQ24" s="27" t="n">
        <v>6366.76</v>
      </c>
      <c r="BR24" s="27" t="n">
        <v>6500.82</v>
      </c>
      <c r="BS24" s="27" t="n">
        <v>6842.09</v>
      </c>
      <c r="BT24" s="27" t="n">
        <v>7051.15</v>
      </c>
      <c r="BU24" s="27" t="n">
        <v>7346.53</v>
      </c>
      <c r="BV24" s="27" t="n">
        <v>7544.41</v>
      </c>
      <c r="BW24" s="27" t="n">
        <v>8357.32</v>
      </c>
      <c r="BX24" s="27" t="n">
        <v>8900</v>
      </c>
      <c r="BY24" s="27" t="n">
        <v>9653</v>
      </c>
      <c r="BZ24" s="27" t="n">
        <v>9667.65</v>
      </c>
      <c r="CA24" s="27" t="n">
        <v>9726.5</v>
      </c>
      <c r="CB24" s="27" t="n">
        <v>9726.530000000001</v>
      </c>
      <c r="CC24" s="27" t="n">
        <v>9726.5</v>
      </c>
      <c r="CD24" s="27" t="n">
        <v>9723.559999999999</v>
      </c>
      <c r="CE24" s="27" t="n">
        <v>9720.620000000001</v>
      </c>
      <c r="CF24" s="27" t="n">
        <v>9644.15</v>
      </c>
      <c r="CG24" s="27" t="n">
        <v>9616.120000000001</v>
      </c>
      <c r="CH24" s="27" t="n">
        <v>9543.209999999999</v>
      </c>
      <c r="CI24" s="27" t="n">
        <v>9466.15</v>
      </c>
      <c r="CJ24" s="27" t="n">
        <v>9286.91</v>
      </c>
      <c r="CK24" s="27" t="n">
        <v>9194.65</v>
      </c>
      <c r="CL24" s="27" t="n">
        <v>9135.440000000001</v>
      </c>
      <c r="CM24" s="27" t="n">
        <v>8861.82</v>
      </c>
      <c r="CN24" s="27" t="n">
        <v>8841.209999999999</v>
      </c>
      <c r="CO24" s="27" t="n">
        <v>8795.709999999999</v>
      </c>
      <c r="CP24" s="27" t="n">
        <v>8676.559999999999</v>
      </c>
      <c r="CQ24" s="27" t="n">
        <v>8411.85</v>
      </c>
      <c r="CR24" s="27" t="n">
        <v>8291.15</v>
      </c>
      <c r="CS24" s="27" t="n">
        <v>8220.709999999999</v>
      </c>
      <c r="CT24" s="27" t="n">
        <v>8188.44</v>
      </c>
      <c r="CU24" s="27" t="n">
        <v>8064.29</v>
      </c>
      <c r="CV24" s="27" t="n">
        <v>8062</v>
      </c>
      <c r="CW24" s="27" t="n">
        <v>8055.94</v>
      </c>
      <c r="CX24" s="27" t="n">
        <v>8048.62</v>
      </c>
      <c r="CY24" s="27" t="n">
        <v>8031.94</v>
      </c>
      <c r="CZ24" s="27" t="n">
        <v>8031.97</v>
      </c>
      <c r="DA24" s="27" t="n">
        <v>7899.38</v>
      </c>
      <c r="DB24" s="27" t="n">
        <v>7897.15</v>
      </c>
      <c r="DC24" s="27" t="n">
        <v>7741.24</v>
      </c>
      <c r="DD24" s="27" t="n">
        <v>7747.06</v>
      </c>
      <c r="DE24" s="27" t="n">
        <v>7747.03</v>
      </c>
      <c r="DF24" s="27" t="n">
        <v>7747.06</v>
      </c>
      <c r="DG24" s="27" t="n">
        <v>7730.09</v>
      </c>
      <c r="DH24" s="27" t="n">
        <v>7721.03</v>
      </c>
      <c r="DI24" s="27" t="n">
        <v>7722.47</v>
      </c>
      <c r="DJ24" s="27" t="n">
        <v>7722.53</v>
      </c>
      <c r="DK24" s="27" t="n">
        <v>7714.5</v>
      </c>
      <c r="DL24" s="27" t="n">
        <v>7729.21</v>
      </c>
      <c r="DM24" s="27" t="n">
        <v>7728.5</v>
      </c>
      <c r="DN24" s="27" t="n">
        <v>7822.29</v>
      </c>
      <c r="DO24" s="27" t="n">
        <v>7851.44</v>
      </c>
      <c r="DP24" s="27" t="n">
        <v>7964.53</v>
      </c>
      <c r="DQ24" s="27" t="n">
        <v>7992.5</v>
      </c>
      <c r="DR24" s="27" t="n">
        <v>8016.03</v>
      </c>
      <c r="DS24" s="27" t="n">
        <v>8164.82</v>
      </c>
      <c r="DT24" s="27" t="n">
        <v>8179.29</v>
      </c>
      <c r="DU24" s="27" t="n">
        <v>8166.21</v>
      </c>
      <c r="DV24" s="27" t="n">
        <v>8117.79</v>
      </c>
      <c r="DW24" s="27" t="n">
        <v>8066.15</v>
      </c>
      <c r="DX24" s="27" t="n">
        <v>7932.24</v>
      </c>
      <c r="DY24" s="27" t="n">
        <v>7618.18</v>
      </c>
      <c r="DZ24" s="27" t="n">
        <v>7284.38</v>
      </c>
      <c r="EA24" s="27" t="n">
        <v>6243.85</v>
      </c>
      <c r="EB24" s="27" t="n">
        <v>5677.71</v>
      </c>
      <c r="EC24" s="27" t="n">
        <v>4541.62</v>
      </c>
      <c r="ED24" s="27" t="n">
        <v>3529.44</v>
      </c>
      <c r="EE24" s="27" t="n">
        <v>3418.26</v>
      </c>
      <c r="EF24" s="27" t="n">
        <v>3121.82</v>
      </c>
      <c r="EG24" s="27" t="n">
        <v>2868.21</v>
      </c>
      <c r="EH24" s="27" t="n">
        <v>2753.18</v>
      </c>
      <c r="EI24" s="27" t="n">
        <v>2492.65</v>
      </c>
      <c r="EJ24" s="27" t="n">
        <v>2463.5</v>
      </c>
      <c r="EK24" s="27" t="n">
        <v>2506.18</v>
      </c>
      <c r="EL24" s="27" t="n">
        <v>2495.97</v>
      </c>
      <c r="EM24" s="27" t="n">
        <v>2477</v>
      </c>
      <c r="EN24" s="27" t="n">
        <v>2460.65</v>
      </c>
      <c r="EO24" s="27" t="n">
        <v>2424.82</v>
      </c>
      <c r="EP24" s="27" t="n">
        <v>2425.85</v>
      </c>
      <c r="EQ24" s="27" t="n">
        <v>2386.68</v>
      </c>
      <c r="ER24" s="27" t="n">
        <v>2331.97</v>
      </c>
      <c r="ES24" s="27" t="n">
        <v>2291.29</v>
      </c>
      <c r="ET24" s="27" t="n">
        <v>2276.59</v>
      </c>
      <c r="EU24" s="27" t="n">
        <v>2172.76</v>
      </c>
      <c r="EV24" s="27" t="n">
        <v>2172.56</v>
      </c>
      <c r="EW24" s="27" t="n">
        <v>2295.59</v>
      </c>
      <c r="EX24" s="27" t="n">
        <v>2379.71</v>
      </c>
      <c r="EY24" s="27" t="n">
        <v>2521.21</v>
      </c>
      <c r="EZ24" s="27" t="n">
        <v>2613.47</v>
      </c>
      <c r="FA24" s="27" t="n">
        <v>2660.62</v>
      </c>
      <c r="FB24" s="27" t="n">
        <v>2710.18</v>
      </c>
      <c r="FC24" s="27" t="n">
        <v>3464.62</v>
      </c>
      <c r="FD24" s="27" t="n">
        <v>3716.44</v>
      </c>
      <c r="FE24" s="27" t="n">
        <v>4124.88</v>
      </c>
      <c r="FF24" s="27" t="n">
        <v>4713.85</v>
      </c>
      <c r="FG24" s="27" t="n">
        <v>5594.18</v>
      </c>
      <c r="FH24" s="27" t="n">
        <v>6023.68</v>
      </c>
      <c r="FI24" s="27" t="n">
        <v>6366.76</v>
      </c>
      <c r="FJ24" s="27" t="n">
        <v>6500.82</v>
      </c>
      <c r="FK24" s="27" t="n">
        <v>6842.09</v>
      </c>
      <c r="FL24" s="27" t="n">
        <v>7051.15</v>
      </c>
      <c r="FM24" s="27" t="n">
        <v>7346.53</v>
      </c>
      <c r="FN24" s="27" t="n">
        <v>7544.41</v>
      </c>
      <c r="FO24" s="27" t="n">
        <v>8357.32</v>
      </c>
      <c r="FP24" s="27" t="n">
        <v>8900</v>
      </c>
      <c r="FQ24" s="27" t="n">
        <v>9653</v>
      </c>
      <c r="FR24" s="27" t="n">
        <v>9667.65</v>
      </c>
      <c r="FS24" s="27" t="n">
        <v>9726.5</v>
      </c>
      <c r="FT24" s="27" t="n">
        <v>9726.530000000001</v>
      </c>
      <c r="FU24" s="27" t="n">
        <v>9726.5</v>
      </c>
      <c r="FV24" s="27" t="n">
        <v>9723.559999999999</v>
      </c>
      <c r="FW24" s="27" t="n">
        <v>9720.620000000001</v>
      </c>
      <c r="FX24" s="27" t="n">
        <v>9644.15</v>
      </c>
      <c r="FY24" s="27" t="n">
        <v>9616.120000000001</v>
      </c>
      <c r="FZ24" s="27" t="n">
        <v>9543.209999999999</v>
      </c>
      <c r="GA24" s="27" t="n">
        <v>9466.15</v>
      </c>
      <c r="GB24" s="27" t="n">
        <v>9286.91</v>
      </c>
      <c r="GC24" s="27" t="n">
        <v>9194.65</v>
      </c>
      <c r="GD24" s="27" t="n">
        <v>9135.440000000001</v>
      </c>
      <c r="GE24" s="27" t="n">
        <v>8861.82</v>
      </c>
      <c r="GF24" s="27" t="n">
        <v>8841.209999999999</v>
      </c>
      <c r="GG24" s="27" t="n">
        <v>8795.709999999999</v>
      </c>
      <c r="GH24" s="27" t="n">
        <v>8676.559999999999</v>
      </c>
      <c r="GI24" s="27" t="n">
        <v>8411.85</v>
      </c>
      <c r="GJ24" s="27" t="n">
        <v>8291.15</v>
      </c>
      <c r="GK24" s="27" t="n">
        <v>8220.709999999999</v>
      </c>
      <c r="GL24" s="27" t="n">
        <v>8188.44</v>
      </c>
    </row>
    <row r="25">
      <c r="A25" s="6" t="inlineStr">
        <is>
          <t>GDAM|10</t>
        </is>
      </c>
      <c r="B25" s="2" t="n">
        <v>31</v>
      </c>
      <c r="C25" s="27" t="n">
        <v>3592.71</v>
      </c>
      <c r="D25" s="27" t="n">
        <v>3590.29</v>
      </c>
      <c r="E25" s="27" t="n">
        <v>3568.45</v>
      </c>
      <c r="F25" s="27" t="n">
        <v>3561.06</v>
      </c>
      <c r="G25" s="27" t="n">
        <v>3516.29</v>
      </c>
      <c r="H25" s="27" t="n">
        <v>3510.52</v>
      </c>
      <c r="I25" s="27" t="n">
        <v>3496.29</v>
      </c>
      <c r="J25" s="27" t="n">
        <v>3482.42</v>
      </c>
      <c r="K25" s="27" t="n">
        <v>3513.29</v>
      </c>
      <c r="L25" s="27" t="n">
        <v>3517.74</v>
      </c>
      <c r="M25" s="27" t="n">
        <v>3495.45</v>
      </c>
      <c r="N25" s="27" t="n">
        <v>3482.48</v>
      </c>
      <c r="O25" s="27" t="n">
        <v>3463.19</v>
      </c>
      <c r="P25" s="27" t="n">
        <v>3447.1</v>
      </c>
      <c r="Q25" s="27" t="n">
        <v>3450.9</v>
      </c>
      <c r="R25" s="27" t="n">
        <v>3448.48</v>
      </c>
      <c r="S25" s="27" t="n">
        <v>3433.13</v>
      </c>
      <c r="T25" s="27" t="n">
        <v>3438.13</v>
      </c>
      <c r="U25" s="27" t="n">
        <v>3446.71</v>
      </c>
      <c r="V25" s="27" t="n">
        <v>3451.71</v>
      </c>
      <c r="W25" s="27" t="n">
        <v>3298.58</v>
      </c>
      <c r="X25" s="27" t="n">
        <v>3332.77</v>
      </c>
      <c r="Y25" s="27" t="n">
        <v>3404</v>
      </c>
      <c r="Z25" s="27" t="n">
        <v>3409.65</v>
      </c>
      <c r="AA25" s="27" t="n">
        <v>4031.71</v>
      </c>
      <c r="AB25" s="27" t="n">
        <v>4160.03</v>
      </c>
      <c r="AC25" s="27" t="n">
        <v>4182.52</v>
      </c>
      <c r="AD25" s="27" t="n">
        <v>4112.58</v>
      </c>
      <c r="AE25" s="27" t="n">
        <v>4135.03</v>
      </c>
      <c r="AF25" s="27" t="n">
        <v>3767.61</v>
      </c>
      <c r="AG25" s="27" t="n">
        <v>3144.1</v>
      </c>
      <c r="AH25" s="27" t="n">
        <v>2542.52</v>
      </c>
      <c r="AI25" s="27" t="n">
        <v>2403.29</v>
      </c>
      <c r="AJ25" s="27" t="n">
        <v>2022.16</v>
      </c>
      <c r="AK25" s="27" t="n">
        <v>1693.13</v>
      </c>
      <c r="AL25" s="27" t="n">
        <v>1427.26</v>
      </c>
      <c r="AM25" s="27" t="n">
        <v>1298.32</v>
      </c>
      <c r="AN25" s="27" t="n">
        <v>1226.81</v>
      </c>
      <c r="AO25" s="27" t="n">
        <v>1196.29</v>
      </c>
      <c r="AP25" s="27" t="n">
        <v>1204.35</v>
      </c>
      <c r="AQ25" s="27" t="n">
        <v>1152.42</v>
      </c>
      <c r="AR25" s="27" t="n">
        <v>1245.71</v>
      </c>
      <c r="AS25" s="27" t="n">
        <v>1281.39</v>
      </c>
      <c r="AT25" s="27" t="n">
        <v>1252.29</v>
      </c>
      <c r="AU25" s="27" t="n">
        <v>1254.16</v>
      </c>
      <c r="AV25" s="27" t="n">
        <v>1249.06</v>
      </c>
      <c r="AW25" s="27" t="n">
        <v>1227.06</v>
      </c>
      <c r="AX25" s="27" t="n">
        <v>1219.68</v>
      </c>
      <c r="AY25" s="27" t="n">
        <v>1196.48</v>
      </c>
      <c r="AZ25" s="27" t="n">
        <v>1204.26</v>
      </c>
      <c r="BA25" s="27" t="n">
        <v>1185.58</v>
      </c>
      <c r="BB25" s="27" t="n">
        <v>1183.13</v>
      </c>
      <c r="BC25" s="27" t="n">
        <v>1056.61</v>
      </c>
      <c r="BD25" s="27" t="n">
        <v>1051.84</v>
      </c>
      <c r="BE25" s="27" t="n">
        <v>1173.55</v>
      </c>
      <c r="BF25" s="27" t="n">
        <v>1205.81</v>
      </c>
      <c r="BG25" s="27" t="n">
        <v>1378.39</v>
      </c>
      <c r="BH25" s="27" t="n">
        <v>1436.74</v>
      </c>
      <c r="BI25" s="27" t="n">
        <v>1471.71</v>
      </c>
      <c r="BJ25" s="27" t="n">
        <v>1512.71</v>
      </c>
      <c r="BK25" s="27" t="n">
        <v>1689.35</v>
      </c>
      <c r="BL25" s="27" t="n">
        <v>1746.84</v>
      </c>
      <c r="BM25" s="27" t="n">
        <v>1840.9</v>
      </c>
      <c r="BN25" s="27" t="n">
        <v>1973</v>
      </c>
      <c r="BO25" s="27" t="n">
        <v>2128.16</v>
      </c>
      <c r="BP25" s="27" t="n">
        <v>2201.94</v>
      </c>
      <c r="BQ25" s="27" t="n">
        <v>2354.71</v>
      </c>
      <c r="BR25" s="27" t="n">
        <v>2679.61</v>
      </c>
      <c r="BS25" s="27" t="n">
        <v>2900.35</v>
      </c>
      <c r="BT25" s="27" t="n">
        <v>3368</v>
      </c>
      <c r="BU25" s="27" t="n">
        <v>4063.97</v>
      </c>
      <c r="BV25" s="27" t="n">
        <v>5142.9</v>
      </c>
      <c r="BW25" s="27" t="n">
        <v>6619.97</v>
      </c>
      <c r="BX25" s="27" t="n">
        <v>7290.26</v>
      </c>
      <c r="BY25" s="27" t="n">
        <v>7459.87</v>
      </c>
      <c r="BZ25" s="27" t="n">
        <v>7504.68</v>
      </c>
      <c r="CA25" s="27" t="n">
        <v>7636.48</v>
      </c>
      <c r="CB25" s="27" t="n">
        <v>7667.87</v>
      </c>
      <c r="CC25" s="27" t="n">
        <v>7139.42</v>
      </c>
      <c r="CD25" s="27" t="n">
        <v>6532.32</v>
      </c>
      <c r="CE25" s="27" t="n">
        <v>5975.13</v>
      </c>
      <c r="CF25" s="27" t="n">
        <v>5459.87</v>
      </c>
      <c r="CG25" s="27" t="n">
        <v>5117.9</v>
      </c>
      <c r="CH25" s="27" t="n">
        <v>5103.1</v>
      </c>
      <c r="CI25" s="27" t="n">
        <v>5226.65</v>
      </c>
      <c r="CJ25" s="27" t="n">
        <v>4881.45</v>
      </c>
      <c r="CK25" s="27" t="n">
        <v>4781</v>
      </c>
      <c r="CL25" s="27" t="n">
        <v>4765.26</v>
      </c>
      <c r="CM25" s="27" t="n">
        <v>4076.87</v>
      </c>
      <c r="CN25" s="27" t="n">
        <v>4046.19</v>
      </c>
      <c r="CO25" s="27" t="n">
        <v>3980.13</v>
      </c>
      <c r="CP25" s="27" t="n">
        <v>3985.13</v>
      </c>
      <c r="CQ25" s="27" t="n">
        <v>3964.39</v>
      </c>
      <c r="CR25" s="27" t="n">
        <v>3851.81</v>
      </c>
      <c r="CS25" s="27" t="n">
        <v>3837.39</v>
      </c>
      <c r="CT25" s="27" t="n">
        <v>3835.32</v>
      </c>
      <c r="CU25" s="27" t="n">
        <v>3592.71</v>
      </c>
      <c r="CV25" s="27" t="n">
        <v>3590.29</v>
      </c>
      <c r="CW25" s="27" t="n">
        <v>3568.45</v>
      </c>
      <c r="CX25" s="27" t="n">
        <v>3561.06</v>
      </c>
      <c r="CY25" s="27" t="n">
        <v>3516.29</v>
      </c>
      <c r="CZ25" s="27" t="n">
        <v>3510.52</v>
      </c>
      <c r="DA25" s="27" t="n">
        <v>3496.29</v>
      </c>
      <c r="DB25" s="27" t="n">
        <v>3482.42</v>
      </c>
      <c r="DC25" s="27" t="n">
        <v>3513.29</v>
      </c>
      <c r="DD25" s="27" t="n">
        <v>3517.74</v>
      </c>
      <c r="DE25" s="27" t="n">
        <v>3495.45</v>
      </c>
      <c r="DF25" s="27" t="n">
        <v>3482.48</v>
      </c>
      <c r="DG25" s="27" t="n">
        <v>3463.19</v>
      </c>
      <c r="DH25" s="27" t="n">
        <v>3447.1</v>
      </c>
      <c r="DI25" s="27" t="n">
        <v>3450.9</v>
      </c>
      <c r="DJ25" s="27" t="n">
        <v>3448.48</v>
      </c>
      <c r="DK25" s="27" t="n">
        <v>3433.13</v>
      </c>
      <c r="DL25" s="27" t="n">
        <v>3438.13</v>
      </c>
      <c r="DM25" s="27" t="n">
        <v>3446.71</v>
      </c>
      <c r="DN25" s="27" t="n">
        <v>3451.71</v>
      </c>
      <c r="DO25" s="27" t="n">
        <v>3298.58</v>
      </c>
      <c r="DP25" s="27" t="n">
        <v>3332.77</v>
      </c>
      <c r="DQ25" s="27" t="n">
        <v>3404</v>
      </c>
      <c r="DR25" s="27" t="n">
        <v>3409.65</v>
      </c>
      <c r="DS25" s="27" t="n">
        <v>4031.71</v>
      </c>
      <c r="DT25" s="27" t="n">
        <v>4160.03</v>
      </c>
      <c r="DU25" s="27" t="n">
        <v>4182.52</v>
      </c>
      <c r="DV25" s="27" t="n">
        <v>4112.58</v>
      </c>
      <c r="DW25" s="27" t="n">
        <v>4135.03</v>
      </c>
      <c r="DX25" s="27" t="n">
        <v>3767.61</v>
      </c>
      <c r="DY25" s="27" t="n">
        <v>3144.1</v>
      </c>
      <c r="DZ25" s="27" t="n">
        <v>2542.52</v>
      </c>
      <c r="EA25" s="27" t="n">
        <v>2403.29</v>
      </c>
      <c r="EB25" s="27" t="n">
        <v>2022.16</v>
      </c>
      <c r="EC25" s="27" t="n">
        <v>1693.13</v>
      </c>
      <c r="ED25" s="27" t="n">
        <v>1427.26</v>
      </c>
      <c r="EE25" s="27" t="n">
        <v>1298.32</v>
      </c>
      <c r="EF25" s="27" t="n">
        <v>1226.81</v>
      </c>
      <c r="EG25" s="27" t="n">
        <v>1196.29</v>
      </c>
      <c r="EH25" s="27" t="n">
        <v>1204.35</v>
      </c>
      <c r="EI25" s="27" t="n">
        <v>1152.42</v>
      </c>
      <c r="EJ25" s="27" t="n">
        <v>1245.71</v>
      </c>
      <c r="EK25" s="27" t="n">
        <v>1281.39</v>
      </c>
      <c r="EL25" s="27" t="n">
        <v>1252.29</v>
      </c>
      <c r="EM25" s="27" t="n">
        <v>1254.16</v>
      </c>
      <c r="EN25" s="27" t="n">
        <v>1249.06</v>
      </c>
      <c r="EO25" s="27" t="n">
        <v>1227.06</v>
      </c>
      <c r="EP25" s="27" t="n">
        <v>1219.68</v>
      </c>
      <c r="EQ25" s="27" t="n">
        <v>1196.48</v>
      </c>
      <c r="ER25" s="27" t="n">
        <v>1204.26</v>
      </c>
      <c r="ES25" s="27" t="n">
        <v>1185.58</v>
      </c>
      <c r="ET25" s="27" t="n">
        <v>1183.13</v>
      </c>
      <c r="EU25" s="27" t="n">
        <v>1056.61</v>
      </c>
      <c r="EV25" s="27" t="n">
        <v>1051.84</v>
      </c>
      <c r="EW25" s="27" t="n">
        <v>1173.55</v>
      </c>
      <c r="EX25" s="27" t="n">
        <v>1205.81</v>
      </c>
      <c r="EY25" s="27" t="n">
        <v>1378.39</v>
      </c>
      <c r="EZ25" s="27" t="n">
        <v>1436.74</v>
      </c>
      <c r="FA25" s="27" t="n">
        <v>1471.71</v>
      </c>
      <c r="FB25" s="27" t="n">
        <v>1512.71</v>
      </c>
      <c r="FC25" s="27" t="n">
        <v>1689.35</v>
      </c>
      <c r="FD25" s="27" t="n">
        <v>1746.84</v>
      </c>
      <c r="FE25" s="27" t="n">
        <v>1840.9</v>
      </c>
      <c r="FF25" s="27" t="n">
        <v>1973</v>
      </c>
      <c r="FG25" s="27" t="n">
        <v>2128.16</v>
      </c>
      <c r="FH25" s="27" t="n">
        <v>2201.94</v>
      </c>
      <c r="FI25" s="27" t="n">
        <v>2354.71</v>
      </c>
      <c r="FJ25" s="27" t="n">
        <v>2679.61</v>
      </c>
      <c r="FK25" s="27" t="n">
        <v>2900.35</v>
      </c>
      <c r="FL25" s="27" t="n">
        <v>3368</v>
      </c>
      <c r="FM25" s="27" t="n">
        <v>4063.97</v>
      </c>
      <c r="FN25" s="27" t="n">
        <v>5142.9</v>
      </c>
      <c r="FO25" s="27" t="n">
        <v>6619.97</v>
      </c>
      <c r="FP25" s="27" t="n">
        <v>7290.26</v>
      </c>
      <c r="FQ25" s="27" t="n">
        <v>7459.87</v>
      </c>
      <c r="FR25" s="27" t="n">
        <v>7504.68</v>
      </c>
      <c r="FS25" s="27" t="n">
        <v>7636.48</v>
      </c>
      <c r="FT25" s="27" t="n">
        <v>7667.87</v>
      </c>
      <c r="FU25" s="27" t="n">
        <v>7139.42</v>
      </c>
      <c r="FV25" s="27" t="n">
        <v>6532.32</v>
      </c>
      <c r="FW25" s="27" t="n">
        <v>5975.13</v>
      </c>
      <c r="FX25" s="27" t="n">
        <v>5459.87</v>
      </c>
      <c r="FY25" s="27" t="n">
        <v>5117.9</v>
      </c>
      <c r="FZ25" s="27" t="n">
        <v>5103.1</v>
      </c>
      <c r="GA25" s="27" t="n">
        <v>5226.65</v>
      </c>
      <c r="GB25" s="27" t="n">
        <v>4881.45</v>
      </c>
      <c r="GC25" s="27" t="n">
        <v>4781</v>
      </c>
      <c r="GD25" s="27" t="n">
        <v>4765.26</v>
      </c>
      <c r="GE25" s="27" t="n">
        <v>4076.87</v>
      </c>
      <c r="GF25" s="27" t="n">
        <v>4046.19</v>
      </c>
      <c r="GG25" s="27" t="n">
        <v>3980.13</v>
      </c>
      <c r="GH25" s="27" t="n">
        <v>3985.13</v>
      </c>
      <c r="GI25" s="27" t="n">
        <v>3964.39</v>
      </c>
      <c r="GJ25" s="27" t="n">
        <v>3851.81</v>
      </c>
      <c r="GK25" s="27" t="n">
        <v>3837.39</v>
      </c>
      <c r="GL25" s="27" t="n">
        <v>3835.32</v>
      </c>
    </row>
    <row r="26">
      <c r="A26" s="6" t="inlineStr">
        <is>
          <t>GDAM|11</t>
        </is>
      </c>
      <c r="B26" s="2" t="n">
        <v>30</v>
      </c>
      <c r="C26" s="27" t="n">
        <v>3643.33</v>
      </c>
      <c r="D26" s="27" t="n">
        <v>3645.07</v>
      </c>
      <c r="E26" s="27" t="n">
        <v>3641.97</v>
      </c>
      <c r="F26" s="27" t="n">
        <v>3641.1</v>
      </c>
      <c r="G26" s="27" t="n">
        <v>3637.43</v>
      </c>
      <c r="H26" s="27" t="n">
        <v>3634.93</v>
      </c>
      <c r="I26" s="27" t="n">
        <v>3634.87</v>
      </c>
      <c r="J26" s="27" t="n">
        <v>3634.3</v>
      </c>
      <c r="K26" s="27" t="n">
        <v>3672.8</v>
      </c>
      <c r="L26" s="27" t="n">
        <v>3672.77</v>
      </c>
      <c r="M26" s="27" t="n">
        <v>3675.77</v>
      </c>
      <c r="N26" s="27" t="n">
        <v>3675.87</v>
      </c>
      <c r="O26" s="27" t="n">
        <v>3654.17</v>
      </c>
      <c r="P26" s="27" t="n">
        <v>3674</v>
      </c>
      <c r="Q26" s="27" t="n">
        <v>3675.87</v>
      </c>
      <c r="R26" s="27" t="n">
        <v>3676.9</v>
      </c>
      <c r="S26" s="27" t="n">
        <v>3712.03</v>
      </c>
      <c r="T26" s="27" t="n">
        <v>3712.3</v>
      </c>
      <c r="U26" s="27" t="n">
        <v>3709.43</v>
      </c>
      <c r="V26" s="27" t="n">
        <v>3720.3</v>
      </c>
      <c r="W26" s="27" t="n">
        <v>3651.77</v>
      </c>
      <c r="X26" s="27" t="n">
        <v>3659.47</v>
      </c>
      <c r="Y26" s="27" t="n">
        <v>3645.63</v>
      </c>
      <c r="Z26" s="27" t="n">
        <v>3641.23</v>
      </c>
      <c r="AA26" s="27" t="n">
        <v>4269.03</v>
      </c>
      <c r="AB26" s="27" t="n">
        <v>4268.93</v>
      </c>
      <c r="AC26" s="27" t="n">
        <v>4372.3</v>
      </c>
      <c r="AD26" s="27" t="n">
        <v>4521.27</v>
      </c>
      <c r="AE26" s="27" t="n">
        <v>4726.2</v>
      </c>
      <c r="AF26" s="27" t="n">
        <v>4563.83</v>
      </c>
      <c r="AG26" s="27" t="n">
        <v>4236.17</v>
      </c>
      <c r="AH26" s="27" t="n">
        <v>3836.87</v>
      </c>
      <c r="AI26" s="27" t="n">
        <v>3712.43</v>
      </c>
      <c r="AJ26" s="27" t="n">
        <v>3430.23</v>
      </c>
      <c r="AK26" s="27" t="n">
        <v>3096.63</v>
      </c>
      <c r="AL26" s="27" t="n">
        <v>2680.57</v>
      </c>
      <c r="AM26" s="27" t="n">
        <v>2579.27</v>
      </c>
      <c r="AN26" s="27" t="n">
        <v>2480.47</v>
      </c>
      <c r="AO26" s="27" t="n">
        <v>2151.13</v>
      </c>
      <c r="AP26" s="27" t="n">
        <v>2038.37</v>
      </c>
      <c r="AQ26" s="27" t="n">
        <v>1858</v>
      </c>
      <c r="AR26" s="27" t="n">
        <v>1915.03</v>
      </c>
      <c r="AS26" s="27" t="n">
        <v>1944.63</v>
      </c>
      <c r="AT26" s="27" t="n">
        <v>1909.43</v>
      </c>
      <c r="AU26" s="27" t="n">
        <v>1855.4</v>
      </c>
      <c r="AV26" s="27" t="n">
        <v>1814.9</v>
      </c>
      <c r="AW26" s="27" t="n">
        <v>1787.83</v>
      </c>
      <c r="AX26" s="27" t="n">
        <v>1790.1</v>
      </c>
      <c r="AY26" s="27" t="n">
        <v>1754.77</v>
      </c>
      <c r="AZ26" s="27" t="n">
        <v>1743.67</v>
      </c>
      <c r="BA26" s="27" t="n">
        <v>1700.1</v>
      </c>
      <c r="BB26" s="27" t="n">
        <v>1674.97</v>
      </c>
      <c r="BC26" s="27" t="n">
        <v>1576.53</v>
      </c>
      <c r="BD26" s="27" t="n">
        <v>1561.07</v>
      </c>
      <c r="BE26" s="27" t="n">
        <v>1624.43</v>
      </c>
      <c r="BF26" s="27" t="n">
        <v>1709</v>
      </c>
      <c r="BG26" s="27" t="n">
        <v>1835.23</v>
      </c>
      <c r="BH26" s="27" t="n">
        <v>1864.83</v>
      </c>
      <c r="BI26" s="27" t="n">
        <v>1903.5</v>
      </c>
      <c r="BJ26" s="27" t="n">
        <v>1999.57</v>
      </c>
      <c r="BK26" s="27" t="n">
        <v>2193.2</v>
      </c>
      <c r="BL26" s="27" t="n">
        <v>2343.53</v>
      </c>
      <c r="BM26" s="27" t="n">
        <v>2601.23</v>
      </c>
      <c r="BN26" s="27" t="n">
        <v>2842.07</v>
      </c>
      <c r="BO26" s="27" t="n">
        <v>2923.03</v>
      </c>
      <c r="BP26" s="27" t="n">
        <v>3275</v>
      </c>
      <c r="BQ26" s="27" t="n">
        <v>3632.47</v>
      </c>
      <c r="BR26" s="27" t="n">
        <v>4332.03</v>
      </c>
      <c r="BS26" s="27" t="n">
        <v>5056.67</v>
      </c>
      <c r="BT26" s="27" t="n">
        <v>6402.7</v>
      </c>
      <c r="BU26" s="27" t="n">
        <v>8964.93</v>
      </c>
      <c r="BV26" s="27" t="n">
        <v>9080.17</v>
      </c>
      <c r="BW26" s="27" t="n">
        <v>9170.07</v>
      </c>
      <c r="BX26" s="27" t="n">
        <v>9176.07</v>
      </c>
      <c r="BY26" s="27" t="n">
        <v>9170.700000000001</v>
      </c>
      <c r="BZ26" s="27" t="n">
        <v>9156.67</v>
      </c>
      <c r="CA26" s="27" t="n">
        <v>8159.7</v>
      </c>
      <c r="CB26" s="27" t="n">
        <v>7447.9</v>
      </c>
      <c r="CC26" s="27" t="n">
        <v>6564.57</v>
      </c>
      <c r="CD26" s="27" t="n">
        <v>6465.87</v>
      </c>
      <c r="CE26" s="27" t="n">
        <v>6043.67</v>
      </c>
      <c r="CF26" s="27" t="n">
        <v>5212.1</v>
      </c>
      <c r="CG26" s="27" t="n">
        <v>5297.3</v>
      </c>
      <c r="CH26" s="27" t="n">
        <v>5255.13</v>
      </c>
      <c r="CI26" s="27" t="n">
        <v>5268.5</v>
      </c>
      <c r="CJ26" s="27" t="n">
        <v>5026.2</v>
      </c>
      <c r="CK26" s="27" t="n">
        <v>5007.43</v>
      </c>
      <c r="CL26" s="27" t="n">
        <v>5005.83</v>
      </c>
      <c r="CM26" s="27" t="n">
        <v>3935.83</v>
      </c>
      <c r="CN26" s="27" t="n">
        <v>3928.1</v>
      </c>
      <c r="CO26" s="27" t="n">
        <v>3926.77</v>
      </c>
      <c r="CP26" s="27" t="n">
        <v>3923.5</v>
      </c>
      <c r="CQ26" s="27" t="n">
        <v>3854.33</v>
      </c>
      <c r="CR26" s="27" t="n">
        <v>3836.5</v>
      </c>
      <c r="CS26" s="27" t="n">
        <v>3834.8</v>
      </c>
      <c r="CT26" s="27" t="n">
        <v>3845.5</v>
      </c>
      <c r="CU26" s="27" t="n">
        <v>3643.33</v>
      </c>
      <c r="CV26" s="27" t="n">
        <v>3645.07</v>
      </c>
      <c r="CW26" s="27" t="n">
        <v>3641.97</v>
      </c>
      <c r="CX26" s="27" t="n">
        <v>3641.1</v>
      </c>
      <c r="CY26" s="27" t="n">
        <v>3637.43</v>
      </c>
      <c r="CZ26" s="27" t="n">
        <v>3634.93</v>
      </c>
      <c r="DA26" s="27" t="n">
        <v>3634.87</v>
      </c>
      <c r="DB26" s="27" t="n">
        <v>3634.3</v>
      </c>
      <c r="DC26" s="27" t="n">
        <v>3672.8</v>
      </c>
      <c r="DD26" s="27" t="n">
        <v>3672.77</v>
      </c>
      <c r="DE26" s="27" t="n">
        <v>3675.77</v>
      </c>
      <c r="DF26" s="27" t="n">
        <v>3675.87</v>
      </c>
      <c r="DG26" s="27" t="n">
        <v>3654.17</v>
      </c>
      <c r="DH26" s="27" t="n">
        <v>3674</v>
      </c>
      <c r="DI26" s="27" t="n">
        <v>3675.87</v>
      </c>
      <c r="DJ26" s="27" t="n">
        <v>3676.9</v>
      </c>
      <c r="DK26" s="27" t="n">
        <v>3712.03</v>
      </c>
      <c r="DL26" s="27" t="n">
        <v>3712.3</v>
      </c>
      <c r="DM26" s="27" t="n">
        <v>3709.43</v>
      </c>
      <c r="DN26" s="27" t="n">
        <v>3720.3</v>
      </c>
      <c r="DO26" s="27" t="n">
        <v>3651.77</v>
      </c>
      <c r="DP26" s="27" t="n">
        <v>3659.47</v>
      </c>
      <c r="DQ26" s="27" t="n">
        <v>3645.63</v>
      </c>
      <c r="DR26" s="27" t="n">
        <v>3641.23</v>
      </c>
      <c r="DS26" s="27" t="n">
        <v>4269.03</v>
      </c>
      <c r="DT26" s="27" t="n">
        <v>4268.93</v>
      </c>
      <c r="DU26" s="27" t="n">
        <v>4372.3</v>
      </c>
      <c r="DV26" s="27" t="n">
        <v>4521.27</v>
      </c>
      <c r="DW26" s="27" t="n">
        <v>4726.2</v>
      </c>
      <c r="DX26" s="27" t="n">
        <v>4563.83</v>
      </c>
      <c r="DY26" s="27" t="n">
        <v>4236.17</v>
      </c>
      <c r="DZ26" s="27" t="n">
        <v>3836.87</v>
      </c>
      <c r="EA26" s="27" t="n">
        <v>3712.43</v>
      </c>
      <c r="EB26" s="27" t="n">
        <v>3430.23</v>
      </c>
      <c r="EC26" s="27" t="n">
        <v>3096.63</v>
      </c>
      <c r="ED26" s="27" t="n">
        <v>2680.57</v>
      </c>
      <c r="EE26" s="27" t="n">
        <v>2579.27</v>
      </c>
      <c r="EF26" s="27" t="n">
        <v>2480.47</v>
      </c>
      <c r="EG26" s="27" t="n">
        <v>2151.13</v>
      </c>
      <c r="EH26" s="27" t="n">
        <v>2038.37</v>
      </c>
      <c r="EI26" s="27" t="n">
        <v>1858</v>
      </c>
      <c r="EJ26" s="27" t="n">
        <v>1915.03</v>
      </c>
      <c r="EK26" s="27" t="n">
        <v>1944.63</v>
      </c>
      <c r="EL26" s="27" t="n">
        <v>1909.43</v>
      </c>
      <c r="EM26" s="27" t="n">
        <v>1855.4</v>
      </c>
      <c r="EN26" s="27" t="n">
        <v>1814.9</v>
      </c>
      <c r="EO26" s="27" t="n">
        <v>1787.83</v>
      </c>
      <c r="EP26" s="27" t="n">
        <v>1790.1</v>
      </c>
      <c r="EQ26" s="27" t="n">
        <v>1754.77</v>
      </c>
      <c r="ER26" s="27" t="n">
        <v>1743.67</v>
      </c>
      <c r="ES26" s="27" t="n">
        <v>1700.1</v>
      </c>
      <c r="ET26" s="27" t="n">
        <v>1674.97</v>
      </c>
      <c r="EU26" s="27" t="n">
        <v>1576.53</v>
      </c>
      <c r="EV26" s="27" t="n">
        <v>1561.07</v>
      </c>
      <c r="EW26" s="27" t="n">
        <v>1624.43</v>
      </c>
      <c r="EX26" s="27" t="n">
        <v>1709</v>
      </c>
      <c r="EY26" s="27" t="n">
        <v>1835.23</v>
      </c>
      <c r="EZ26" s="27" t="n">
        <v>1864.83</v>
      </c>
      <c r="FA26" s="27" t="n">
        <v>1903.5</v>
      </c>
      <c r="FB26" s="27" t="n">
        <v>1999.57</v>
      </c>
      <c r="FC26" s="27" t="n">
        <v>2193.2</v>
      </c>
      <c r="FD26" s="27" t="n">
        <v>2343.53</v>
      </c>
      <c r="FE26" s="27" t="n">
        <v>2601.23</v>
      </c>
      <c r="FF26" s="27" t="n">
        <v>2842.07</v>
      </c>
      <c r="FG26" s="27" t="n">
        <v>2923.03</v>
      </c>
      <c r="FH26" s="27" t="n">
        <v>3275</v>
      </c>
      <c r="FI26" s="27" t="n">
        <v>3632.47</v>
      </c>
      <c r="FJ26" s="27" t="n">
        <v>4332.03</v>
      </c>
      <c r="FK26" s="27" t="n">
        <v>5056.67</v>
      </c>
      <c r="FL26" s="27" t="n">
        <v>6402.7</v>
      </c>
      <c r="FM26" s="27" t="n">
        <v>8964.93</v>
      </c>
      <c r="FN26" s="27" t="n">
        <v>9080.17</v>
      </c>
      <c r="FO26" s="27" t="n">
        <v>9170.07</v>
      </c>
      <c r="FP26" s="27" t="n">
        <v>9176.07</v>
      </c>
      <c r="FQ26" s="27" t="n">
        <v>9170.700000000001</v>
      </c>
      <c r="FR26" s="27" t="n">
        <v>9156.67</v>
      </c>
      <c r="FS26" s="27" t="n">
        <v>8159.7</v>
      </c>
      <c r="FT26" s="27" t="n">
        <v>7447.9</v>
      </c>
      <c r="FU26" s="27" t="n">
        <v>6564.57</v>
      </c>
      <c r="FV26" s="27" t="n">
        <v>6465.87</v>
      </c>
      <c r="FW26" s="27" t="n">
        <v>6043.67</v>
      </c>
      <c r="FX26" s="27" t="n">
        <v>5212.1</v>
      </c>
      <c r="FY26" s="27" t="n">
        <v>5297.3</v>
      </c>
      <c r="FZ26" s="27" t="n">
        <v>5255.13</v>
      </c>
      <c r="GA26" s="27" t="n">
        <v>5268.5</v>
      </c>
      <c r="GB26" s="27" t="n">
        <v>5026.2</v>
      </c>
      <c r="GC26" s="27" t="n">
        <v>5007.43</v>
      </c>
      <c r="GD26" s="27" t="n">
        <v>5005.83</v>
      </c>
      <c r="GE26" s="27" t="n">
        <v>3935.83</v>
      </c>
      <c r="GF26" s="27" t="n">
        <v>3928.1</v>
      </c>
      <c r="GG26" s="27" t="n">
        <v>3926.77</v>
      </c>
      <c r="GH26" s="27" t="n">
        <v>3923.5</v>
      </c>
      <c r="GI26" s="27" t="n">
        <v>3854.33</v>
      </c>
      <c r="GJ26" s="27" t="n">
        <v>3836.5</v>
      </c>
      <c r="GK26" s="27" t="n">
        <v>3834.8</v>
      </c>
      <c r="GL26" s="27" t="n">
        <v>3845.5</v>
      </c>
    </row>
    <row r="27">
      <c r="A27" s="6" t="inlineStr">
        <is>
          <t>GDAM|12</t>
        </is>
      </c>
      <c r="B27" s="2" t="n">
        <v>31</v>
      </c>
      <c r="C27" s="27" t="n">
        <v>3453.1</v>
      </c>
      <c r="D27" s="27" t="n">
        <v>3457.39</v>
      </c>
      <c r="E27" s="27" t="n">
        <v>3457.23</v>
      </c>
      <c r="F27" s="27" t="n">
        <v>3457.23</v>
      </c>
      <c r="G27" s="27" t="n">
        <v>3457.45</v>
      </c>
      <c r="H27" s="27" t="n">
        <v>3454.55</v>
      </c>
      <c r="I27" s="27" t="n">
        <v>3455.42</v>
      </c>
      <c r="J27" s="27" t="n">
        <v>3451.48</v>
      </c>
      <c r="K27" s="27" t="n">
        <v>3516.81</v>
      </c>
      <c r="L27" s="27" t="n">
        <v>3514.48</v>
      </c>
      <c r="M27" s="27" t="n">
        <v>3512.74</v>
      </c>
      <c r="N27" s="27" t="n">
        <v>3512.71</v>
      </c>
      <c r="O27" s="27" t="n">
        <v>3502.23</v>
      </c>
      <c r="P27" s="27" t="n">
        <v>3499.06</v>
      </c>
      <c r="Q27" s="27" t="n">
        <v>3501.32</v>
      </c>
      <c r="R27" s="27" t="n">
        <v>3501.23</v>
      </c>
      <c r="S27" s="27" t="n">
        <v>3580.77</v>
      </c>
      <c r="T27" s="27" t="n">
        <v>3551.9</v>
      </c>
      <c r="U27" s="27" t="n">
        <v>3550.29</v>
      </c>
      <c r="V27" s="27" t="n">
        <v>3556.61</v>
      </c>
      <c r="W27" s="27" t="n">
        <v>3569.97</v>
      </c>
      <c r="X27" s="27" t="n">
        <v>3575.06</v>
      </c>
      <c r="Y27" s="27" t="n">
        <v>3590.52</v>
      </c>
      <c r="Z27" s="27" t="n">
        <v>3638.65</v>
      </c>
      <c r="AA27" s="27" t="n">
        <v>4358.81</v>
      </c>
      <c r="AB27" s="27" t="n">
        <v>4449.45</v>
      </c>
      <c r="AC27" s="27" t="n">
        <v>4568.68</v>
      </c>
      <c r="AD27" s="27" t="n">
        <v>5138.52</v>
      </c>
      <c r="AE27" s="27" t="n">
        <v>6442.1</v>
      </c>
      <c r="AF27" s="27" t="n">
        <v>6841.26</v>
      </c>
      <c r="AG27" s="27" t="n">
        <v>6693.16</v>
      </c>
      <c r="AH27" s="27" t="n">
        <v>6410.71</v>
      </c>
      <c r="AI27" s="27" t="n">
        <v>5887.77</v>
      </c>
      <c r="AJ27" s="27" t="n">
        <v>5421.29</v>
      </c>
      <c r="AK27" s="27" t="n">
        <v>5037.87</v>
      </c>
      <c r="AL27" s="27" t="n">
        <v>4493.26</v>
      </c>
      <c r="AM27" s="27" t="n">
        <v>4093.1</v>
      </c>
      <c r="AN27" s="27" t="n">
        <v>3975.65</v>
      </c>
      <c r="AO27" s="27" t="n">
        <v>3576.45</v>
      </c>
      <c r="AP27" s="27" t="n">
        <v>3511.81</v>
      </c>
      <c r="AQ27" s="27" t="n">
        <v>3325.48</v>
      </c>
      <c r="AR27" s="27" t="n">
        <v>3345.19</v>
      </c>
      <c r="AS27" s="27" t="n">
        <v>3288.77</v>
      </c>
      <c r="AT27" s="27" t="n">
        <v>3213.1</v>
      </c>
      <c r="AU27" s="27" t="n">
        <v>3147</v>
      </c>
      <c r="AV27" s="27" t="n">
        <v>3118.9</v>
      </c>
      <c r="AW27" s="27" t="n">
        <v>3139.45</v>
      </c>
      <c r="AX27" s="27" t="n">
        <v>3075.39</v>
      </c>
      <c r="AY27" s="27" t="n">
        <v>2945.71</v>
      </c>
      <c r="AZ27" s="27" t="n">
        <v>2905.58</v>
      </c>
      <c r="BA27" s="27" t="n">
        <v>2884.65</v>
      </c>
      <c r="BB27" s="27" t="n">
        <v>2778.13</v>
      </c>
      <c r="BC27" s="27" t="n">
        <v>2577.32</v>
      </c>
      <c r="BD27" s="27" t="n">
        <v>2535.35</v>
      </c>
      <c r="BE27" s="27" t="n">
        <v>2575.9</v>
      </c>
      <c r="BF27" s="27" t="n">
        <v>2593.84</v>
      </c>
      <c r="BG27" s="27" t="n">
        <v>2769.52</v>
      </c>
      <c r="BH27" s="27" t="n">
        <v>2805.48</v>
      </c>
      <c r="BI27" s="27" t="n">
        <v>2864.19</v>
      </c>
      <c r="BJ27" s="27" t="n">
        <v>3037.81</v>
      </c>
      <c r="BK27" s="27" t="n">
        <v>3174.58</v>
      </c>
      <c r="BL27" s="27" t="n">
        <v>3320.65</v>
      </c>
      <c r="BM27" s="27" t="n">
        <v>3482</v>
      </c>
      <c r="BN27" s="27" t="n">
        <v>3652.52</v>
      </c>
      <c r="BO27" s="27" t="n">
        <v>3607.29</v>
      </c>
      <c r="BP27" s="27" t="n">
        <v>3968.61</v>
      </c>
      <c r="BQ27" s="27" t="n">
        <v>4358</v>
      </c>
      <c r="BR27" s="27" t="n">
        <v>5350.77</v>
      </c>
      <c r="BS27" s="27" t="n">
        <v>8486.74</v>
      </c>
      <c r="BT27" s="27" t="n">
        <v>9298.940000000001</v>
      </c>
      <c r="BU27" s="27" t="n">
        <v>9450.190000000001</v>
      </c>
      <c r="BV27" s="27" t="n">
        <v>9456.610000000001</v>
      </c>
      <c r="BW27" s="27" t="n">
        <v>9532.290000000001</v>
      </c>
      <c r="BX27" s="27" t="n">
        <v>9532.290000000001</v>
      </c>
      <c r="BY27" s="27" t="n">
        <v>9419.389999999999</v>
      </c>
      <c r="BZ27" s="27" t="n">
        <v>9380.48</v>
      </c>
      <c r="CA27" s="27" t="n">
        <v>9293.35</v>
      </c>
      <c r="CB27" s="27" t="n">
        <v>7201.23</v>
      </c>
      <c r="CC27" s="27" t="n">
        <v>6698.39</v>
      </c>
      <c r="CD27" s="27" t="n">
        <v>5551.16</v>
      </c>
      <c r="CE27" s="27" t="n">
        <v>5352.84</v>
      </c>
      <c r="CF27" s="27" t="n">
        <v>5238.42</v>
      </c>
      <c r="CG27" s="27" t="n">
        <v>5091.9</v>
      </c>
      <c r="CH27" s="27" t="n">
        <v>5051.61</v>
      </c>
      <c r="CI27" s="27" t="n">
        <v>4987.13</v>
      </c>
      <c r="CJ27" s="27" t="n">
        <v>4898</v>
      </c>
      <c r="CK27" s="27" t="n">
        <v>4896.9</v>
      </c>
      <c r="CL27" s="27" t="n">
        <v>4896.94</v>
      </c>
      <c r="CM27" s="27" t="n">
        <v>3918.1</v>
      </c>
      <c r="CN27" s="27" t="n">
        <v>3864.97</v>
      </c>
      <c r="CO27" s="27" t="n">
        <v>3838.26</v>
      </c>
      <c r="CP27" s="27" t="n">
        <v>3697.9</v>
      </c>
      <c r="CQ27" s="27" t="n">
        <v>3581.71</v>
      </c>
      <c r="CR27" s="27" t="n">
        <v>3543.77</v>
      </c>
      <c r="CS27" s="27" t="n">
        <v>3546.06</v>
      </c>
      <c r="CT27" s="27" t="n">
        <v>3542.9</v>
      </c>
      <c r="CU27" s="27" t="n">
        <v>3453.1</v>
      </c>
      <c r="CV27" s="27" t="n">
        <v>3457.39</v>
      </c>
      <c r="CW27" s="27" t="n">
        <v>3457.23</v>
      </c>
      <c r="CX27" s="27" t="n">
        <v>3457.23</v>
      </c>
      <c r="CY27" s="27" t="n">
        <v>3457.45</v>
      </c>
      <c r="CZ27" s="27" t="n">
        <v>3454.55</v>
      </c>
      <c r="DA27" s="27" t="n">
        <v>3455.42</v>
      </c>
      <c r="DB27" s="27" t="n">
        <v>3451.48</v>
      </c>
      <c r="DC27" s="27" t="n">
        <v>3516.81</v>
      </c>
      <c r="DD27" s="27" t="n">
        <v>3514.48</v>
      </c>
      <c r="DE27" s="27" t="n">
        <v>3512.74</v>
      </c>
      <c r="DF27" s="27" t="n">
        <v>3512.71</v>
      </c>
      <c r="DG27" s="27" t="n">
        <v>3502.23</v>
      </c>
      <c r="DH27" s="27" t="n">
        <v>3499.06</v>
      </c>
      <c r="DI27" s="27" t="n">
        <v>3501.32</v>
      </c>
      <c r="DJ27" s="27" t="n">
        <v>3501.23</v>
      </c>
      <c r="DK27" s="27" t="n">
        <v>3580.77</v>
      </c>
      <c r="DL27" s="27" t="n">
        <v>3551.9</v>
      </c>
      <c r="DM27" s="27" t="n">
        <v>3550.29</v>
      </c>
      <c r="DN27" s="27" t="n">
        <v>3556.61</v>
      </c>
      <c r="DO27" s="27" t="n">
        <v>3569.97</v>
      </c>
      <c r="DP27" s="27" t="n">
        <v>3575.06</v>
      </c>
      <c r="DQ27" s="27" t="n">
        <v>3590.52</v>
      </c>
      <c r="DR27" s="27" t="n">
        <v>3638.65</v>
      </c>
      <c r="DS27" s="27" t="n">
        <v>4358.81</v>
      </c>
      <c r="DT27" s="27" t="n">
        <v>4449.45</v>
      </c>
      <c r="DU27" s="27" t="n">
        <v>4568.68</v>
      </c>
      <c r="DV27" s="27" t="n">
        <v>5138.52</v>
      </c>
      <c r="DW27" s="27" t="n">
        <v>6442.1</v>
      </c>
      <c r="DX27" s="27" t="n">
        <v>6841.26</v>
      </c>
      <c r="DY27" s="27" t="n">
        <v>6693.16</v>
      </c>
      <c r="DZ27" s="27" t="n">
        <v>6410.71</v>
      </c>
      <c r="EA27" s="27" t="n">
        <v>5887.77</v>
      </c>
      <c r="EB27" s="27" t="n">
        <v>5421.29</v>
      </c>
      <c r="EC27" s="27" t="n">
        <v>5037.87</v>
      </c>
      <c r="ED27" s="27" t="n">
        <v>4493.26</v>
      </c>
      <c r="EE27" s="27" t="n">
        <v>4093.1</v>
      </c>
      <c r="EF27" s="27" t="n">
        <v>3975.65</v>
      </c>
      <c r="EG27" s="27" t="n">
        <v>3576.45</v>
      </c>
      <c r="EH27" s="27" t="n">
        <v>3511.81</v>
      </c>
      <c r="EI27" s="27" t="n">
        <v>3325.48</v>
      </c>
      <c r="EJ27" s="27" t="n">
        <v>3345.19</v>
      </c>
      <c r="EK27" s="27" t="n">
        <v>3288.77</v>
      </c>
      <c r="EL27" s="27" t="n">
        <v>3213.1</v>
      </c>
      <c r="EM27" s="27" t="n">
        <v>3147</v>
      </c>
      <c r="EN27" s="27" t="n">
        <v>3118.9</v>
      </c>
      <c r="EO27" s="27" t="n">
        <v>3139.45</v>
      </c>
      <c r="EP27" s="27" t="n">
        <v>3075.39</v>
      </c>
      <c r="EQ27" s="27" t="n">
        <v>2945.71</v>
      </c>
      <c r="ER27" s="27" t="n">
        <v>2905.58</v>
      </c>
      <c r="ES27" s="27" t="n">
        <v>2884.65</v>
      </c>
      <c r="ET27" s="27" t="n">
        <v>2778.13</v>
      </c>
      <c r="EU27" s="27" t="n">
        <v>2577.32</v>
      </c>
      <c r="EV27" s="27" t="n">
        <v>2535.35</v>
      </c>
      <c r="EW27" s="27" t="n">
        <v>2575.9</v>
      </c>
      <c r="EX27" s="27" t="n">
        <v>2593.84</v>
      </c>
      <c r="EY27" s="27" t="n">
        <v>2769.52</v>
      </c>
      <c r="EZ27" s="27" t="n">
        <v>2805.48</v>
      </c>
      <c r="FA27" s="27" t="n">
        <v>2864.19</v>
      </c>
      <c r="FB27" s="27" t="n">
        <v>3037.81</v>
      </c>
      <c r="FC27" s="27" t="n">
        <v>3174.58</v>
      </c>
      <c r="FD27" s="27" t="n">
        <v>3320.65</v>
      </c>
      <c r="FE27" s="27" t="n">
        <v>3482</v>
      </c>
      <c r="FF27" s="27" t="n">
        <v>3652.52</v>
      </c>
      <c r="FG27" s="27" t="n">
        <v>3607.29</v>
      </c>
      <c r="FH27" s="27" t="n">
        <v>3968.61</v>
      </c>
      <c r="FI27" s="27" t="n">
        <v>4358</v>
      </c>
      <c r="FJ27" s="27" t="n">
        <v>5350.77</v>
      </c>
      <c r="FK27" s="27" t="n">
        <v>8486.74</v>
      </c>
      <c r="FL27" s="27" t="n">
        <v>9298.940000000001</v>
      </c>
      <c r="FM27" s="27" t="n">
        <v>9450.190000000001</v>
      </c>
      <c r="FN27" s="27" t="n">
        <v>9456.610000000001</v>
      </c>
      <c r="FO27" s="27" t="n">
        <v>9532.290000000001</v>
      </c>
      <c r="FP27" s="27" t="n">
        <v>9532.290000000001</v>
      </c>
      <c r="FQ27" s="27" t="n">
        <v>9419.389999999999</v>
      </c>
      <c r="FR27" s="27" t="n">
        <v>9380.48</v>
      </c>
      <c r="FS27" s="27" t="n">
        <v>9293.35</v>
      </c>
      <c r="FT27" s="27" t="n">
        <v>7201.23</v>
      </c>
      <c r="FU27" s="27" t="n">
        <v>6698.39</v>
      </c>
      <c r="FV27" s="27" t="n">
        <v>5551.16</v>
      </c>
      <c r="FW27" s="27" t="n">
        <v>5352.84</v>
      </c>
      <c r="FX27" s="27" t="n">
        <v>5238.42</v>
      </c>
      <c r="FY27" s="27" t="n">
        <v>5091.9</v>
      </c>
      <c r="FZ27" s="27" t="n">
        <v>5051.61</v>
      </c>
      <c r="GA27" s="27" t="n">
        <v>4987.13</v>
      </c>
      <c r="GB27" s="27" t="n">
        <v>4898</v>
      </c>
      <c r="GC27" s="27" t="n">
        <v>4896.9</v>
      </c>
      <c r="GD27" s="27" t="n">
        <v>4896.94</v>
      </c>
      <c r="GE27" s="27" t="n">
        <v>3918.1</v>
      </c>
      <c r="GF27" s="27" t="n">
        <v>3864.97</v>
      </c>
      <c r="GG27" s="27" t="n">
        <v>3838.26</v>
      </c>
      <c r="GH27" s="27" t="n">
        <v>3697.9</v>
      </c>
      <c r="GI27" s="27" t="n">
        <v>3581.71</v>
      </c>
      <c r="GJ27" s="27" t="n">
        <v>3543.77</v>
      </c>
      <c r="GK27" s="27" t="n">
        <v>3546.06</v>
      </c>
      <c r="GL27" s="27" t="n">
        <v>3542.9</v>
      </c>
    </row>
    <row r="28">
      <c r="A28" s="6" t="inlineStr">
        <is>
          <t>RTM|1</t>
        </is>
      </c>
      <c r="B28" s="2" t="n">
        <v>31</v>
      </c>
      <c r="C28" s="27" t="n">
        <v>2502.29</v>
      </c>
      <c r="D28" s="27" t="n">
        <v>2645.65</v>
      </c>
      <c r="E28" s="27" t="n">
        <v>2733.35</v>
      </c>
      <c r="F28" s="27" t="n">
        <v>2666.29</v>
      </c>
      <c r="G28" s="27" t="n">
        <v>2560.06</v>
      </c>
      <c r="H28" s="27" t="n">
        <v>2499.13</v>
      </c>
      <c r="I28" s="27" t="n">
        <v>2507.68</v>
      </c>
      <c r="J28" s="27" t="n">
        <v>2392.61</v>
      </c>
      <c r="K28" s="27" t="n">
        <v>2312.81</v>
      </c>
      <c r="L28" s="27" t="n">
        <v>2375.13</v>
      </c>
      <c r="M28" s="27" t="n">
        <v>2384.52</v>
      </c>
      <c r="N28" s="27" t="n">
        <v>2431.61</v>
      </c>
      <c r="O28" s="27" t="n">
        <v>2409.65</v>
      </c>
      <c r="P28" s="27" t="n">
        <v>2412.97</v>
      </c>
      <c r="Q28" s="27" t="n">
        <v>2450.68</v>
      </c>
      <c r="R28" s="27" t="n">
        <v>2495.06</v>
      </c>
      <c r="S28" s="27" t="n">
        <v>2489.13</v>
      </c>
      <c r="T28" s="27" t="n">
        <v>2625.87</v>
      </c>
      <c r="U28" s="27" t="n">
        <v>2612.39</v>
      </c>
      <c r="V28" s="27" t="n">
        <v>2665.58</v>
      </c>
      <c r="W28" s="27" t="n">
        <v>2880.84</v>
      </c>
      <c r="X28" s="27" t="n">
        <v>2982.42</v>
      </c>
      <c r="Y28" s="27" t="n">
        <v>3060.13</v>
      </c>
      <c r="Z28" s="27" t="n">
        <v>3223.29</v>
      </c>
      <c r="AA28" s="27" t="n">
        <v>3206.48</v>
      </c>
      <c r="AB28" s="27" t="n">
        <v>3585.1</v>
      </c>
      <c r="AC28" s="27" t="n">
        <v>4080.23</v>
      </c>
      <c r="AD28" s="27" t="n">
        <v>4658.87</v>
      </c>
      <c r="AE28" s="27" t="n">
        <v>5731.71</v>
      </c>
      <c r="AF28" s="27" t="n">
        <v>6423.32</v>
      </c>
      <c r="AG28" s="27" t="n">
        <v>7547</v>
      </c>
      <c r="AH28" s="27" t="n">
        <v>7533.61</v>
      </c>
      <c r="AI28" s="27" t="n">
        <v>7187.52</v>
      </c>
      <c r="AJ28" s="27" t="n">
        <v>6937.87</v>
      </c>
      <c r="AK28" s="27" t="n">
        <v>5697.03</v>
      </c>
      <c r="AL28" s="27" t="n">
        <v>5694.45</v>
      </c>
      <c r="AM28" s="27" t="n">
        <v>5685.13</v>
      </c>
      <c r="AN28" s="27" t="n">
        <v>5287.74</v>
      </c>
      <c r="AO28" s="27" t="n">
        <v>5060.32</v>
      </c>
      <c r="AP28" s="27" t="n">
        <v>4408.48</v>
      </c>
      <c r="AQ28" s="27" t="n">
        <v>4205.32</v>
      </c>
      <c r="AR28" s="27" t="n">
        <v>3757.45</v>
      </c>
      <c r="AS28" s="27" t="n">
        <v>3481.03</v>
      </c>
      <c r="AT28" s="27" t="n">
        <v>3279</v>
      </c>
      <c r="AU28" s="27" t="n">
        <v>3143.26</v>
      </c>
      <c r="AV28" s="27" t="n">
        <v>3038.48</v>
      </c>
      <c r="AW28" s="27" t="n">
        <v>2943.35</v>
      </c>
      <c r="AX28" s="27" t="n">
        <v>2768.77</v>
      </c>
      <c r="AY28" s="27" t="n">
        <v>2560.39</v>
      </c>
      <c r="AZ28" s="27" t="n">
        <v>2514.45</v>
      </c>
      <c r="BA28" s="27" t="n">
        <v>2481.58</v>
      </c>
      <c r="BB28" s="27" t="n">
        <v>2392.81</v>
      </c>
      <c r="BC28" s="27" t="n">
        <v>1885.65</v>
      </c>
      <c r="BD28" s="27" t="n">
        <v>1849.42</v>
      </c>
      <c r="BE28" s="27" t="n">
        <v>2085.42</v>
      </c>
      <c r="BF28" s="27" t="n">
        <v>2148.84</v>
      </c>
      <c r="BG28" s="27" t="n">
        <v>2242.87</v>
      </c>
      <c r="BH28" s="27" t="n">
        <v>2354.03</v>
      </c>
      <c r="BI28" s="27" t="n">
        <v>2450.48</v>
      </c>
      <c r="BJ28" s="27" t="n">
        <v>2554.48</v>
      </c>
      <c r="BK28" s="27" t="n">
        <v>2532.13</v>
      </c>
      <c r="BL28" s="27" t="n">
        <v>2672.52</v>
      </c>
      <c r="BM28" s="27" t="n">
        <v>2897.39</v>
      </c>
      <c r="BN28" s="27" t="n">
        <v>3058.42</v>
      </c>
      <c r="BO28" s="27" t="n">
        <v>2915.23</v>
      </c>
      <c r="BP28" s="27" t="n">
        <v>3094.97</v>
      </c>
      <c r="BQ28" s="27" t="n">
        <v>3364.03</v>
      </c>
      <c r="BR28" s="27" t="n">
        <v>4211.45</v>
      </c>
      <c r="BS28" s="27" t="n">
        <v>4192.1</v>
      </c>
      <c r="BT28" s="27" t="n">
        <v>4779.55</v>
      </c>
      <c r="BU28" s="27" t="n">
        <v>5857.48</v>
      </c>
      <c r="BV28" s="27" t="n">
        <v>6924.19</v>
      </c>
      <c r="BW28" s="27" t="n">
        <v>7094.84</v>
      </c>
      <c r="BX28" s="27" t="n">
        <v>7536.35</v>
      </c>
      <c r="BY28" s="27" t="n">
        <v>7304.1</v>
      </c>
      <c r="BZ28" s="27" t="n">
        <v>6866.26</v>
      </c>
      <c r="CA28" s="27" t="n">
        <v>6746.19</v>
      </c>
      <c r="CB28" s="27" t="n">
        <v>6340.55</v>
      </c>
      <c r="CC28" s="27" t="n">
        <v>5939.87</v>
      </c>
      <c r="CD28" s="27" t="n">
        <v>5477.26</v>
      </c>
      <c r="CE28" s="27" t="n">
        <v>4702.42</v>
      </c>
      <c r="CF28" s="27" t="n">
        <v>4341.81</v>
      </c>
      <c r="CG28" s="27" t="n">
        <v>4041.32</v>
      </c>
      <c r="CH28" s="27" t="n">
        <v>3702.61</v>
      </c>
      <c r="CI28" s="27" t="n">
        <v>3575.74</v>
      </c>
      <c r="CJ28" s="27" t="n">
        <v>3324.58</v>
      </c>
      <c r="CK28" s="27" t="n">
        <v>3351.55</v>
      </c>
      <c r="CL28" s="27" t="n">
        <v>3127.65</v>
      </c>
      <c r="CM28" s="27" t="n">
        <v>3194.1</v>
      </c>
      <c r="CN28" s="27" t="n">
        <v>3211.39</v>
      </c>
      <c r="CO28" s="27" t="n">
        <v>3028.16</v>
      </c>
      <c r="CP28" s="27" t="n">
        <v>2799.97</v>
      </c>
      <c r="CQ28" s="27" t="n">
        <v>2622.29</v>
      </c>
      <c r="CR28" s="27" t="n">
        <v>2485.23</v>
      </c>
      <c r="CS28" s="27" t="n">
        <v>2452.52</v>
      </c>
      <c r="CT28" s="27" t="n">
        <v>2343.55</v>
      </c>
      <c r="CU28" s="27" t="n">
        <v>2502.29</v>
      </c>
      <c r="CV28" s="27" t="n">
        <v>2645.65</v>
      </c>
      <c r="CW28" s="27" t="n">
        <v>2733.35</v>
      </c>
      <c r="CX28" s="27" t="n">
        <v>2666.29</v>
      </c>
      <c r="CY28" s="27" t="n">
        <v>2560.06</v>
      </c>
      <c r="CZ28" s="27" t="n">
        <v>2499.13</v>
      </c>
      <c r="DA28" s="27" t="n">
        <v>2507.68</v>
      </c>
      <c r="DB28" s="27" t="n">
        <v>2392.61</v>
      </c>
      <c r="DC28" s="27" t="n">
        <v>2312.81</v>
      </c>
      <c r="DD28" s="27" t="n">
        <v>2375.13</v>
      </c>
      <c r="DE28" s="27" t="n">
        <v>2384.52</v>
      </c>
      <c r="DF28" s="27" t="n">
        <v>2431.61</v>
      </c>
      <c r="DG28" s="27" t="n">
        <v>2409.65</v>
      </c>
      <c r="DH28" s="27" t="n">
        <v>2412.97</v>
      </c>
      <c r="DI28" s="27" t="n">
        <v>2450.68</v>
      </c>
      <c r="DJ28" s="27" t="n">
        <v>2495.06</v>
      </c>
      <c r="DK28" s="27" t="n">
        <v>2489.13</v>
      </c>
      <c r="DL28" s="27" t="n">
        <v>2625.87</v>
      </c>
      <c r="DM28" s="27" t="n">
        <v>2612.39</v>
      </c>
      <c r="DN28" s="27" t="n">
        <v>2665.58</v>
      </c>
      <c r="DO28" s="27" t="n">
        <v>2880.84</v>
      </c>
      <c r="DP28" s="27" t="n">
        <v>2982.42</v>
      </c>
      <c r="DQ28" s="27" t="n">
        <v>3060.13</v>
      </c>
      <c r="DR28" s="27" t="n">
        <v>3223.29</v>
      </c>
      <c r="DS28" s="27" t="n">
        <v>3206.48</v>
      </c>
      <c r="DT28" s="27" t="n">
        <v>3585.1</v>
      </c>
      <c r="DU28" s="27" t="n">
        <v>4080.23</v>
      </c>
      <c r="DV28" s="27" t="n">
        <v>4658.87</v>
      </c>
      <c r="DW28" s="27" t="n">
        <v>5731.71</v>
      </c>
      <c r="DX28" s="27" t="n">
        <v>6423.32</v>
      </c>
      <c r="DY28" s="27" t="n">
        <v>7547</v>
      </c>
      <c r="DZ28" s="27" t="n">
        <v>7533.61</v>
      </c>
      <c r="EA28" s="27" t="n">
        <v>7187.52</v>
      </c>
      <c r="EB28" s="27" t="n">
        <v>6937.87</v>
      </c>
      <c r="EC28" s="27" t="n">
        <v>5697.03</v>
      </c>
      <c r="ED28" s="27" t="n">
        <v>5694.45</v>
      </c>
      <c r="EE28" s="27" t="n">
        <v>5685.13</v>
      </c>
      <c r="EF28" s="27" t="n">
        <v>5287.74</v>
      </c>
      <c r="EG28" s="27" t="n">
        <v>5060.32</v>
      </c>
      <c r="EH28" s="27" t="n">
        <v>4408.48</v>
      </c>
      <c r="EI28" s="27" t="n">
        <v>4205.32</v>
      </c>
      <c r="EJ28" s="27" t="n">
        <v>3757.45</v>
      </c>
      <c r="EK28" s="27" t="n">
        <v>3481.03</v>
      </c>
      <c r="EL28" s="27" t="n">
        <v>3279</v>
      </c>
      <c r="EM28" s="27" t="n">
        <v>3143.26</v>
      </c>
      <c r="EN28" s="27" t="n">
        <v>3038.48</v>
      </c>
      <c r="EO28" s="27" t="n">
        <v>2943.35</v>
      </c>
      <c r="EP28" s="27" t="n">
        <v>2768.77</v>
      </c>
      <c r="EQ28" s="27" t="n">
        <v>2560.39</v>
      </c>
      <c r="ER28" s="27" t="n">
        <v>2514.45</v>
      </c>
      <c r="ES28" s="27" t="n">
        <v>2481.58</v>
      </c>
      <c r="ET28" s="27" t="n">
        <v>2392.81</v>
      </c>
      <c r="EU28" s="27" t="n">
        <v>1885.65</v>
      </c>
      <c r="EV28" s="27" t="n">
        <v>1849.42</v>
      </c>
      <c r="EW28" s="27" t="n">
        <v>2085.42</v>
      </c>
      <c r="EX28" s="27" t="n">
        <v>2148.84</v>
      </c>
      <c r="EY28" s="27" t="n">
        <v>2242.87</v>
      </c>
      <c r="EZ28" s="27" t="n">
        <v>2354.03</v>
      </c>
      <c r="FA28" s="27" t="n">
        <v>2450.48</v>
      </c>
      <c r="FB28" s="27" t="n">
        <v>2554.48</v>
      </c>
      <c r="FC28" s="27" t="n">
        <v>2532.13</v>
      </c>
      <c r="FD28" s="27" t="n">
        <v>2672.52</v>
      </c>
      <c r="FE28" s="27" t="n">
        <v>2897.39</v>
      </c>
      <c r="FF28" s="27" t="n">
        <v>3058.42</v>
      </c>
      <c r="FG28" s="27" t="n">
        <v>2915.23</v>
      </c>
      <c r="FH28" s="27" t="n">
        <v>3094.97</v>
      </c>
      <c r="FI28" s="27" t="n">
        <v>3364.03</v>
      </c>
      <c r="FJ28" s="27" t="n">
        <v>4211.45</v>
      </c>
      <c r="FK28" s="27" t="n">
        <v>4192.1</v>
      </c>
      <c r="FL28" s="27" t="n">
        <v>4779.55</v>
      </c>
      <c r="FM28" s="27" t="n">
        <v>5857.48</v>
      </c>
      <c r="FN28" s="27" t="n">
        <v>6924.19</v>
      </c>
      <c r="FO28" s="27" t="n">
        <v>7094.84</v>
      </c>
      <c r="FP28" s="27" t="n">
        <v>7536.35</v>
      </c>
      <c r="FQ28" s="27" t="n">
        <v>7304.1</v>
      </c>
      <c r="FR28" s="27" t="n">
        <v>6866.26</v>
      </c>
      <c r="FS28" s="27" t="n">
        <v>6746.19</v>
      </c>
      <c r="FT28" s="27" t="n">
        <v>6340.55</v>
      </c>
      <c r="FU28" s="27" t="n">
        <v>5939.87</v>
      </c>
      <c r="FV28" s="27" t="n">
        <v>5477.26</v>
      </c>
      <c r="FW28" s="27" t="n">
        <v>4702.42</v>
      </c>
      <c r="FX28" s="27" t="n">
        <v>4341.81</v>
      </c>
      <c r="FY28" s="27" t="n">
        <v>4041.32</v>
      </c>
      <c r="FZ28" s="27" t="n">
        <v>3702.61</v>
      </c>
      <c r="GA28" s="27" t="n">
        <v>3575.74</v>
      </c>
      <c r="GB28" s="27" t="n">
        <v>3324.58</v>
      </c>
      <c r="GC28" s="27" t="n">
        <v>3351.55</v>
      </c>
      <c r="GD28" s="27" t="n">
        <v>3127.65</v>
      </c>
      <c r="GE28" s="27" t="n">
        <v>3194.1</v>
      </c>
      <c r="GF28" s="27" t="n">
        <v>3211.39</v>
      </c>
      <c r="GG28" s="27" t="n">
        <v>3028.16</v>
      </c>
      <c r="GH28" s="27" t="n">
        <v>2799.97</v>
      </c>
      <c r="GI28" s="27" t="n">
        <v>2622.29</v>
      </c>
      <c r="GJ28" s="27" t="n">
        <v>2485.23</v>
      </c>
      <c r="GK28" s="27" t="n">
        <v>2452.52</v>
      </c>
      <c r="GL28" s="27" t="n">
        <v>2343.55</v>
      </c>
    </row>
    <row r="29">
      <c r="A29" s="6" t="inlineStr">
        <is>
          <t>RTM|2</t>
        </is>
      </c>
      <c r="B29" s="2" t="n">
        <v>28</v>
      </c>
      <c r="C29" s="27" t="n">
        <v>2838.39</v>
      </c>
      <c r="D29" s="27" t="n">
        <v>3011.68</v>
      </c>
      <c r="E29" s="27" t="n">
        <v>3192.5</v>
      </c>
      <c r="F29" s="27" t="n">
        <v>3162.11</v>
      </c>
      <c r="G29" s="27" t="n">
        <v>3105.96</v>
      </c>
      <c r="H29" s="27" t="n">
        <v>3045.96</v>
      </c>
      <c r="I29" s="27" t="n">
        <v>3046.96</v>
      </c>
      <c r="J29" s="27" t="n">
        <v>2970.82</v>
      </c>
      <c r="K29" s="27" t="n">
        <v>2916.07</v>
      </c>
      <c r="L29" s="27" t="n">
        <v>2966.18</v>
      </c>
      <c r="M29" s="27" t="n">
        <v>2995.36</v>
      </c>
      <c r="N29" s="27" t="n">
        <v>2979.64</v>
      </c>
      <c r="O29" s="27" t="n">
        <v>2977.36</v>
      </c>
      <c r="P29" s="27" t="n">
        <v>2980.82</v>
      </c>
      <c r="Q29" s="27" t="n">
        <v>3012.29</v>
      </c>
      <c r="R29" s="27" t="n">
        <v>3045.61</v>
      </c>
      <c r="S29" s="27" t="n">
        <v>3102.21</v>
      </c>
      <c r="T29" s="27" t="n">
        <v>3215.86</v>
      </c>
      <c r="U29" s="27" t="n">
        <v>3266.46</v>
      </c>
      <c r="V29" s="27" t="n">
        <v>3364.86</v>
      </c>
      <c r="W29" s="27" t="n">
        <v>3500.93</v>
      </c>
      <c r="X29" s="27" t="n">
        <v>3705.11</v>
      </c>
      <c r="Y29" s="27" t="n">
        <v>3859.11</v>
      </c>
      <c r="Z29" s="27" t="n">
        <v>3923.32</v>
      </c>
      <c r="AA29" s="27" t="n">
        <v>3888.5</v>
      </c>
      <c r="AB29" s="27" t="n">
        <v>4682.82</v>
      </c>
      <c r="AC29" s="27" t="n">
        <v>5445.86</v>
      </c>
      <c r="AD29" s="27" t="n">
        <v>7392.79</v>
      </c>
      <c r="AE29" s="27" t="n">
        <v>7946.46</v>
      </c>
      <c r="AF29" s="27" t="n">
        <v>8697.389999999999</v>
      </c>
      <c r="AG29" s="27" t="n">
        <v>8955.5</v>
      </c>
      <c r="AH29" s="27" t="n">
        <v>8884.389999999999</v>
      </c>
      <c r="AI29" s="27" t="n">
        <v>6816.57</v>
      </c>
      <c r="AJ29" s="27" t="n">
        <v>4516</v>
      </c>
      <c r="AK29" s="27" t="n">
        <v>3782.68</v>
      </c>
      <c r="AL29" s="27" t="n">
        <v>3297.18</v>
      </c>
      <c r="AM29" s="27" t="n">
        <v>3414.11</v>
      </c>
      <c r="AN29" s="27" t="n">
        <v>3357.64</v>
      </c>
      <c r="AO29" s="27" t="n">
        <v>3266.61</v>
      </c>
      <c r="AP29" s="27" t="n">
        <v>2931.43</v>
      </c>
      <c r="AQ29" s="27" t="n">
        <v>2846.39</v>
      </c>
      <c r="AR29" s="27" t="n">
        <v>2706.93</v>
      </c>
      <c r="AS29" s="27" t="n">
        <v>2842.11</v>
      </c>
      <c r="AT29" s="27" t="n">
        <v>2743.61</v>
      </c>
      <c r="AU29" s="27" t="n">
        <v>2663.75</v>
      </c>
      <c r="AV29" s="27" t="n">
        <v>2657.36</v>
      </c>
      <c r="AW29" s="27" t="n">
        <v>2598.39</v>
      </c>
      <c r="AX29" s="27" t="n">
        <v>2407.18</v>
      </c>
      <c r="AY29" s="27" t="n">
        <v>2153.54</v>
      </c>
      <c r="AZ29" s="27" t="n">
        <v>2100.32</v>
      </c>
      <c r="BA29" s="27" t="n">
        <v>2050.04</v>
      </c>
      <c r="BB29" s="27" t="n">
        <v>1914.39</v>
      </c>
      <c r="BC29" s="27" t="n">
        <v>1656.5</v>
      </c>
      <c r="BD29" s="27" t="n">
        <v>1674.86</v>
      </c>
      <c r="BE29" s="27" t="n">
        <v>1816.39</v>
      </c>
      <c r="BF29" s="27" t="n">
        <v>1921.43</v>
      </c>
      <c r="BG29" s="27" t="n">
        <v>2096.29</v>
      </c>
      <c r="BH29" s="27" t="n">
        <v>2210.46</v>
      </c>
      <c r="BI29" s="27" t="n">
        <v>2240.18</v>
      </c>
      <c r="BJ29" s="27" t="n">
        <v>2345.14</v>
      </c>
      <c r="BK29" s="27" t="n">
        <v>2313.89</v>
      </c>
      <c r="BL29" s="27" t="n">
        <v>2472.71</v>
      </c>
      <c r="BM29" s="27" t="n">
        <v>2672.89</v>
      </c>
      <c r="BN29" s="27" t="n">
        <v>2852</v>
      </c>
      <c r="BO29" s="27" t="n">
        <v>2809.93</v>
      </c>
      <c r="BP29" s="27" t="n">
        <v>2847.93</v>
      </c>
      <c r="BQ29" s="27" t="n">
        <v>2999.04</v>
      </c>
      <c r="BR29" s="27" t="n">
        <v>3481.71</v>
      </c>
      <c r="BS29" s="27" t="n">
        <v>3162.36</v>
      </c>
      <c r="BT29" s="27" t="n">
        <v>3561.32</v>
      </c>
      <c r="BU29" s="27" t="n">
        <v>3927.14</v>
      </c>
      <c r="BV29" s="27" t="n">
        <v>4685.68</v>
      </c>
      <c r="BW29" s="27" t="n">
        <v>4130.82</v>
      </c>
      <c r="BX29" s="27" t="n">
        <v>5347.14</v>
      </c>
      <c r="BY29" s="27" t="n">
        <v>6583.04</v>
      </c>
      <c r="BZ29" s="27" t="n">
        <v>6762.57</v>
      </c>
      <c r="CA29" s="27" t="n">
        <v>6220.68</v>
      </c>
      <c r="CB29" s="27" t="n">
        <v>5565.93</v>
      </c>
      <c r="CC29" s="27" t="n">
        <v>4730.86</v>
      </c>
      <c r="CD29" s="27" t="n">
        <v>4189.07</v>
      </c>
      <c r="CE29" s="27" t="n">
        <v>4013.36</v>
      </c>
      <c r="CF29" s="27" t="n">
        <v>3920.5</v>
      </c>
      <c r="CG29" s="27" t="n">
        <v>3902.07</v>
      </c>
      <c r="CH29" s="27" t="n">
        <v>3805.14</v>
      </c>
      <c r="CI29" s="27" t="n">
        <v>3587.07</v>
      </c>
      <c r="CJ29" s="27" t="n">
        <v>3357.21</v>
      </c>
      <c r="CK29" s="27" t="n">
        <v>3508.61</v>
      </c>
      <c r="CL29" s="27" t="n">
        <v>3345.07</v>
      </c>
      <c r="CM29" s="27" t="n">
        <v>3376.96</v>
      </c>
      <c r="CN29" s="27" t="n">
        <v>3404.46</v>
      </c>
      <c r="CO29" s="27" t="n">
        <v>3298.07</v>
      </c>
      <c r="CP29" s="27" t="n">
        <v>3182.54</v>
      </c>
      <c r="CQ29" s="27" t="n">
        <v>3000.29</v>
      </c>
      <c r="CR29" s="27" t="n">
        <v>2875.46</v>
      </c>
      <c r="CS29" s="27" t="n">
        <v>2830.21</v>
      </c>
      <c r="CT29" s="27" t="n">
        <v>2752.32</v>
      </c>
      <c r="CU29" s="27" t="n">
        <v>2838.39</v>
      </c>
      <c r="CV29" s="27" t="n">
        <v>3011.68</v>
      </c>
      <c r="CW29" s="27" t="n">
        <v>3192.5</v>
      </c>
      <c r="CX29" s="27" t="n">
        <v>3162.11</v>
      </c>
      <c r="CY29" s="27" t="n">
        <v>3105.96</v>
      </c>
      <c r="CZ29" s="27" t="n">
        <v>3045.96</v>
      </c>
      <c r="DA29" s="27" t="n">
        <v>3046.96</v>
      </c>
      <c r="DB29" s="27" t="n">
        <v>2970.82</v>
      </c>
      <c r="DC29" s="27" t="n">
        <v>2916.07</v>
      </c>
      <c r="DD29" s="27" t="n">
        <v>2966.18</v>
      </c>
      <c r="DE29" s="27" t="n">
        <v>2995.36</v>
      </c>
      <c r="DF29" s="27" t="n">
        <v>2979.64</v>
      </c>
      <c r="DG29" s="27" t="n">
        <v>2977.36</v>
      </c>
      <c r="DH29" s="27" t="n">
        <v>2980.82</v>
      </c>
      <c r="DI29" s="27" t="n">
        <v>3012.29</v>
      </c>
      <c r="DJ29" s="27" t="n">
        <v>3045.61</v>
      </c>
      <c r="DK29" s="27" t="n">
        <v>3102.21</v>
      </c>
      <c r="DL29" s="27" t="n">
        <v>3215.86</v>
      </c>
      <c r="DM29" s="27" t="n">
        <v>3266.46</v>
      </c>
      <c r="DN29" s="27" t="n">
        <v>3364.86</v>
      </c>
      <c r="DO29" s="27" t="n">
        <v>3500.93</v>
      </c>
      <c r="DP29" s="27" t="n">
        <v>3705.11</v>
      </c>
      <c r="DQ29" s="27" t="n">
        <v>3859.11</v>
      </c>
      <c r="DR29" s="27" t="n">
        <v>3923.32</v>
      </c>
      <c r="DS29" s="27" t="n">
        <v>3888.5</v>
      </c>
      <c r="DT29" s="27" t="n">
        <v>4682.82</v>
      </c>
      <c r="DU29" s="27" t="n">
        <v>5445.86</v>
      </c>
      <c r="DV29" s="27" t="n">
        <v>7392.79</v>
      </c>
      <c r="DW29" s="27" t="n">
        <v>7946.46</v>
      </c>
      <c r="DX29" s="27" t="n">
        <v>8697.389999999999</v>
      </c>
      <c r="DY29" s="27" t="n">
        <v>8955.5</v>
      </c>
      <c r="DZ29" s="27" t="n">
        <v>8884.389999999999</v>
      </c>
      <c r="EA29" s="27" t="n">
        <v>6816.57</v>
      </c>
      <c r="EB29" s="27" t="n">
        <v>4516</v>
      </c>
      <c r="EC29" s="27" t="n">
        <v>3782.68</v>
      </c>
      <c r="ED29" s="27" t="n">
        <v>3297.18</v>
      </c>
      <c r="EE29" s="27" t="n">
        <v>3414.11</v>
      </c>
      <c r="EF29" s="27" t="n">
        <v>3357.64</v>
      </c>
      <c r="EG29" s="27" t="n">
        <v>3266.61</v>
      </c>
      <c r="EH29" s="27" t="n">
        <v>2931.43</v>
      </c>
      <c r="EI29" s="27" t="n">
        <v>2846.39</v>
      </c>
      <c r="EJ29" s="27" t="n">
        <v>2706.93</v>
      </c>
      <c r="EK29" s="27" t="n">
        <v>2842.11</v>
      </c>
      <c r="EL29" s="27" t="n">
        <v>2743.61</v>
      </c>
      <c r="EM29" s="27" t="n">
        <v>2663.75</v>
      </c>
      <c r="EN29" s="27" t="n">
        <v>2657.36</v>
      </c>
      <c r="EO29" s="27" t="n">
        <v>2598.39</v>
      </c>
      <c r="EP29" s="27" t="n">
        <v>2407.18</v>
      </c>
      <c r="EQ29" s="27" t="n">
        <v>2153.54</v>
      </c>
      <c r="ER29" s="27" t="n">
        <v>2100.32</v>
      </c>
      <c r="ES29" s="27" t="n">
        <v>2050.04</v>
      </c>
      <c r="ET29" s="27" t="n">
        <v>1914.39</v>
      </c>
      <c r="EU29" s="27" t="n">
        <v>1656.5</v>
      </c>
      <c r="EV29" s="27" t="n">
        <v>1674.86</v>
      </c>
      <c r="EW29" s="27" t="n">
        <v>1816.39</v>
      </c>
      <c r="EX29" s="27" t="n">
        <v>1921.43</v>
      </c>
      <c r="EY29" s="27" t="n">
        <v>2096.29</v>
      </c>
      <c r="EZ29" s="27" t="n">
        <v>2210.46</v>
      </c>
      <c r="FA29" s="27" t="n">
        <v>2240.18</v>
      </c>
      <c r="FB29" s="27" t="n">
        <v>2345.14</v>
      </c>
      <c r="FC29" s="27" t="n">
        <v>2313.89</v>
      </c>
      <c r="FD29" s="27" t="n">
        <v>2472.71</v>
      </c>
      <c r="FE29" s="27" t="n">
        <v>2672.89</v>
      </c>
      <c r="FF29" s="27" t="n">
        <v>2852</v>
      </c>
      <c r="FG29" s="27" t="n">
        <v>2809.93</v>
      </c>
      <c r="FH29" s="27" t="n">
        <v>2847.93</v>
      </c>
      <c r="FI29" s="27" t="n">
        <v>2999.04</v>
      </c>
      <c r="FJ29" s="27" t="n">
        <v>3481.71</v>
      </c>
      <c r="FK29" s="27" t="n">
        <v>3162.36</v>
      </c>
      <c r="FL29" s="27" t="n">
        <v>3561.32</v>
      </c>
      <c r="FM29" s="27" t="n">
        <v>3927.14</v>
      </c>
      <c r="FN29" s="27" t="n">
        <v>4685.68</v>
      </c>
      <c r="FO29" s="27" t="n">
        <v>4130.82</v>
      </c>
      <c r="FP29" s="27" t="n">
        <v>5347.14</v>
      </c>
      <c r="FQ29" s="27" t="n">
        <v>6583.04</v>
      </c>
      <c r="FR29" s="27" t="n">
        <v>6762.57</v>
      </c>
      <c r="FS29" s="27" t="n">
        <v>6220.68</v>
      </c>
      <c r="FT29" s="27" t="n">
        <v>5565.93</v>
      </c>
      <c r="FU29" s="27" t="n">
        <v>4730.86</v>
      </c>
      <c r="FV29" s="27" t="n">
        <v>4189.07</v>
      </c>
      <c r="FW29" s="27" t="n">
        <v>4013.36</v>
      </c>
      <c r="FX29" s="27" t="n">
        <v>3920.5</v>
      </c>
      <c r="FY29" s="27" t="n">
        <v>3902.07</v>
      </c>
      <c r="FZ29" s="27" t="n">
        <v>3805.14</v>
      </c>
      <c r="GA29" s="27" t="n">
        <v>3587.07</v>
      </c>
      <c r="GB29" s="27" t="n">
        <v>3357.21</v>
      </c>
      <c r="GC29" s="27" t="n">
        <v>3508.61</v>
      </c>
      <c r="GD29" s="27" t="n">
        <v>3345.07</v>
      </c>
      <c r="GE29" s="27" t="n">
        <v>3376.96</v>
      </c>
      <c r="GF29" s="27" t="n">
        <v>3404.46</v>
      </c>
      <c r="GG29" s="27" t="n">
        <v>3298.07</v>
      </c>
      <c r="GH29" s="27" t="n">
        <v>3182.54</v>
      </c>
      <c r="GI29" s="27" t="n">
        <v>3000.29</v>
      </c>
      <c r="GJ29" s="27" t="n">
        <v>2875.46</v>
      </c>
      <c r="GK29" s="27" t="n">
        <v>2830.21</v>
      </c>
      <c r="GL29" s="27" t="n">
        <v>2752.32</v>
      </c>
    </row>
    <row r="30">
      <c r="A30" s="6" t="inlineStr">
        <is>
          <t>RTM|3</t>
        </is>
      </c>
      <c r="B30" s="2" t="n">
        <v>31</v>
      </c>
      <c r="C30" s="27" t="n">
        <v>4087.16</v>
      </c>
      <c r="D30" s="27" t="n">
        <v>4399.42</v>
      </c>
      <c r="E30" s="27" t="n">
        <v>4477.23</v>
      </c>
      <c r="F30" s="27" t="n">
        <v>4349.71</v>
      </c>
      <c r="G30" s="27" t="n">
        <v>4197.74</v>
      </c>
      <c r="H30" s="27" t="n">
        <v>4010.94</v>
      </c>
      <c r="I30" s="27" t="n">
        <v>4051.03</v>
      </c>
      <c r="J30" s="27" t="n">
        <v>3885.32</v>
      </c>
      <c r="K30" s="27" t="n">
        <v>3767.26</v>
      </c>
      <c r="L30" s="27" t="n">
        <v>3820.32</v>
      </c>
      <c r="M30" s="27" t="n">
        <v>3772.45</v>
      </c>
      <c r="N30" s="27" t="n">
        <v>3821.68</v>
      </c>
      <c r="O30" s="27" t="n">
        <v>3575.58</v>
      </c>
      <c r="P30" s="27" t="n">
        <v>3579.13</v>
      </c>
      <c r="Q30" s="27" t="n">
        <v>3655.58</v>
      </c>
      <c r="R30" s="27" t="n">
        <v>3715.48</v>
      </c>
      <c r="S30" s="27" t="n">
        <v>3853.23</v>
      </c>
      <c r="T30" s="27" t="n">
        <v>4169.94</v>
      </c>
      <c r="U30" s="27" t="n">
        <v>4286.74</v>
      </c>
      <c r="V30" s="27" t="n">
        <v>4286.32</v>
      </c>
      <c r="W30" s="27" t="n">
        <v>4484.65</v>
      </c>
      <c r="X30" s="27" t="n">
        <v>4882.55</v>
      </c>
      <c r="Y30" s="27" t="n">
        <v>5052.71</v>
      </c>
      <c r="Z30" s="27" t="n">
        <v>5012.65</v>
      </c>
      <c r="AA30" s="27" t="n">
        <v>4820.87</v>
      </c>
      <c r="AB30" s="27" t="n">
        <v>5634.1</v>
      </c>
      <c r="AC30" s="27" t="n">
        <v>5278.45</v>
      </c>
      <c r="AD30" s="27" t="n">
        <v>5899.87</v>
      </c>
      <c r="AE30" s="27" t="n">
        <v>5855.81</v>
      </c>
      <c r="AF30" s="27" t="n">
        <v>5577.58</v>
      </c>
      <c r="AG30" s="27" t="n">
        <v>4653.16</v>
      </c>
      <c r="AH30" s="27" t="n">
        <v>3910.45</v>
      </c>
      <c r="AI30" s="27" t="n">
        <v>3074.87</v>
      </c>
      <c r="AJ30" s="27" t="n">
        <v>2634.77</v>
      </c>
      <c r="AK30" s="27" t="n">
        <v>2727.68</v>
      </c>
      <c r="AL30" s="27" t="n">
        <v>2410.52</v>
      </c>
      <c r="AM30" s="27" t="n">
        <v>2450.9</v>
      </c>
      <c r="AN30" s="27" t="n">
        <v>2461.35</v>
      </c>
      <c r="AO30" s="27" t="n">
        <v>2486.97</v>
      </c>
      <c r="AP30" s="27" t="n">
        <v>2273.32</v>
      </c>
      <c r="AQ30" s="27" t="n">
        <v>2204.65</v>
      </c>
      <c r="AR30" s="27" t="n">
        <v>2138.87</v>
      </c>
      <c r="AS30" s="27" t="n">
        <v>2197.29</v>
      </c>
      <c r="AT30" s="27" t="n">
        <v>2144.29</v>
      </c>
      <c r="AU30" s="27" t="n">
        <v>1937.52</v>
      </c>
      <c r="AV30" s="27" t="n">
        <v>1956.45</v>
      </c>
      <c r="AW30" s="27" t="n">
        <v>1930.74</v>
      </c>
      <c r="AX30" s="27" t="n">
        <v>1886.39</v>
      </c>
      <c r="AY30" s="27" t="n">
        <v>1743.84</v>
      </c>
      <c r="AZ30" s="27" t="n">
        <v>1722.19</v>
      </c>
      <c r="BA30" s="27" t="n">
        <v>1670.68</v>
      </c>
      <c r="BB30" s="27" t="n">
        <v>1556.65</v>
      </c>
      <c r="BC30" s="27" t="n">
        <v>1302.65</v>
      </c>
      <c r="BD30" s="27" t="n">
        <v>1264.52</v>
      </c>
      <c r="BE30" s="27" t="n">
        <v>1386.65</v>
      </c>
      <c r="BF30" s="27" t="n">
        <v>1484.58</v>
      </c>
      <c r="BG30" s="27" t="n">
        <v>1507.68</v>
      </c>
      <c r="BH30" s="27" t="n">
        <v>1667.77</v>
      </c>
      <c r="BI30" s="27" t="n">
        <v>1822.65</v>
      </c>
      <c r="BJ30" s="27" t="n">
        <v>1990.48</v>
      </c>
      <c r="BK30" s="27" t="n">
        <v>1965.1</v>
      </c>
      <c r="BL30" s="27" t="n">
        <v>2124.94</v>
      </c>
      <c r="BM30" s="27" t="n">
        <v>2436.03</v>
      </c>
      <c r="BN30" s="27" t="n">
        <v>2619.94</v>
      </c>
      <c r="BO30" s="27" t="n">
        <v>2542.77</v>
      </c>
      <c r="BP30" s="27" t="n">
        <v>2767.29</v>
      </c>
      <c r="BQ30" s="27" t="n">
        <v>2994.39</v>
      </c>
      <c r="BR30" s="27" t="n">
        <v>3302.58</v>
      </c>
      <c r="BS30" s="27" t="n">
        <v>3057.9</v>
      </c>
      <c r="BT30" s="27" t="n">
        <v>3307.35</v>
      </c>
      <c r="BU30" s="27" t="n">
        <v>3741.68</v>
      </c>
      <c r="BV30" s="27" t="n">
        <v>4605.74</v>
      </c>
      <c r="BW30" s="27" t="n">
        <v>3959.74</v>
      </c>
      <c r="BX30" s="27" t="n">
        <v>4471.55</v>
      </c>
      <c r="BY30" s="27" t="n">
        <v>5720.29</v>
      </c>
      <c r="BZ30" s="27" t="n">
        <v>7000.74</v>
      </c>
      <c r="CA30" s="27" t="n">
        <v>6813.03</v>
      </c>
      <c r="CB30" s="27" t="n">
        <v>6703.13</v>
      </c>
      <c r="CC30" s="27" t="n">
        <v>5476.61</v>
      </c>
      <c r="CD30" s="27" t="n">
        <v>5195.87</v>
      </c>
      <c r="CE30" s="27" t="n">
        <v>5243.65</v>
      </c>
      <c r="CF30" s="27" t="n">
        <v>5269.42</v>
      </c>
      <c r="CG30" s="27" t="n">
        <v>5462.68</v>
      </c>
      <c r="CH30" s="27" t="n">
        <v>5351.61</v>
      </c>
      <c r="CI30" s="27" t="n">
        <v>5346.71</v>
      </c>
      <c r="CJ30" s="27" t="n">
        <v>5192.74</v>
      </c>
      <c r="CK30" s="27" t="n">
        <v>5084.19</v>
      </c>
      <c r="CL30" s="27" t="n">
        <v>4883.29</v>
      </c>
      <c r="CM30" s="27" t="n">
        <v>5050.94</v>
      </c>
      <c r="CN30" s="27" t="n">
        <v>5184.45</v>
      </c>
      <c r="CO30" s="27" t="n">
        <v>5136.48</v>
      </c>
      <c r="CP30" s="27" t="n">
        <v>5044.03</v>
      </c>
      <c r="CQ30" s="27" t="n">
        <v>4625.97</v>
      </c>
      <c r="CR30" s="27" t="n">
        <v>4198.45</v>
      </c>
      <c r="CS30" s="27" t="n">
        <v>4147.84</v>
      </c>
      <c r="CT30" s="27" t="n">
        <v>4058.48</v>
      </c>
      <c r="CU30" s="27" t="n">
        <v>4087.16</v>
      </c>
      <c r="CV30" s="27" t="n">
        <v>4399.42</v>
      </c>
      <c r="CW30" s="27" t="n">
        <v>4477.23</v>
      </c>
      <c r="CX30" s="27" t="n">
        <v>4349.71</v>
      </c>
      <c r="CY30" s="27" t="n">
        <v>4197.74</v>
      </c>
      <c r="CZ30" s="27" t="n">
        <v>4010.94</v>
      </c>
      <c r="DA30" s="27" t="n">
        <v>4051.03</v>
      </c>
      <c r="DB30" s="27" t="n">
        <v>3885.32</v>
      </c>
      <c r="DC30" s="27" t="n">
        <v>3767.26</v>
      </c>
      <c r="DD30" s="27" t="n">
        <v>3820.32</v>
      </c>
      <c r="DE30" s="27" t="n">
        <v>3772.45</v>
      </c>
      <c r="DF30" s="27" t="n">
        <v>3821.68</v>
      </c>
      <c r="DG30" s="27" t="n">
        <v>3575.58</v>
      </c>
      <c r="DH30" s="27" t="n">
        <v>3579.13</v>
      </c>
      <c r="DI30" s="27" t="n">
        <v>3655.58</v>
      </c>
      <c r="DJ30" s="27" t="n">
        <v>3715.48</v>
      </c>
      <c r="DK30" s="27" t="n">
        <v>3853.23</v>
      </c>
      <c r="DL30" s="27" t="n">
        <v>4169.94</v>
      </c>
      <c r="DM30" s="27" t="n">
        <v>4286.74</v>
      </c>
      <c r="DN30" s="27" t="n">
        <v>4286.32</v>
      </c>
      <c r="DO30" s="27" t="n">
        <v>4484.65</v>
      </c>
      <c r="DP30" s="27" t="n">
        <v>4882.55</v>
      </c>
      <c r="DQ30" s="27" t="n">
        <v>5052.71</v>
      </c>
      <c r="DR30" s="27" t="n">
        <v>5012.65</v>
      </c>
      <c r="DS30" s="27" t="n">
        <v>4820.87</v>
      </c>
      <c r="DT30" s="27" t="n">
        <v>5634.1</v>
      </c>
      <c r="DU30" s="27" t="n">
        <v>5278.45</v>
      </c>
      <c r="DV30" s="27" t="n">
        <v>5899.87</v>
      </c>
      <c r="DW30" s="27" t="n">
        <v>5855.81</v>
      </c>
      <c r="DX30" s="27" t="n">
        <v>5577.58</v>
      </c>
      <c r="DY30" s="27" t="n">
        <v>4653.16</v>
      </c>
      <c r="DZ30" s="27" t="n">
        <v>3910.45</v>
      </c>
      <c r="EA30" s="27" t="n">
        <v>3074.87</v>
      </c>
      <c r="EB30" s="27" t="n">
        <v>2634.77</v>
      </c>
      <c r="EC30" s="27" t="n">
        <v>2727.68</v>
      </c>
      <c r="ED30" s="27" t="n">
        <v>2410.52</v>
      </c>
      <c r="EE30" s="27" t="n">
        <v>2450.9</v>
      </c>
      <c r="EF30" s="27" t="n">
        <v>2461.35</v>
      </c>
      <c r="EG30" s="27" t="n">
        <v>2486.97</v>
      </c>
      <c r="EH30" s="27" t="n">
        <v>2273.32</v>
      </c>
      <c r="EI30" s="27" t="n">
        <v>2204.65</v>
      </c>
      <c r="EJ30" s="27" t="n">
        <v>2138.87</v>
      </c>
      <c r="EK30" s="27" t="n">
        <v>2197.29</v>
      </c>
      <c r="EL30" s="27" t="n">
        <v>2144.29</v>
      </c>
      <c r="EM30" s="27" t="n">
        <v>1937.52</v>
      </c>
      <c r="EN30" s="27" t="n">
        <v>1956.45</v>
      </c>
      <c r="EO30" s="27" t="n">
        <v>1930.74</v>
      </c>
      <c r="EP30" s="27" t="n">
        <v>1886.39</v>
      </c>
      <c r="EQ30" s="27" t="n">
        <v>1743.84</v>
      </c>
      <c r="ER30" s="27" t="n">
        <v>1722.19</v>
      </c>
      <c r="ES30" s="27" t="n">
        <v>1670.68</v>
      </c>
      <c r="ET30" s="27" t="n">
        <v>1556.65</v>
      </c>
      <c r="EU30" s="27" t="n">
        <v>1302.65</v>
      </c>
      <c r="EV30" s="27" t="n">
        <v>1264.52</v>
      </c>
      <c r="EW30" s="27" t="n">
        <v>1386.65</v>
      </c>
      <c r="EX30" s="27" t="n">
        <v>1484.58</v>
      </c>
      <c r="EY30" s="27" t="n">
        <v>1507.68</v>
      </c>
      <c r="EZ30" s="27" t="n">
        <v>1667.77</v>
      </c>
      <c r="FA30" s="27" t="n">
        <v>1822.65</v>
      </c>
      <c r="FB30" s="27" t="n">
        <v>1990.48</v>
      </c>
      <c r="FC30" s="27" t="n">
        <v>1965.1</v>
      </c>
      <c r="FD30" s="27" t="n">
        <v>2124.94</v>
      </c>
      <c r="FE30" s="27" t="n">
        <v>2436.03</v>
      </c>
      <c r="FF30" s="27" t="n">
        <v>2619.94</v>
      </c>
      <c r="FG30" s="27" t="n">
        <v>2542.77</v>
      </c>
      <c r="FH30" s="27" t="n">
        <v>2767.29</v>
      </c>
      <c r="FI30" s="27" t="n">
        <v>2994.39</v>
      </c>
      <c r="FJ30" s="27" t="n">
        <v>3302.58</v>
      </c>
      <c r="FK30" s="27" t="n">
        <v>3057.9</v>
      </c>
      <c r="FL30" s="27" t="n">
        <v>3307.35</v>
      </c>
      <c r="FM30" s="27" t="n">
        <v>3741.68</v>
      </c>
      <c r="FN30" s="27" t="n">
        <v>4605.74</v>
      </c>
      <c r="FO30" s="27" t="n">
        <v>3959.74</v>
      </c>
      <c r="FP30" s="27" t="n">
        <v>4471.55</v>
      </c>
      <c r="FQ30" s="27" t="n">
        <v>5720.29</v>
      </c>
      <c r="FR30" s="27" t="n">
        <v>7000.74</v>
      </c>
      <c r="FS30" s="27" t="n">
        <v>6813.03</v>
      </c>
      <c r="FT30" s="27" t="n">
        <v>6703.13</v>
      </c>
      <c r="FU30" s="27" t="n">
        <v>5476.61</v>
      </c>
      <c r="FV30" s="27" t="n">
        <v>5195.87</v>
      </c>
      <c r="FW30" s="27" t="n">
        <v>5243.65</v>
      </c>
      <c r="FX30" s="27" t="n">
        <v>5269.42</v>
      </c>
      <c r="FY30" s="27" t="n">
        <v>5462.68</v>
      </c>
      <c r="FZ30" s="27" t="n">
        <v>5351.61</v>
      </c>
      <c r="GA30" s="27" t="n">
        <v>5346.71</v>
      </c>
      <c r="GB30" s="27" t="n">
        <v>5192.74</v>
      </c>
      <c r="GC30" s="27" t="n">
        <v>5084.19</v>
      </c>
      <c r="GD30" s="27" t="n">
        <v>4883.29</v>
      </c>
      <c r="GE30" s="27" t="n">
        <v>5050.94</v>
      </c>
      <c r="GF30" s="27" t="n">
        <v>5184.45</v>
      </c>
      <c r="GG30" s="27" t="n">
        <v>5136.48</v>
      </c>
      <c r="GH30" s="27" t="n">
        <v>5044.03</v>
      </c>
      <c r="GI30" s="27" t="n">
        <v>4625.97</v>
      </c>
      <c r="GJ30" s="27" t="n">
        <v>4198.45</v>
      </c>
      <c r="GK30" s="27" t="n">
        <v>4147.84</v>
      </c>
      <c r="GL30" s="27" t="n">
        <v>4058.48</v>
      </c>
    </row>
    <row r="31">
      <c r="A31" s="6" t="inlineStr">
        <is>
          <t>RTM|4</t>
        </is>
      </c>
      <c r="B31" s="2" t="n">
        <v>30</v>
      </c>
      <c r="C31" s="27" t="n">
        <v>7812.03</v>
      </c>
      <c r="D31" s="27" t="n">
        <v>7732.43</v>
      </c>
      <c r="E31" s="27" t="n">
        <v>7616.83</v>
      </c>
      <c r="F31" s="27" t="n">
        <v>7482.13</v>
      </c>
      <c r="G31" s="27" t="n">
        <v>7321.53</v>
      </c>
      <c r="H31" s="27" t="n">
        <v>7205.77</v>
      </c>
      <c r="I31" s="27" t="n">
        <v>6975.97</v>
      </c>
      <c r="J31" s="27" t="n">
        <v>6653.63</v>
      </c>
      <c r="K31" s="27" t="n">
        <v>6705.43</v>
      </c>
      <c r="L31" s="27" t="n">
        <v>6685.87</v>
      </c>
      <c r="M31" s="27" t="n">
        <v>6104</v>
      </c>
      <c r="N31" s="27" t="n">
        <v>6025.6</v>
      </c>
      <c r="O31" s="27" t="n">
        <v>5659.17</v>
      </c>
      <c r="P31" s="27" t="n">
        <v>5669.13</v>
      </c>
      <c r="Q31" s="27" t="n">
        <v>5645.5</v>
      </c>
      <c r="R31" s="27" t="n">
        <v>5664.47</v>
      </c>
      <c r="S31" s="27" t="n">
        <v>5779.87</v>
      </c>
      <c r="T31" s="27" t="n">
        <v>5788.83</v>
      </c>
      <c r="U31" s="27" t="n">
        <v>5742.03</v>
      </c>
      <c r="V31" s="27" t="n">
        <v>5977.2</v>
      </c>
      <c r="W31" s="27" t="n">
        <v>6146.8</v>
      </c>
      <c r="X31" s="27" t="n">
        <v>6561.53</v>
      </c>
      <c r="Y31" s="27" t="n">
        <v>6591.53</v>
      </c>
      <c r="Z31" s="27" t="n">
        <v>6691.33</v>
      </c>
      <c r="AA31" s="27" t="n">
        <v>6672.47</v>
      </c>
      <c r="AB31" s="27" t="n">
        <v>7129.4</v>
      </c>
      <c r="AC31" s="27" t="n">
        <v>6851.8</v>
      </c>
      <c r="AD31" s="27" t="n">
        <v>6449.3</v>
      </c>
      <c r="AE31" s="27" t="n">
        <v>5104.43</v>
      </c>
      <c r="AF31" s="27" t="n">
        <v>3761.97</v>
      </c>
      <c r="AG31" s="27" t="n">
        <v>2345.77</v>
      </c>
      <c r="AH31" s="27" t="n">
        <v>1614.53</v>
      </c>
      <c r="AI31" s="27" t="n">
        <v>1906.8</v>
      </c>
      <c r="AJ31" s="27" t="n">
        <v>2024.33</v>
      </c>
      <c r="AK31" s="27" t="n">
        <v>2091.23</v>
      </c>
      <c r="AL31" s="27" t="n">
        <v>1971.63</v>
      </c>
      <c r="AM31" s="27" t="n">
        <v>2121.43</v>
      </c>
      <c r="AN31" s="27" t="n">
        <v>2209.07</v>
      </c>
      <c r="AO31" s="27" t="n">
        <v>2192.07</v>
      </c>
      <c r="AP31" s="27" t="n">
        <v>2115.27</v>
      </c>
      <c r="AQ31" s="27" t="n">
        <v>1913.63</v>
      </c>
      <c r="AR31" s="27" t="n">
        <v>1851.27</v>
      </c>
      <c r="AS31" s="27" t="n">
        <v>1832.17</v>
      </c>
      <c r="AT31" s="27" t="n">
        <v>1752.7</v>
      </c>
      <c r="AU31" s="27" t="n">
        <v>1715.27</v>
      </c>
      <c r="AV31" s="27" t="n">
        <v>1688</v>
      </c>
      <c r="AW31" s="27" t="n">
        <v>1649.83</v>
      </c>
      <c r="AX31" s="27" t="n">
        <v>1602.27</v>
      </c>
      <c r="AY31" s="27" t="n">
        <v>1526.37</v>
      </c>
      <c r="AZ31" s="27" t="n">
        <v>1482.63</v>
      </c>
      <c r="BA31" s="27" t="n">
        <v>1402.4</v>
      </c>
      <c r="BB31" s="27" t="n">
        <v>1319.93</v>
      </c>
      <c r="BC31" s="27" t="n">
        <v>1095.57</v>
      </c>
      <c r="BD31" s="27" t="n">
        <v>1125.93</v>
      </c>
      <c r="BE31" s="27" t="n">
        <v>1304.43</v>
      </c>
      <c r="BF31" s="27" t="n">
        <v>1505.97</v>
      </c>
      <c r="BG31" s="27" t="n">
        <v>1751</v>
      </c>
      <c r="BH31" s="27" t="n">
        <v>2016.6</v>
      </c>
      <c r="BI31" s="27" t="n">
        <v>2199.2</v>
      </c>
      <c r="BJ31" s="27" t="n">
        <v>2392.97</v>
      </c>
      <c r="BK31" s="27" t="n">
        <v>2501.63</v>
      </c>
      <c r="BL31" s="27" t="n">
        <v>2648.8</v>
      </c>
      <c r="BM31" s="27" t="n">
        <v>2865</v>
      </c>
      <c r="BN31" s="27" t="n">
        <v>2965.7</v>
      </c>
      <c r="BO31" s="27" t="n">
        <v>2775.63</v>
      </c>
      <c r="BP31" s="27" t="n">
        <v>2719.53</v>
      </c>
      <c r="BQ31" s="27" t="n">
        <v>3053.37</v>
      </c>
      <c r="BR31" s="27" t="n">
        <v>3371.2</v>
      </c>
      <c r="BS31" s="27" t="n">
        <v>3116.4</v>
      </c>
      <c r="BT31" s="27" t="n">
        <v>3560.77</v>
      </c>
      <c r="BU31" s="27" t="n">
        <v>3826.83</v>
      </c>
      <c r="BV31" s="27" t="n">
        <v>4829.73</v>
      </c>
      <c r="BW31" s="27" t="n">
        <v>4249.2</v>
      </c>
      <c r="BX31" s="27" t="n">
        <v>6240.77</v>
      </c>
      <c r="BY31" s="27" t="n">
        <v>7013.97</v>
      </c>
      <c r="BZ31" s="27" t="n">
        <v>7489.57</v>
      </c>
      <c r="CA31" s="27" t="n">
        <v>7995.67</v>
      </c>
      <c r="CB31" s="27" t="n">
        <v>8165.4</v>
      </c>
      <c r="CC31" s="27" t="n">
        <v>7777.73</v>
      </c>
      <c r="CD31" s="27" t="n">
        <v>7493.87</v>
      </c>
      <c r="CE31" s="27" t="n">
        <v>7442.1</v>
      </c>
      <c r="CF31" s="27" t="n">
        <v>7371.53</v>
      </c>
      <c r="CG31" s="27" t="n">
        <v>7590.77</v>
      </c>
      <c r="CH31" s="27" t="n">
        <v>7771.57</v>
      </c>
      <c r="CI31" s="27" t="n">
        <v>7714</v>
      </c>
      <c r="CJ31" s="27" t="n">
        <v>7714.57</v>
      </c>
      <c r="CK31" s="27" t="n">
        <v>7324.4</v>
      </c>
      <c r="CL31" s="27" t="n">
        <v>7257.27</v>
      </c>
      <c r="CM31" s="27" t="n">
        <v>7474.17</v>
      </c>
      <c r="CN31" s="27" t="n">
        <v>7760.7</v>
      </c>
      <c r="CO31" s="27" t="n">
        <v>8004.33</v>
      </c>
      <c r="CP31" s="27" t="n">
        <v>7975.9</v>
      </c>
      <c r="CQ31" s="27" t="n">
        <v>7819</v>
      </c>
      <c r="CR31" s="27" t="n">
        <v>7760.1</v>
      </c>
      <c r="CS31" s="27" t="n">
        <v>7680</v>
      </c>
      <c r="CT31" s="27" t="n">
        <v>7622.67</v>
      </c>
      <c r="CU31" s="27" t="n">
        <v>7812.03</v>
      </c>
      <c r="CV31" s="27" t="n">
        <v>7732.43</v>
      </c>
      <c r="CW31" s="27" t="n">
        <v>7616.83</v>
      </c>
      <c r="CX31" s="27" t="n">
        <v>7482.13</v>
      </c>
      <c r="CY31" s="27" t="n">
        <v>7321.53</v>
      </c>
      <c r="CZ31" s="27" t="n">
        <v>7205.77</v>
      </c>
      <c r="DA31" s="27" t="n">
        <v>6975.97</v>
      </c>
      <c r="DB31" s="27" t="n">
        <v>6653.63</v>
      </c>
      <c r="DC31" s="27" t="n">
        <v>6705.43</v>
      </c>
      <c r="DD31" s="27" t="n">
        <v>6685.87</v>
      </c>
      <c r="DE31" s="27" t="n">
        <v>6104</v>
      </c>
      <c r="DF31" s="27" t="n">
        <v>6025.6</v>
      </c>
      <c r="DG31" s="27" t="n">
        <v>5659.17</v>
      </c>
      <c r="DH31" s="27" t="n">
        <v>5669.13</v>
      </c>
      <c r="DI31" s="27" t="n">
        <v>5645.5</v>
      </c>
      <c r="DJ31" s="27" t="n">
        <v>5664.47</v>
      </c>
      <c r="DK31" s="27" t="n">
        <v>5779.87</v>
      </c>
      <c r="DL31" s="27" t="n">
        <v>5788.83</v>
      </c>
      <c r="DM31" s="27" t="n">
        <v>5742.03</v>
      </c>
      <c r="DN31" s="27" t="n">
        <v>5977.2</v>
      </c>
      <c r="DO31" s="27" t="n">
        <v>6146.8</v>
      </c>
      <c r="DP31" s="27" t="n">
        <v>6561.53</v>
      </c>
      <c r="DQ31" s="27" t="n">
        <v>6591.53</v>
      </c>
      <c r="DR31" s="27" t="n">
        <v>6691.33</v>
      </c>
      <c r="DS31" s="27" t="n">
        <v>6672.47</v>
      </c>
      <c r="DT31" s="27" t="n">
        <v>7129.4</v>
      </c>
      <c r="DU31" s="27" t="n">
        <v>6851.8</v>
      </c>
      <c r="DV31" s="27" t="n">
        <v>6449.3</v>
      </c>
      <c r="DW31" s="27" t="n">
        <v>5104.43</v>
      </c>
      <c r="DX31" s="27" t="n">
        <v>3761.97</v>
      </c>
      <c r="DY31" s="27" t="n">
        <v>2345.77</v>
      </c>
      <c r="DZ31" s="27" t="n">
        <v>1614.53</v>
      </c>
      <c r="EA31" s="27" t="n">
        <v>1906.8</v>
      </c>
      <c r="EB31" s="27" t="n">
        <v>2024.33</v>
      </c>
      <c r="EC31" s="27" t="n">
        <v>2091.23</v>
      </c>
      <c r="ED31" s="27" t="n">
        <v>1971.63</v>
      </c>
      <c r="EE31" s="27" t="n">
        <v>2121.43</v>
      </c>
      <c r="EF31" s="27" t="n">
        <v>2209.07</v>
      </c>
      <c r="EG31" s="27" t="n">
        <v>2192.07</v>
      </c>
      <c r="EH31" s="27" t="n">
        <v>2115.27</v>
      </c>
      <c r="EI31" s="27" t="n">
        <v>1913.63</v>
      </c>
      <c r="EJ31" s="27" t="n">
        <v>1851.27</v>
      </c>
      <c r="EK31" s="27" t="n">
        <v>1832.17</v>
      </c>
      <c r="EL31" s="27" t="n">
        <v>1752.7</v>
      </c>
      <c r="EM31" s="27" t="n">
        <v>1715.27</v>
      </c>
      <c r="EN31" s="27" t="n">
        <v>1688</v>
      </c>
      <c r="EO31" s="27" t="n">
        <v>1649.83</v>
      </c>
      <c r="EP31" s="27" t="n">
        <v>1602.27</v>
      </c>
      <c r="EQ31" s="27" t="n">
        <v>1526.37</v>
      </c>
      <c r="ER31" s="27" t="n">
        <v>1482.63</v>
      </c>
      <c r="ES31" s="27" t="n">
        <v>1402.4</v>
      </c>
      <c r="ET31" s="27" t="n">
        <v>1319.93</v>
      </c>
      <c r="EU31" s="27" t="n">
        <v>1095.57</v>
      </c>
      <c r="EV31" s="27" t="n">
        <v>1125.93</v>
      </c>
      <c r="EW31" s="27" t="n">
        <v>1304.43</v>
      </c>
      <c r="EX31" s="27" t="n">
        <v>1505.97</v>
      </c>
      <c r="EY31" s="27" t="n">
        <v>1751</v>
      </c>
      <c r="EZ31" s="27" t="n">
        <v>2016.6</v>
      </c>
      <c r="FA31" s="27" t="n">
        <v>2199.2</v>
      </c>
      <c r="FB31" s="27" t="n">
        <v>2392.97</v>
      </c>
      <c r="FC31" s="27" t="n">
        <v>2501.63</v>
      </c>
      <c r="FD31" s="27" t="n">
        <v>2648.8</v>
      </c>
      <c r="FE31" s="27" t="n">
        <v>2865</v>
      </c>
      <c r="FF31" s="27" t="n">
        <v>2965.7</v>
      </c>
      <c r="FG31" s="27" t="n">
        <v>2775.63</v>
      </c>
      <c r="FH31" s="27" t="n">
        <v>2719.53</v>
      </c>
      <c r="FI31" s="27" t="n">
        <v>3053.37</v>
      </c>
      <c r="FJ31" s="27" t="n">
        <v>3371.2</v>
      </c>
      <c r="FK31" s="27" t="n">
        <v>3116.4</v>
      </c>
      <c r="FL31" s="27" t="n">
        <v>3560.77</v>
      </c>
      <c r="FM31" s="27" t="n">
        <v>3826.83</v>
      </c>
      <c r="FN31" s="27" t="n">
        <v>4829.73</v>
      </c>
      <c r="FO31" s="27" t="n">
        <v>4249.2</v>
      </c>
      <c r="FP31" s="27" t="n">
        <v>6240.77</v>
      </c>
      <c r="FQ31" s="27" t="n">
        <v>7013.97</v>
      </c>
      <c r="FR31" s="27" t="n">
        <v>7489.57</v>
      </c>
      <c r="FS31" s="27" t="n">
        <v>7995.67</v>
      </c>
      <c r="FT31" s="27" t="n">
        <v>8165.4</v>
      </c>
      <c r="FU31" s="27" t="n">
        <v>7777.73</v>
      </c>
      <c r="FV31" s="27" t="n">
        <v>7493.87</v>
      </c>
      <c r="FW31" s="27" t="n">
        <v>7442.1</v>
      </c>
      <c r="FX31" s="27" t="n">
        <v>7371.53</v>
      </c>
      <c r="FY31" s="27" t="n">
        <v>7590.77</v>
      </c>
      <c r="FZ31" s="27" t="n">
        <v>7771.57</v>
      </c>
      <c r="GA31" s="27" t="n">
        <v>7714</v>
      </c>
      <c r="GB31" s="27" t="n">
        <v>7714.57</v>
      </c>
      <c r="GC31" s="27" t="n">
        <v>7324.4</v>
      </c>
      <c r="GD31" s="27" t="n">
        <v>7257.27</v>
      </c>
      <c r="GE31" s="27" t="n">
        <v>7474.17</v>
      </c>
      <c r="GF31" s="27" t="n">
        <v>7760.7</v>
      </c>
      <c r="GG31" s="27" t="n">
        <v>8004.33</v>
      </c>
      <c r="GH31" s="27" t="n">
        <v>7975.9</v>
      </c>
      <c r="GI31" s="27" t="n">
        <v>7819</v>
      </c>
      <c r="GJ31" s="27" t="n">
        <v>7760.1</v>
      </c>
      <c r="GK31" s="27" t="n">
        <v>7680</v>
      </c>
      <c r="GL31" s="27" t="n">
        <v>7622.67</v>
      </c>
    </row>
    <row r="32">
      <c r="A32" s="6" t="inlineStr">
        <is>
          <t>RTM|5</t>
        </is>
      </c>
      <c r="B32" s="2" t="n">
        <v>31</v>
      </c>
      <c r="C32" s="27" t="n">
        <v>7254.23</v>
      </c>
      <c r="D32" s="27" t="n">
        <v>7182.52</v>
      </c>
      <c r="E32" s="27" t="n">
        <v>6879.13</v>
      </c>
      <c r="F32" s="27" t="n">
        <v>6681.06</v>
      </c>
      <c r="G32" s="27" t="n">
        <v>6577.71</v>
      </c>
      <c r="H32" s="27" t="n">
        <v>6510.06</v>
      </c>
      <c r="I32" s="27" t="n">
        <v>6774.55</v>
      </c>
      <c r="J32" s="27" t="n">
        <v>6646</v>
      </c>
      <c r="K32" s="27" t="n">
        <v>6283.77</v>
      </c>
      <c r="L32" s="27" t="n">
        <v>5923.61</v>
      </c>
      <c r="M32" s="27" t="n">
        <v>5788.81</v>
      </c>
      <c r="N32" s="27" t="n">
        <v>5705.42</v>
      </c>
      <c r="O32" s="27" t="n">
        <v>5590.48</v>
      </c>
      <c r="P32" s="27" t="n">
        <v>5504.26</v>
      </c>
      <c r="Q32" s="27" t="n">
        <v>5346.81</v>
      </c>
      <c r="R32" s="27" t="n">
        <v>5228.74</v>
      </c>
      <c r="S32" s="27" t="n">
        <v>4677.39</v>
      </c>
      <c r="T32" s="27" t="n">
        <v>4567.19</v>
      </c>
      <c r="U32" s="27" t="n">
        <v>4651.71</v>
      </c>
      <c r="V32" s="27" t="n">
        <v>4496.74</v>
      </c>
      <c r="W32" s="27" t="n">
        <v>4185.32</v>
      </c>
      <c r="X32" s="27" t="n">
        <v>4365.48</v>
      </c>
      <c r="Y32" s="27" t="n">
        <v>4132.1</v>
      </c>
      <c r="Z32" s="27" t="n">
        <v>3995.19</v>
      </c>
      <c r="AA32" s="27" t="n">
        <v>3990.9</v>
      </c>
      <c r="AB32" s="27" t="n">
        <v>3881</v>
      </c>
      <c r="AC32" s="27" t="n">
        <v>3254.32</v>
      </c>
      <c r="AD32" s="27" t="n">
        <v>2714.52</v>
      </c>
      <c r="AE32" s="27" t="n">
        <v>2147.97</v>
      </c>
      <c r="AF32" s="27" t="n">
        <v>1420.65</v>
      </c>
      <c r="AG32" s="27" t="n">
        <v>1623.9</v>
      </c>
      <c r="AH32" s="27" t="n">
        <v>1097.29</v>
      </c>
      <c r="AI32" s="27" t="n">
        <v>1319.65</v>
      </c>
      <c r="AJ32" s="27" t="n">
        <v>1429.61</v>
      </c>
      <c r="AK32" s="27" t="n">
        <v>1478.42</v>
      </c>
      <c r="AL32" s="27" t="n">
        <v>1432.94</v>
      </c>
      <c r="AM32" s="27" t="n">
        <v>1429.94</v>
      </c>
      <c r="AN32" s="27" t="n">
        <v>1519.16</v>
      </c>
      <c r="AO32" s="27" t="n">
        <v>1592.87</v>
      </c>
      <c r="AP32" s="27" t="n">
        <v>1545.52</v>
      </c>
      <c r="AQ32" s="27" t="n">
        <v>1422.55</v>
      </c>
      <c r="AR32" s="27" t="n">
        <v>1464.39</v>
      </c>
      <c r="AS32" s="27" t="n">
        <v>1591.97</v>
      </c>
      <c r="AT32" s="27" t="n">
        <v>1536.23</v>
      </c>
      <c r="AU32" s="27" t="n">
        <v>1557.65</v>
      </c>
      <c r="AV32" s="27" t="n">
        <v>1627.61</v>
      </c>
      <c r="AW32" s="27" t="n">
        <v>1621.9</v>
      </c>
      <c r="AX32" s="27" t="n">
        <v>1640.42</v>
      </c>
      <c r="AY32" s="27" t="n">
        <v>1687.1</v>
      </c>
      <c r="AZ32" s="27" t="n">
        <v>1779.84</v>
      </c>
      <c r="BA32" s="27" t="n">
        <v>1793.65</v>
      </c>
      <c r="BB32" s="27" t="n">
        <v>1801.58</v>
      </c>
      <c r="BC32" s="27" t="n">
        <v>1497.97</v>
      </c>
      <c r="BD32" s="27" t="n">
        <v>1621.9</v>
      </c>
      <c r="BE32" s="27" t="n">
        <v>1948.55</v>
      </c>
      <c r="BF32" s="27" t="n">
        <v>2106.74</v>
      </c>
      <c r="BG32" s="27" t="n">
        <v>2266.03</v>
      </c>
      <c r="BH32" s="27" t="n">
        <v>2462.61</v>
      </c>
      <c r="BI32" s="27" t="n">
        <v>2625.61</v>
      </c>
      <c r="BJ32" s="27" t="n">
        <v>2796.1</v>
      </c>
      <c r="BK32" s="27" t="n">
        <v>2944.19</v>
      </c>
      <c r="BL32" s="27" t="n">
        <v>3100.87</v>
      </c>
      <c r="BM32" s="27" t="n">
        <v>3289.35</v>
      </c>
      <c r="BN32" s="27" t="n">
        <v>3348.55</v>
      </c>
      <c r="BO32" s="27" t="n">
        <v>3228.39</v>
      </c>
      <c r="BP32" s="27" t="n">
        <v>3354.39</v>
      </c>
      <c r="BQ32" s="27" t="n">
        <v>3255.58</v>
      </c>
      <c r="BR32" s="27" t="n">
        <v>3387.61</v>
      </c>
      <c r="BS32" s="27" t="n">
        <v>3069.77</v>
      </c>
      <c r="BT32" s="27" t="n">
        <v>3399.16</v>
      </c>
      <c r="BU32" s="27" t="n">
        <v>3571.42</v>
      </c>
      <c r="BV32" s="27" t="n">
        <v>4090.35</v>
      </c>
      <c r="BW32" s="27" t="n">
        <v>2511.71</v>
      </c>
      <c r="BX32" s="27" t="n">
        <v>3727.23</v>
      </c>
      <c r="BY32" s="27" t="n">
        <v>5070.48</v>
      </c>
      <c r="BZ32" s="27" t="n">
        <v>5842.16</v>
      </c>
      <c r="CA32" s="27" t="n">
        <v>5422.81</v>
      </c>
      <c r="CB32" s="27" t="n">
        <v>6497.94</v>
      </c>
      <c r="CC32" s="27" t="n">
        <v>6617.65</v>
      </c>
      <c r="CD32" s="27" t="n">
        <v>6688.87</v>
      </c>
      <c r="CE32" s="27" t="n">
        <v>6492.68</v>
      </c>
      <c r="CF32" s="27" t="n">
        <v>6955.61</v>
      </c>
      <c r="CG32" s="27" t="n">
        <v>6906.87</v>
      </c>
      <c r="CH32" s="27" t="n">
        <v>7022</v>
      </c>
      <c r="CI32" s="27" t="n">
        <v>7091.13</v>
      </c>
      <c r="CJ32" s="27" t="n">
        <v>7150.61</v>
      </c>
      <c r="CK32" s="27" t="n">
        <v>6735.26</v>
      </c>
      <c r="CL32" s="27" t="n">
        <v>6773.97</v>
      </c>
      <c r="CM32" s="27" t="n">
        <v>6977.42</v>
      </c>
      <c r="CN32" s="27" t="n">
        <v>7202.74</v>
      </c>
      <c r="CO32" s="27" t="n">
        <v>7336.13</v>
      </c>
      <c r="CP32" s="27" t="n">
        <v>7410.29</v>
      </c>
      <c r="CQ32" s="27" t="n">
        <v>7213.84</v>
      </c>
      <c r="CR32" s="27" t="n">
        <v>7483.45</v>
      </c>
      <c r="CS32" s="27" t="n">
        <v>7303.26</v>
      </c>
      <c r="CT32" s="27" t="n">
        <v>7143.65</v>
      </c>
      <c r="CU32" s="27" t="n">
        <v>7254.23</v>
      </c>
      <c r="CV32" s="27" t="n">
        <v>7182.52</v>
      </c>
      <c r="CW32" s="27" t="n">
        <v>6879.13</v>
      </c>
      <c r="CX32" s="27" t="n">
        <v>6681.06</v>
      </c>
      <c r="CY32" s="27" t="n">
        <v>6577.71</v>
      </c>
      <c r="CZ32" s="27" t="n">
        <v>6510.06</v>
      </c>
      <c r="DA32" s="27" t="n">
        <v>6774.55</v>
      </c>
      <c r="DB32" s="27" t="n">
        <v>6646</v>
      </c>
      <c r="DC32" s="27" t="n">
        <v>6283.77</v>
      </c>
      <c r="DD32" s="27" t="n">
        <v>5923.61</v>
      </c>
      <c r="DE32" s="27" t="n">
        <v>5788.81</v>
      </c>
      <c r="DF32" s="27" t="n">
        <v>5705.42</v>
      </c>
      <c r="DG32" s="27" t="n">
        <v>5590.48</v>
      </c>
      <c r="DH32" s="27" t="n">
        <v>5504.26</v>
      </c>
      <c r="DI32" s="27" t="n">
        <v>5346.81</v>
      </c>
      <c r="DJ32" s="27" t="n">
        <v>5228.74</v>
      </c>
      <c r="DK32" s="27" t="n">
        <v>4677.39</v>
      </c>
      <c r="DL32" s="27" t="n">
        <v>4567.19</v>
      </c>
      <c r="DM32" s="27" t="n">
        <v>4651.71</v>
      </c>
      <c r="DN32" s="27" t="n">
        <v>4496.74</v>
      </c>
      <c r="DO32" s="27" t="n">
        <v>4185.32</v>
      </c>
      <c r="DP32" s="27" t="n">
        <v>4365.48</v>
      </c>
      <c r="DQ32" s="27" t="n">
        <v>4132.1</v>
      </c>
      <c r="DR32" s="27" t="n">
        <v>3995.19</v>
      </c>
      <c r="DS32" s="27" t="n">
        <v>3990.9</v>
      </c>
      <c r="DT32" s="27" t="n">
        <v>3881</v>
      </c>
      <c r="DU32" s="27" t="n">
        <v>3254.32</v>
      </c>
      <c r="DV32" s="27" t="n">
        <v>2714.52</v>
      </c>
      <c r="DW32" s="27" t="n">
        <v>2147.97</v>
      </c>
      <c r="DX32" s="27" t="n">
        <v>1420.65</v>
      </c>
      <c r="DY32" s="27" t="n">
        <v>1623.9</v>
      </c>
      <c r="DZ32" s="27" t="n">
        <v>1097.29</v>
      </c>
      <c r="EA32" s="27" t="n">
        <v>1319.65</v>
      </c>
      <c r="EB32" s="27" t="n">
        <v>1429.61</v>
      </c>
      <c r="EC32" s="27" t="n">
        <v>1478.42</v>
      </c>
      <c r="ED32" s="27" t="n">
        <v>1432.94</v>
      </c>
      <c r="EE32" s="27" t="n">
        <v>1429.94</v>
      </c>
      <c r="EF32" s="27" t="n">
        <v>1519.16</v>
      </c>
      <c r="EG32" s="27" t="n">
        <v>1592.87</v>
      </c>
      <c r="EH32" s="27" t="n">
        <v>1545.52</v>
      </c>
      <c r="EI32" s="27" t="n">
        <v>1422.55</v>
      </c>
      <c r="EJ32" s="27" t="n">
        <v>1464.39</v>
      </c>
      <c r="EK32" s="27" t="n">
        <v>1591.97</v>
      </c>
      <c r="EL32" s="27" t="n">
        <v>1536.23</v>
      </c>
      <c r="EM32" s="27" t="n">
        <v>1557.65</v>
      </c>
      <c r="EN32" s="27" t="n">
        <v>1627.61</v>
      </c>
      <c r="EO32" s="27" t="n">
        <v>1621.9</v>
      </c>
      <c r="EP32" s="27" t="n">
        <v>1640.42</v>
      </c>
      <c r="EQ32" s="27" t="n">
        <v>1687.1</v>
      </c>
      <c r="ER32" s="27" t="n">
        <v>1779.84</v>
      </c>
      <c r="ES32" s="27" t="n">
        <v>1793.65</v>
      </c>
      <c r="ET32" s="27" t="n">
        <v>1801.58</v>
      </c>
      <c r="EU32" s="27" t="n">
        <v>1497.97</v>
      </c>
      <c r="EV32" s="27" t="n">
        <v>1621.9</v>
      </c>
      <c r="EW32" s="27" t="n">
        <v>1948.55</v>
      </c>
      <c r="EX32" s="27" t="n">
        <v>2106.74</v>
      </c>
      <c r="EY32" s="27" t="n">
        <v>2266.03</v>
      </c>
      <c r="EZ32" s="27" t="n">
        <v>2462.61</v>
      </c>
      <c r="FA32" s="27" t="n">
        <v>2625.61</v>
      </c>
      <c r="FB32" s="27" t="n">
        <v>2796.1</v>
      </c>
      <c r="FC32" s="27" t="n">
        <v>2944.19</v>
      </c>
      <c r="FD32" s="27" t="n">
        <v>3100.87</v>
      </c>
      <c r="FE32" s="27" t="n">
        <v>3289.35</v>
      </c>
      <c r="FF32" s="27" t="n">
        <v>3348.55</v>
      </c>
      <c r="FG32" s="27" t="n">
        <v>3228.39</v>
      </c>
      <c r="FH32" s="27" t="n">
        <v>3354.39</v>
      </c>
      <c r="FI32" s="27" t="n">
        <v>3255.58</v>
      </c>
      <c r="FJ32" s="27" t="n">
        <v>3387.61</v>
      </c>
      <c r="FK32" s="27" t="n">
        <v>3069.77</v>
      </c>
      <c r="FL32" s="27" t="n">
        <v>3399.16</v>
      </c>
      <c r="FM32" s="27" t="n">
        <v>3571.42</v>
      </c>
      <c r="FN32" s="27" t="n">
        <v>4090.35</v>
      </c>
      <c r="FO32" s="27" t="n">
        <v>2511.71</v>
      </c>
      <c r="FP32" s="27" t="n">
        <v>3727.23</v>
      </c>
      <c r="FQ32" s="27" t="n">
        <v>5070.48</v>
      </c>
      <c r="FR32" s="27" t="n">
        <v>5842.16</v>
      </c>
      <c r="FS32" s="27" t="n">
        <v>5422.81</v>
      </c>
      <c r="FT32" s="27" t="n">
        <v>6497.94</v>
      </c>
      <c r="FU32" s="27" t="n">
        <v>6617.65</v>
      </c>
      <c r="FV32" s="27" t="n">
        <v>6688.87</v>
      </c>
      <c r="FW32" s="27" t="n">
        <v>6492.68</v>
      </c>
      <c r="FX32" s="27" t="n">
        <v>6955.61</v>
      </c>
      <c r="FY32" s="27" t="n">
        <v>6906.87</v>
      </c>
      <c r="FZ32" s="27" t="n">
        <v>7022</v>
      </c>
      <c r="GA32" s="27" t="n">
        <v>7091.13</v>
      </c>
      <c r="GB32" s="27" t="n">
        <v>7150.61</v>
      </c>
      <c r="GC32" s="27" t="n">
        <v>6735.26</v>
      </c>
      <c r="GD32" s="27" t="n">
        <v>6773.97</v>
      </c>
      <c r="GE32" s="27" t="n">
        <v>6977.42</v>
      </c>
      <c r="GF32" s="27" t="n">
        <v>7202.74</v>
      </c>
      <c r="GG32" s="27" t="n">
        <v>7336.13</v>
      </c>
      <c r="GH32" s="27" t="n">
        <v>7410.29</v>
      </c>
      <c r="GI32" s="27" t="n">
        <v>7213.84</v>
      </c>
      <c r="GJ32" s="27" t="n">
        <v>7483.45</v>
      </c>
      <c r="GK32" s="27" t="n">
        <v>7303.26</v>
      </c>
      <c r="GL32" s="27" t="n">
        <v>7143.65</v>
      </c>
    </row>
    <row r="33">
      <c r="A33" s="6" t="inlineStr">
        <is>
          <t>RTM|6</t>
        </is>
      </c>
      <c r="B33" s="2" t="n">
        <v>30</v>
      </c>
      <c r="C33" s="27" t="n">
        <v>8377.469999999999</v>
      </c>
      <c r="D33" s="27" t="n">
        <v>8213.030000000001</v>
      </c>
      <c r="E33" s="27" t="n">
        <v>7663.13</v>
      </c>
      <c r="F33" s="27" t="n">
        <v>7396.83</v>
      </c>
      <c r="G33" s="27" t="n">
        <v>6938.63</v>
      </c>
      <c r="H33" s="27" t="n">
        <v>6898.53</v>
      </c>
      <c r="I33" s="27" t="n">
        <v>6073.43</v>
      </c>
      <c r="J33" s="27" t="n">
        <v>5813.8</v>
      </c>
      <c r="K33" s="27" t="n">
        <v>5589.4</v>
      </c>
      <c r="L33" s="27" t="n">
        <v>5578.03</v>
      </c>
      <c r="M33" s="27" t="n">
        <v>5091.03</v>
      </c>
      <c r="N33" s="27" t="n">
        <v>4884.73</v>
      </c>
      <c r="O33" s="27" t="n">
        <v>5040.83</v>
      </c>
      <c r="P33" s="27" t="n">
        <v>4875.93</v>
      </c>
      <c r="Q33" s="27" t="n">
        <v>4572.6</v>
      </c>
      <c r="R33" s="27" t="n">
        <v>4458.1</v>
      </c>
      <c r="S33" s="27" t="n">
        <v>4900.97</v>
      </c>
      <c r="T33" s="27" t="n">
        <v>5352.53</v>
      </c>
      <c r="U33" s="27" t="n">
        <v>5182.9</v>
      </c>
      <c r="V33" s="27" t="n">
        <v>4988.43</v>
      </c>
      <c r="W33" s="27" t="n">
        <v>4928.6</v>
      </c>
      <c r="X33" s="27" t="n">
        <v>5396.33</v>
      </c>
      <c r="Y33" s="27" t="n">
        <v>5814.33</v>
      </c>
      <c r="Z33" s="27" t="n">
        <v>5771.37</v>
      </c>
      <c r="AA33" s="27" t="n">
        <v>5479.2</v>
      </c>
      <c r="AB33" s="27" t="n">
        <v>5442.93</v>
      </c>
      <c r="AC33" s="27" t="n">
        <v>5017.47</v>
      </c>
      <c r="AD33" s="27" t="n">
        <v>4301.7</v>
      </c>
      <c r="AE33" s="27" t="n">
        <v>3482.2</v>
      </c>
      <c r="AF33" s="27" t="n">
        <v>2829.8</v>
      </c>
      <c r="AG33" s="27" t="n">
        <v>2507.07</v>
      </c>
      <c r="AH33" s="27" t="n">
        <v>2046.83</v>
      </c>
      <c r="AI33" s="27" t="n">
        <v>2301.53</v>
      </c>
      <c r="AJ33" s="27" t="n">
        <v>2309.4</v>
      </c>
      <c r="AK33" s="27" t="n">
        <v>2002.97</v>
      </c>
      <c r="AL33" s="27" t="n">
        <v>1657.47</v>
      </c>
      <c r="AM33" s="27" t="n">
        <v>1391.17</v>
      </c>
      <c r="AN33" s="27" t="n">
        <v>1369.83</v>
      </c>
      <c r="AO33" s="27" t="n">
        <v>1312.37</v>
      </c>
      <c r="AP33" s="27" t="n">
        <v>1276.17</v>
      </c>
      <c r="AQ33" s="27" t="n">
        <v>1317.8</v>
      </c>
      <c r="AR33" s="27" t="n">
        <v>1359.7</v>
      </c>
      <c r="AS33" s="27" t="n">
        <v>1340.7</v>
      </c>
      <c r="AT33" s="27" t="n">
        <v>1327.37</v>
      </c>
      <c r="AU33" s="27" t="n">
        <v>1411.6</v>
      </c>
      <c r="AV33" s="27" t="n">
        <v>1491.17</v>
      </c>
      <c r="AW33" s="27" t="n">
        <v>1385.8</v>
      </c>
      <c r="AX33" s="27" t="n">
        <v>1477.53</v>
      </c>
      <c r="AY33" s="27" t="n">
        <v>1531.67</v>
      </c>
      <c r="AZ33" s="27" t="n">
        <v>1612</v>
      </c>
      <c r="BA33" s="27" t="n">
        <v>1583.8</v>
      </c>
      <c r="BB33" s="27" t="n">
        <v>1608.1</v>
      </c>
      <c r="BC33" s="27" t="n">
        <v>1297.7</v>
      </c>
      <c r="BD33" s="27" t="n">
        <v>1452.03</v>
      </c>
      <c r="BE33" s="27" t="n">
        <v>1947.83</v>
      </c>
      <c r="BF33" s="27" t="n">
        <v>2232.8</v>
      </c>
      <c r="BG33" s="27" t="n">
        <v>2264.47</v>
      </c>
      <c r="BH33" s="27" t="n">
        <v>2538.2</v>
      </c>
      <c r="BI33" s="27" t="n">
        <v>2577.1</v>
      </c>
      <c r="BJ33" s="27" t="n">
        <v>2833.13</v>
      </c>
      <c r="BK33" s="27" t="n">
        <v>2889.53</v>
      </c>
      <c r="BL33" s="27" t="n">
        <v>2956.27</v>
      </c>
      <c r="BM33" s="27" t="n">
        <v>3051.3</v>
      </c>
      <c r="BN33" s="27" t="n">
        <v>3028.6</v>
      </c>
      <c r="BO33" s="27" t="n">
        <v>2465.97</v>
      </c>
      <c r="BP33" s="27" t="n">
        <v>2390.33</v>
      </c>
      <c r="BQ33" s="27" t="n">
        <v>2467.6</v>
      </c>
      <c r="BR33" s="27" t="n">
        <v>2834.17</v>
      </c>
      <c r="BS33" s="27" t="n">
        <v>2446.23</v>
      </c>
      <c r="BT33" s="27" t="n">
        <v>2709.13</v>
      </c>
      <c r="BU33" s="27" t="n">
        <v>2731.23</v>
      </c>
      <c r="BV33" s="27" t="n">
        <v>3203.93</v>
      </c>
      <c r="BW33" s="27" t="n">
        <v>2119.93</v>
      </c>
      <c r="BX33" s="27" t="n">
        <v>3338.23</v>
      </c>
      <c r="BY33" s="27" t="n">
        <v>3951.23</v>
      </c>
      <c r="BZ33" s="27" t="n">
        <v>4845.9</v>
      </c>
      <c r="CA33" s="27" t="n">
        <v>5603.13</v>
      </c>
      <c r="CB33" s="27" t="n">
        <v>6031.83</v>
      </c>
      <c r="CC33" s="27" t="n">
        <v>6133.93</v>
      </c>
      <c r="CD33" s="27" t="n">
        <v>6339.6</v>
      </c>
      <c r="CE33" s="27" t="n">
        <v>6314.3</v>
      </c>
      <c r="CF33" s="27" t="n">
        <v>6448</v>
      </c>
      <c r="CG33" s="27" t="n">
        <v>6828.07</v>
      </c>
      <c r="CH33" s="27" t="n">
        <v>7343.83</v>
      </c>
      <c r="CI33" s="27" t="n">
        <v>7928.2</v>
      </c>
      <c r="CJ33" s="27" t="n">
        <v>8326.23</v>
      </c>
      <c r="CK33" s="27" t="n">
        <v>8315.969999999999</v>
      </c>
      <c r="CL33" s="27" t="n">
        <v>8125.13</v>
      </c>
      <c r="CM33" s="27" t="n">
        <v>8217.93</v>
      </c>
      <c r="CN33" s="27" t="n">
        <v>8580.6</v>
      </c>
      <c r="CO33" s="27" t="n">
        <v>8848.969999999999</v>
      </c>
      <c r="CP33" s="27" t="n">
        <v>8870.4</v>
      </c>
      <c r="CQ33" s="27" t="n">
        <v>8897.5</v>
      </c>
      <c r="CR33" s="27" t="n">
        <v>8801.17</v>
      </c>
      <c r="CS33" s="27" t="n">
        <v>8315.57</v>
      </c>
      <c r="CT33" s="27" t="n">
        <v>8142.27</v>
      </c>
      <c r="CU33" s="27" t="n">
        <v>8377.469999999999</v>
      </c>
      <c r="CV33" s="27" t="n">
        <v>8213.030000000001</v>
      </c>
      <c r="CW33" s="27" t="n">
        <v>7663.13</v>
      </c>
      <c r="CX33" s="27" t="n">
        <v>7396.83</v>
      </c>
      <c r="CY33" s="27" t="n">
        <v>6938.63</v>
      </c>
      <c r="CZ33" s="27" t="n">
        <v>6898.53</v>
      </c>
      <c r="DA33" s="27" t="n">
        <v>6073.43</v>
      </c>
      <c r="DB33" s="27" t="n">
        <v>5813.8</v>
      </c>
      <c r="DC33" s="27" t="n">
        <v>5589.4</v>
      </c>
      <c r="DD33" s="27" t="n">
        <v>5578.03</v>
      </c>
      <c r="DE33" s="27" t="n">
        <v>5091.03</v>
      </c>
      <c r="DF33" s="27" t="n">
        <v>4884.73</v>
      </c>
      <c r="DG33" s="27" t="n">
        <v>5040.83</v>
      </c>
      <c r="DH33" s="27" t="n">
        <v>4875.93</v>
      </c>
      <c r="DI33" s="27" t="n">
        <v>4572.6</v>
      </c>
      <c r="DJ33" s="27" t="n">
        <v>4458.1</v>
      </c>
      <c r="DK33" s="27" t="n">
        <v>4900.97</v>
      </c>
      <c r="DL33" s="27" t="n">
        <v>5352.53</v>
      </c>
      <c r="DM33" s="27" t="n">
        <v>5182.9</v>
      </c>
      <c r="DN33" s="27" t="n">
        <v>4988.43</v>
      </c>
      <c r="DO33" s="27" t="n">
        <v>4928.6</v>
      </c>
      <c r="DP33" s="27" t="n">
        <v>5396.33</v>
      </c>
      <c r="DQ33" s="27" t="n">
        <v>5814.33</v>
      </c>
      <c r="DR33" s="27" t="n">
        <v>5771.37</v>
      </c>
      <c r="DS33" s="27" t="n">
        <v>5479.2</v>
      </c>
      <c r="DT33" s="27" t="n">
        <v>5442.93</v>
      </c>
      <c r="DU33" s="27" t="n">
        <v>5017.47</v>
      </c>
      <c r="DV33" s="27" t="n">
        <v>4301.7</v>
      </c>
      <c r="DW33" s="27" t="n">
        <v>3482.2</v>
      </c>
      <c r="DX33" s="27" t="n">
        <v>2829.8</v>
      </c>
      <c r="DY33" s="27" t="n">
        <v>2507.07</v>
      </c>
      <c r="DZ33" s="27" t="n">
        <v>2046.83</v>
      </c>
      <c r="EA33" s="27" t="n">
        <v>2301.53</v>
      </c>
      <c r="EB33" s="27" t="n">
        <v>2309.4</v>
      </c>
      <c r="EC33" s="27" t="n">
        <v>2002.97</v>
      </c>
      <c r="ED33" s="27" t="n">
        <v>1657.47</v>
      </c>
      <c r="EE33" s="27" t="n">
        <v>1391.17</v>
      </c>
      <c r="EF33" s="27" t="n">
        <v>1369.83</v>
      </c>
      <c r="EG33" s="27" t="n">
        <v>1312.37</v>
      </c>
      <c r="EH33" s="27" t="n">
        <v>1276.17</v>
      </c>
      <c r="EI33" s="27" t="n">
        <v>1317.8</v>
      </c>
      <c r="EJ33" s="27" t="n">
        <v>1359.7</v>
      </c>
      <c r="EK33" s="27" t="n">
        <v>1340.7</v>
      </c>
      <c r="EL33" s="27" t="n">
        <v>1327.37</v>
      </c>
      <c r="EM33" s="27" t="n">
        <v>1411.6</v>
      </c>
      <c r="EN33" s="27" t="n">
        <v>1491.17</v>
      </c>
      <c r="EO33" s="27" t="n">
        <v>1385.8</v>
      </c>
      <c r="EP33" s="27" t="n">
        <v>1477.53</v>
      </c>
      <c r="EQ33" s="27" t="n">
        <v>1531.67</v>
      </c>
      <c r="ER33" s="27" t="n">
        <v>1612</v>
      </c>
      <c r="ES33" s="27" t="n">
        <v>1583.8</v>
      </c>
      <c r="ET33" s="27" t="n">
        <v>1608.1</v>
      </c>
      <c r="EU33" s="27" t="n">
        <v>1297.7</v>
      </c>
      <c r="EV33" s="27" t="n">
        <v>1452.03</v>
      </c>
      <c r="EW33" s="27" t="n">
        <v>1947.83</v>
      </c>
      <c r="EX33" s="27" t="n">
        <v>2232.8</v>
      </c>
      <c r="EY33" s="27" t="n">
        <v>2264.47</v>
      </c>
      <c r="EZ33" s="27" t="n">
        <v>2538.2</v>
      </c>
      <c r="FA33" s="27" t="n">
        <v>2577.1</v>
      </c>
      <c r="FB33" s="27" t="n">
        <v>2833.13</v>
      </c>
      <c r="FC33" s="27" t="n">
        <v>2889.53</v>
      </c>
      <c r="FD33" s="27" t="n">
        <v>2956.27</v>
      </c>
      <c r="FE33" s="27" t="n">
        <v>3051.3</v>
      </c>
      <c r="FF33" s="27" t="n">
        <v>3028.6</v>
      </c>
      <c r="FG33" s="27" t="n">
        <v>2465.97</v>
      </c>
      <c r="FH33" s="27" t="n">
        <v>2390.33</v>
      </c>
      <c r="FI33" s="27" t="n">
        <v>2467.6</v>
      </c>
      <c r="FJ33" s="27" t="n">
        <v>2834.17</v>
      </c>
      <c r="FK33" s="27" t="n">
        <v>2446.23</v>
      </c>
      <c r="FL33" s="27" t="n">
        <v>2709.13</v>
      </c>
      <c r="FM33" s="27" t="n">
        <v>2731.23</v>
      </c>
      <c r="FN33" s="27" t="n">
        <v>3203.93</v>
      </c>
      <c r="FO33" s="27" t="n">
        <v>2119.93</v>
      </c>
      <c r="FP33" s="27" t="n">
        <v>3338.23</v>
      </c>
      <c r="FQ33" s="27" t="n">
        <v>3951.23</v>
      </c>
      <c r="FR33" s="27" t="n">
        <v>4845.9</v>
      </c>
      <c r="FS33" s="27" t="n">
        <v>5603.13</v>
      </c>
      <c r="FT33" s="27" t="n">
        <v>6031.83</v>
      </c>
      <c r="FU33" s="27" t="n">
        <v>6133.93</v>
      </c>
      <c r="FV33" s="27" t="n">
        <v>6339.6</v>
      </c>
      <c r="FW33" s="27" t="n">
        <v>6314.3</v>
      </c>
      <c r="FX33" s="27" t="n">
        <v>6448</v>
      </c>
      <c r="FY33" s="27" t="n">
        <v>6828.07</v>
      </c>
      <c r="FZ33" s="27" t="n">
        <v>7343.83</v>
      </c>
      <c r="GA33" s="27" t="n">
        <v>7928.2</v>
      </c>
      <c r="GB33" s="27" t="n">
        <v>8326.23</v>
      </c>
      <c r="GC33" s="27" t="n">
        <v>8315.969999999999</v>
      </c>
      <c r="GD33" s="27" t="n">
        <v>8125.13</v>
      </c>
      <c r="GE33" s="27" t="n">
        <v>8217.93</v>
      </c>
      <c r="GF33" s="27" t="n">
        <v>8580.6</v>
      </c>
      <c r="GG33" s="27" t="n">
        <v>8848.969999999999</v>
      </c>
      <c r="GH33" s="27" t="n">
        <v>8870.4</v>
      </c>
      <c r="GI33" s="27" t="n">
        <v>8897.5</v>
      </c>
      <c r="GJ33" s="27" t="n">
        <v>8801.17</v>
      </c>
      <c r="GK33" s="27" t="n">
        <v>8315.57</v>
      </c>
      <c r="GL33" s="27" t="n">
        <v>8142.27</v>
      </c>
    </row>
    <row r="34">
      <c r="A34" s="6" t="inlineStr">
        <is>
          <t>RTM|7</t>
        </is>
      </c>
      <c r="B34" s="2" t="n">
        <v>29</v>
      </c>
      <c r="C34" s="27" t="n">
        <v>7616.9</v>
      </c>
      <c r="D34" s="27" t="n">
        <v>7296.07</v>
      </c>
      <c r="E34" s="27" t="n">
        <v>6734.28</v>
      </c>
      <c r="F34" s="27" t="n">
        <v>6375.17</v>
      </c>
      <c r="G34" s="27" t="n">
        <v>5796.03</v>
      </c>
      <c r="H34" s="27" t="n">
        <v>5342.69</v>
      </c>
      <c r="I34" s="27" t="n">
        <v>4886.34</v>
      </c>
      <c r="J34" s="27" t="n">
        <v>4834.1</v>
      </c>
      <c r="K34" s="27" t="n">
        <v>4729.1</v>
      </c>
      <c r="L34" s="27" t="n">
        <v>4730.72</v>
      </c>
      <c r="M34" s="27" t="n">
        <v>4365.52</v>
      </c>
      <c r="N34" s="27" t="n">
        <v>4499.72</v>
      </c>
      <c r="O34" s="27" t="n">
        <v>3960.45</v>
      </c>
      <c r="P34" s="27" t="n">
        <v>3968.48</v>
      </c>
      <c r="Q34" s="27" t="n">
        <v>4293.17</v>
      </c>
      <c r="R34" s="27" t="n">
        <v>4164.31</v>
      </c>
      <c r="S34" s="27" t="n">
        <v>4275.1</v>
      </c>
      <c r="T34" s="27" t="n">
        <v>4324.17</v>
      </c>
      <c r="U34" s="27" t="n">
        <v>4383.24</v>
      </c>
      <c r="V34" s="27" t="n">
        <v>4475.41</v>
      </c>
      <c r="W34" s="27" t="n">
        <v>4703.69</v>
      </c>
      <c r="X34" s="27" t="n">
        <v>4824.03</v>
      </c>
      <c r="Y34" s="27" t="n">
        <v>5127.93</v>
      </c>
      <c r="Z34" s="27" t="n">
        <v>5394.48</v>
      </c>
      <c r="AA34" s="27" t="n">
        <v>5569.55</v>
      </c>
      <c r="AB34" s="27" t="n">
        <v>6006.83</v>
      </c>
      <c r="AC34" s="27" t="n">
        <v>5801.76</v>
      </c>
      <c r="AD34" s="27" t="n">
        <v>5473.62</v>
      </c>
      <c r="AE34" s="27" t="n">
        <v>4464.17</v>
      </c>
      <c r="AF34" s="27" t="n">
        <v>3862.59</v>
      </c>
      <c r="AG34" s="27" t="n">
        <v>3217.17</v>
      </c>
      <c r="AH34" s="27" t="n">
        <v>2504.79</v>
      </c>
      <c r="AI34" s="27" t="n">
        <v>2605.9</v>
      </c>
      <c r="AJ34" s="27" t="n">
        <v>2618.48</v>
      </c>
      <c r="AK34" s="27" t="n">
        <v>2543.52</v>
      </c>
      <c r="AL34" s="27" t="n">
        <v>2434.38</v>
      </c>
      <c r="AM34" s="27" t="n">
        <v>2257.97</v>
      </c>
      <c r="AN34" s="27" t="n">
        <v>2023.45</v>
      </c>
      <c r="AO34" s="27" t="n">
        <v>2005.9</v>
      </c>
      <c r="AP34" s="27" t="n">
        <v>1817.1</v>
      </c>
      <c r="AQ34" s="27" t="n">
        <v>1648.52</v>
      </c>
      <c r="AR34" s="27" t="n">
        <v>1676.24</v>
      </c>
      <c r="AS34" s="27" t="n">
        <v>1600.24</v>
      </c>
      <c r="AT34" s="27" t="n">
        <v>1586.07</v>
      </c>
      <c r="AU34" s="27" t="n">
        <v>1539.28</v>
      </c>
      <c r="AV34" s="27" t="n">
        <v>1590.24</v>
      </c>
      <c r="AW34" s="27" t="n">
        <v>1371.55</v>
      </c>
      <c r="AX34" s="27" t="n">
        <v>1461.72</v>
      </c>
      <c r="AY34" s="27" t="n">
        <v>1354.21</v>
      </c>
      <c r="AZ34" s="27" t="n">
        <v>1364.21</v>
      </c>
      <c r="BA34" s="27" t="n">
        <v>1251.59</v>
      </c>
      <c r="BB34" s="27" t="n">
        <v>1196.83</v>
      </c>
      <c r="BC34" s="27" t="n">
        <v>983.59</v>
      </c>
      <c r="BD34" s="27" t="n">
        <v>1061.41</v>
      </c>
      <c r="BE34" s="27" t="n">
        <v>1282.79</v>
      </c>
      <c r="BF34" s="27" t="n">
        <v>1499.76</v>
      </c>
      <c r="BG34" s="27" t="n">
        <v>1518.17</v>
      </c>
      <c r="BH34" s="27" t="n">
        <v>1770.93</v>
      </c>
      <c r="BI34" s="27" t="n">
        <v>1928.45</v>
      </c>
      <c r="BJ34" s="27" t="n">
        <v>2088.28</v>
      </c>
      <c r="BK34" s="27" t="n">
        <v>2066.34</v>
      </c>
      <c r="BL34" s="27" t="n">
        <v>2163.28</v>
      </c>
      <c r="BM34" s="27" t="n">
        <v>2422.93</v>
      </c>
      <c r="BN34" s="27" t="n">
        <v>2552.17</v>
      </c>
      <c r="BO34" s="27" t="n">
        <v>2358.55</v>
      </c>
      <c r="BP34" s="27" t="n">
        <v>2543.14</v>
      </c>
      <c r="BQ34" s="27" t="n">
        <v>2746.83</v>
      </c>
      <c r="BR34" s="27" t="n">
        <v>2986.28</v>
      </c>
      <c r="BS34" s="27" t="n">
        <v>2760.41</v>
      </c>
      <c r="BT34" s="27" t="n">
        <v>2903.93</v>
      </c>
      <c r="BU34" s="27" t="n">
        <v>3350.76</v>
      </c>
      <c r="BV34" s="27" t="n">
        <v>3676.38</v>
      </c>
      <c r="BW34" s="27" t="n">
        <v>2631.48</v>
      </c>
      <c r="BX34" s="27" t="n">
        <v>3850.86</v>
      </c>
      <c r="BY34" s="27" t="n">
        <v>5226.69</v>
      </c>
      <c r="BZ34" s="27" t="n">
        <v>6184.59</v>
      </c>
      <c r="CA34" s="27" t="n">
        <v>6841.69</v>
      </c>
      <c r="CB34" s="27" t="n">
        <v>7324.31</v>
      </c>
      <c r="CC34" s="27" t="n">
        <v>7815.52</v>
      </c>
      <c r="CD34" s="27" t="n">
        <v>7922.31</v>
      </c>
      <c r="CE34" s="27" t="n">
        <v>8069.1</v>
      </c>
      <c r="CF34" s="27" t="n">
        <v>8131.83</v>
      </c>
      <c r="CG34" s="27" t="n">
        <v>8328.719999999999</v>
      </c>
      <c r="CH34" s="27" t="n">
        <v>8586.280000000001</v>
      </c>
      <c r="CI34" s="27" t="n">
        <v>8595.280000000001</v>
      </c>
      <c r="CJ34" s="27" t="n">
        <v>8739.690000000001</v>
      </c>
      <c r="CK34" s="27" t="n">
        <v>8699.93</v>
      </c>
      <c r="CL34" s="27" t="n">
        <v>8742.690000000001</v>
      </c>
      <c r="CM34" s="27" t="n">
        <v>8942.549999999999</v>
      </c>
      <c r="CN34" s="27" t="n">
        <v>8976.719999999999</v>
      </c>
      <c r="CO34" s="27" t="n">
        <v>8889.450000000001</v>
      </c>
      <c r="CP34" s="27" t="n">
        <v>8792.59</v>
      </c>
      <c r="CQ34" s="27" t="n">
        <v>8385.969999999999</v>
      </c>
      <c r="CR34" s="27" t="n">
        <v>8101.14</v>
      </c>
      <c r="CS34" s="27" t="n">
        <v>7685.93</v>
      </c>
      <c r="CT34" s="27" t="n">
        <v>7444.14</v>
      </c>
      <c r="CU34" s="27" t="n">
        <v>7616.9</v>
      </c>
      <c r="CV34" s="27" t="n">
        <v>7296.07</v>
      </c>
      <c r="CW34" s="27" t="n">
        <v>6734.28</v>
      </c>
      <c r="CX34" s="27" t="n">
        <v>6375.17</v>
      </c>
      <c r="CY34" s="27" t="n">
        <v>5796.03</v>
      </c>
      <c r="CZ34" s="27" t="n">
        <v>5342.69</v>
      </c>
      <c r="DA34" s="27" t="n">
        <v>4886.34</v>
      </c>
      <c r="DB34" s="27" t="n">
        <v>4834.1</v>
      </c>
      <c r="DC34" s="27" t="n">
        <v>4729.1</v>
      </c>
      <c r="DD34" s="27" t="n">
        <v>4730.72</v>
      </c>
      <c r="DE34" s="27" t="n">
        <v>4365.52</v>
      </c>
      <c r="DF34" s="27" t="n">
        <v>4499.72</v>
      </c>
      <c r="DG34" s="27" t="n">
        <v>3960.45</v>
      </c>
      <c r="DH34" s="27" t="n">
        <v>3968.48</v>
      </c>
      <c r="DI34" s="27" t="n">
        <v>4293.17</v>
      </c>
      <c r="DJ34" s="27" t="n">
        <v>4164.31</v>
      </c>
      <c r="DK34" s="27" t="n">
        <v>4275.1</v>
      </c>
      <c r="DL34" s="27" t="n">
        <v>4324.17</v>
      </c>
      <c r="DM34" s="27" t="n">
        <v>4383.24</v>
      </c>
      <c r="DN34" s="27" t="n">
        <v>4475.41</v>
      </c>
      <c r="DO34" s="27" t="n">
        <v>4703.69</v>
      </c>
      <c r="DP34" s="27" t="n">
        <v>4824.03</v>
      </c>
      <c r="DQ34" s="27" t="n">
        <v>5127.93</v>
      </c>
      <c r="DR34" s="27" t="n">
        <v>5394.48</v>
      </c>
      <c r="DS34" s="27" t="n">
        <v>5569.55</v>
      </c>
      <c r="DT34" s="27" t="n">
        <v>6006.83</v>
      </c>
      <c r="DU34" s="27" t="n">
        <v>5801.76</v>
      </c>
      <c r="DV34" s="27" t="n">
        <v>5473.62</v>
      </c>
      <c r="DW34" s="27" t="n">
        <v>4464.17</v>
      </c>
      <c r="DX34" s="27" t="n">
        <v>3862.59</v>
      </c>
      <c r="DY34" s="27" t="n">
        <v>3217.17</v>
      </c>
      <c r="DZ34" s="27" t="n">
        <v>2504.79</v>
      </c>
      <c r="EA34" s="27" t="n">
        <v>2605.9</v>
      </c>
      <c r="EB34" s="27" t="n">
        <v>2618.48</v>
      </c>
      <c r="EC34" s="27" t="n">
        <v>2543.52</v>
      </c>
      <c r="ED34" s="27" t="n">
        <v>2434.38</v>
      </c>
      <c r="EE34" s="27" t="n">
        <v>2257.97</v>
      </c>
      <c r="EF34" s="27" t="n">
        <v>2023.45</v>
      </c>
      <c r="EG34" s="27" t="n">
        <v>2005.9</v>
      </c>
      <c r="EH34" s="27" t="n">
        <v>1817.1</v>
      </c>
      <c r="EI34" s="27" t="n">
        <v>1648.52</v>
      </c>
      <c r="EJ34" s="27" t="n">
        <v>1676.24</v>
      </c>
      <c r="EK34" s="27" t="n">
        <v>1600.24</v>
      </c>
      <c r="EL34" s="27" t="n">
        <v>1586.07</v>
      </c>
      <c r="EM34" s="27" t="n">
        <v>1539.28</v>
      </c>
      <c r="EN34" s="27" t="n">
        <v>1590.24</v>
      </c>
      <c r="EO34" s="27" t="n">
        <v>1371.55</v>
      </c>
      <c r="EP34" s="27" t="n">
        <v>1461.72</v>
      </c>
      <c r="EQ34" s="27" t="n">
        <v>1354.21</v>
      </c>
      <c r="ER34" s="27" t="n">
        <v>1364.21</v>
      </c>
      <c r="ES34" s="27" t="n">
        <v>1251.59</v>
      </c>
      <c r="ET34" s="27" t="n">
        <v>1196.83</v>
      </c>
      <c r="EU34" s="27" t="n">
        <v>983.59</v>
      </c>
      <c r="EV34" s="27" t="n">
        <v>1061.41</v>
      </c>
      <c r="EW34" s="27" t="n">
        <v>1282.79</v>
      </c>
      <c r="EX34" s="27" t="n">
        <v>1499.76</v>
      </c>
      <c r="EY34" s="27" t="n">
        <v>1518.17</v>
      </c>
      <c r="EZ34" s="27" t="n">
        <v>1770.93</v>
      </c>
      <c r="FA34" s="27" t="n">
        <v>1928.45</v>
      </c>
      <c r="FB34" s="27" t="n">
        <v>2088.28</v>
      </c>
      <c r="FC34" s="27" t="n">
        <v>2066.34</v>
      </c>
      <c r="FD34" s="27" t="n">
        <v>2163.28</v>
      </c>
      <c r="FE34" s="27" t="n">
        <v>2422.93</v>
      </c>
      <c r="FF34" s="27" t="n">
        <v>2552.17</v>
      </c>
      <c r="FG34" s="27" t="n">
        <v>2358.55</v>
      </c>
      <c r="FH34" s="27" t="n">
        <v>2543.14</v>
      </c>
      <c r="FI34" s="27" t="n">
        <v>2746.83</v>
      </c>
      <c r="FJ34" s="27" t="n">
        <v>2986.28</v>
      </c>
      <c r="FK34" s="27" t="n">
        <v>2760.41</v>
      </c>
      <c r="FL34" s="27" t="n">
        <v>2903.93</v>
      </c>
      <c r="FM34" s="27" t="n">
        <v>3350.76</v>
      </c>
      <c r="FN34" s="27" t="n">
        <v>3676.38</v>
      </c>
      <c r="FO34" s="27" t="n">
        <v>2631.48</v>
      </c>
      <c r="FP34" s="27" t="n">
        <v>3850.86</v>
      </c>
      <c r="FQ34" s="27" t="n">
        <v>5226.69</v>
      </c>
      <c r="FR34" s="27" t="n">
        <v>6184.59</v>
      </c>
      <c r="FS34" s="27" t="n">
        <v>6841.69</v>
      </c>
      <c r="FT34" s="27" t="n">
        <v>7324.31</v>
      </c>
      <c r="FU34" s="27" t="n">
        <v>7815.52</v>
      </c>
      <c r="FV34" s="27" t="n">
        <v>7922.31</v>
      </c>
      <c r="FW34" s="27" t="n">
        <v>8069.1</v>
      </c>
      <c r="FX34" s="27" t="n">
        <v>8131.83</v>
      </c>
      <c r="FY34" s="27" t="n">
        <v>8328.719999999999</v>
      </c>
      <c r="FZ34" s="27" t="n">
        <v>8586.280000000001</v>
      </c>
      <c r="GA34" s="27" t="n">
        <v>8595.280000000001</v>
      </c>
      <c r="GB34" s="27" t="n">
        <v>8739.690000000001</v>
      </c>
      <c r="GC34" s="27" t="n">
        <v>8699.93</v>
      </c>
      <c r="GD34" s="27" t="n">
        <v>8742.690000000001</v>
      </c>
      <c r="GE34" s="27" t="n">
        <v>8942.549999999999</v>
      </c>
      <c r="GF34" s="27" t="n">
        <v>8976.719999999999</v>
      </c>
      <c r="GG34" s="27" t="n">
        <v>8889.450000000001</v>
      </c>
      <c r="GH34" s="27" t="n">
        <v>8792.59</v>
      </c>
      <c r="GI34" s="27" t="n">
        <v>8385.969999999999</v>
      </c>
      <c r="GJ34" s="27" t="n">
        <v>8101.14</v>
      </c>
      <c r="GK34" s="27" t="n">
        <v>7685.93</v>
      </c>
      <c r="GL34" s="27" t="n">
        <v>7444.14</v>
      </c>
    </row>
    <row r="35">
      <c r="A35" s="6" t="inlineStr">
        <is>
          <t>RTM|8</t>
        </is>
      </c>
      <c r="B35" s="2" t="n">
        <v>29</v>
      </c>
      <c r="C35" s="27" t="n">
        <v>6619.72</v>
      </c>
      <c r="D35" s="27" t="n">
        <v>6376.41</v>
      </c>
      <c r="E35" s="27" t="n">
        <v>6028.79</v>
      </c>
      <c r="F35" s="27" t="n">
        <v>5752.9</v>
      </c>
      <c r="G35" s="27" t="n">
        <v>5206.24</v>
      </c>
      <c r="H35" s="27" t="n">
        <v>4967.34</v>
      </c>
      <c r="I35" s="27" t="n">
        <v>4615.28</v>
      </c>
      <c r="J35" s="27" t="n">
        <v>4122.97</v>
      </c>
      <c r="K35" s="27" t="n">
        <v>4248.66</v>
      </c>
      <c r="L35" s="27" t="n">
        <v>4182.24</v>
      </c>
      <c r="M35" s="27" t="n">
        <v>4178.86</v>
      </c>
      <c r="N35" s="27" t="n">
        <v>4223.52</v>
      </c>
      <c r="O35" s="27" t="n">
        <v>4013.55</v>
      </c>
      <c r="P35" s="27" t="n">
        <v>3857.48</v>
      </c>
      <c r="Q35" s="27" t="n">
        <v>3632.45</v>
      </c>
      <c r="R35" s="27" t="n">
        <v>3496.48</v>
      </c>
      <c r="S35" s="27" t="n">
        <v>3665.1</v>
      </c>
      <c r="T35" s="27" t="n">
        <v>3729.97</v>
      </c>
      <c r="U35" s="27" t="n">
        <v>3792.72</v>
      </c>
      <c r="V35" s="27" t="n">
        <v>3988.03</v>
      </c>
      <c r="W35" s="27" t="n">
        <v>4422.52</v>
      </c>
      <c r="X35" s="27" t="n">
        <v>5038.52</v>
      </c>
      <c r="Y35" s="27" t="n">
        <v>5757.52</v>
      </c>
      <c r="Z35" s="27" t="n">
        <v>6075.1</v>
      </c>
      <c r="AA35" s="27" t="n">
        <v>6562.79</v>
      </c>
      <c r="AB35" s="27" t="n">
        <v>7025.21</v>
      </c>
      <c r="AC35" s="27" t="n">
        <v>6969.03</v>
      </c>
      <c r="AD35" s="27" t="n">
        <v>6608.55</v>
      </c>
      <c r="AE35" s="27" t="n">
        <v>5931.86</v>
      </c>
      <c r="AF35" s="27" t="n">
        <v>5149.21</v>
      </c>
      <c r="AG35" s="27" t="n">
        <v>3405.52</v>
      </c>
      <c r="AH35" s="27" t="n">
        <v>2220.38</v>
      </c>
      <c r="AI35" s="27" t="n">
        <v>2590.07</v>
      </c>
      <c r="AJ35" s="27" t="n">
        <v>2655.83</v>
      </c>
      <c r="AK35" s="27" t="n">
        <v>2675.72</v>
      </c>
      <c r="AL35" s="27" t="n">
        <v>2539.79</v>
      </c>
      <c r="AM35" s="27" t="n">
        <v>2341.14</v>
      </c>
      <c r="AN35" s="27" t="n">
        <v>1933.97</v>
      </c>
      <c r="AO35" s="27" t="n">
        <v>1746.14</v>
      </c>
      <c r="AP35" s="27" t="n">
        <v>1571.45</v>
      </c>
      <c r="AQ35" s="27" t="n">
        <v>1486.07</v>
      </c>
      <c r="AR35" s="27" t="n">
        <v>1493.66</v>
      </c>
      <c r="AS35" s="27" t="n">
        <v>1583.38</v>
      </c>
      <c r="AT35" s="27" t="n">
        <v>1575.03</v>
      </c>
      <c r="AU35" s="27" t="n">
        <v>1607.55</v>
      </c>
      <c r="AV35" s="27" t="n">
        <v>1684.48</v>
      </c>
      <c r="AW35" s="27" t="n">
        <v>1520.79</v>
      </c>
      <c r="AX35" s="27" t="n">
        <v>1543.97</v>
      </c>
      <c r="AY35" s="27" t="n">
        <v>1314.28</v>
      </c>
      <c r="AZ35" s="27" t="n">
        <v>1302.21</v>
      </c>
      <c r="BA35" s="27" t="n">
        <v>1184.38</v>
      </c>
      <c r="BB35" s="27" t="n">
        <v>1173.83</v>
      </c>
      <c r="BC35" s="27" t="n">
        <v>972.28</v>
      </c>
      <c r="BD35" s="27" t="n">
        <v>1027.66</v>
      </c>
      <c r="BE35" s="27" t="n">
        <v>1203.69</v>
      </c>
      <c r="BF35" s="27" t="n">
        <v>1423.69</v>
      </c>
      <c r="BG35" s="27" t="n">
        <v>1441.66</v>
      </c>
      <c r="BH35" s="27" t="n">
        <v>1683.41</v>
      </c>
      <c r="BI35" s="27" t="n">
        <v>1876.62</v>
      </c>
      <c r="BJ35" s="27" t="n">
        <v>1959.48</v>
      </c>
      <c r="BK35" s="27" t="n">
        <v>2050.59</v>
      </c>
      <c r="BL35" s="27" t="n">
        <v>2111.83</v>
      </c>
      <c r="BM35" s="27" t="n">
        <v>2167.14</v>
      </c>
      <c r="BN35" s="27" t="n">
        <v>2360</v>
      </c>
      <c r="BO35" s="27" t="n">
        <v>2065.07</v>
      </c>
      <c r="BP35" s="27" t="n">
        <v>2430.38</v>
      </c>
      <c r="BQ35" s="27" t="n">
        <v>2656.34</v>
      </c>
      <c r="BR35" s="27" t="n">
        <v>2936.79</v>
      </c>
      <c r="BS35" s="27" t="n">
        <v>2663.28</v>
      </c>
      <c r="BT35" s="27" t="n">
        <v>3053.07</v>
      </c>
      <c r="BU35" s="27" t="n">
        <v>3510.21</v>
      </c>
      <c r="BV35" s="27" t="n">
        <v>4149</v>
      </c>
      <c r="BW35" s="27" t="n">
        <v>3413.83</v>
      </c>
      <c r="BX35" s="27" t="n">
        <v>4989.93</v>
      </c>
      <c r="BY35" s="27" t="n">
        <v>5985.72</v>
      </c>
      <c r="BZ35" s="27" t="n">
        <v>6607.34</v>
      </c>
      <c r="CA35" s="27" t="n">
        <v>7510.93</v>
      </c>
      <c r="CB35" s="27" t="n">
        <v>8109.52</v>
      </c>
      <c r="CC35" s="27" t="n">
        <v>8215.450000000001</v>
      </c>
      <c r="CD35" s="27" t="n">
        <v>8364.1</v>
      </c>
      <c r="CE35" s="27" t="n">
        <v>8070.86</v>
      </c>
      <c r="CF35" s="27" t="n">
        <v>8075.59</v>
      </c>
      <c r="CG35" s="27" t="n">
        <v>8089.07</v>
      </c>
      <c r="CH35" s="27" t="n">
        <v>8183.21</v>
      </c>
      <c r="CI35" s="27" t="n">
        <v>8164.97</v>
      </c>
      <c r="CJ35" s="27" t="n">
        <v>8316.030000000001</v>
      </c>
      <c r="CK35" s="27" t="n">
        <v>8084.9</v>
      </c>
      <c r="CL35" s="27" t="n">
        <v>7980.1</v>
      </c>
      <c r="CM35" s="27" t="n">
        <v>7989.28</v>
      </c>
      <c r="CN35" s="27" t="n">
        <v>8025.76</v>
      </c>
      <c r="CO35" s="27" t="n">
        <v>7906.66</v>
      </c>
      <c r="CP35" s="27" t="n">
        <v>7890.28</v>
      </c>
      <c r="CQ35" s="27" t="n">
        <v>7740</v>
      </c>
      <c r="CR35" s="27" t="n">
        <v>7630.55</v>
      </c>
      <c r="CS35" s="27" t="n">
        <v>6803.59</v>
      </c>
      <c r="CT35" s="27" t="n">
        <v>6490.34</v>
      </c>
      <c r="CU35" s="27" t="n">
        <v>6619.72</v>
      </c>
      <c r="CV35" s="27" t="n">
        <v>6376.41</v>
      </c>
      <c r="CW35" s="27" t="n">
        <v>6028.79</v>
      </c>
      <c r="CX35" s="27" t="n">
        <v>5752.9</v>
      </c>
      <c r="CY35" s="27" t="n">
        <v>5206.24</v>
      </c>
      <c r="CZ35" s="27" t="n">
        <v>4967.34</v>
      </c>
      <c r="DA35" s="27" t="n">
        <v>4615.28</v>
      </c>
      <c r="DB35" s="27" t="n">
        <v>4122.97</v>
      </c>
      <c r="DC35" s="27" t="n">
        <v>4248.66</v>
      </c>
      <c r="DD35" s="27" t="n">
        <v>4182.24</v>
      </c>
      <c r="DE35" s="27" t="n">
        <v>4178.86</v>
      </c>
      <c r="DF35" s="27" t="n">
        <v>4223.52</v>
      </c>
      <c r="DG35" s="27" t="n">
        <v>4013.55</v>
      </c>
      <c r="DH35" s="27" t="n">
        <v>3857.48</v>
      </c>
      <c r="DI35" s="27" t="n">
        <v>3632.45</v>
      </c>
      <c r="DJ35" s="27" t="n">
        <v>3496.48</v>
      </c>
      <c r="DK35" s="27" t="n">
        <v>3665.1</v>
      </c>
      <c r="DL35" s="27" t="n">
        <v>3729.97</v>
      </c>
      <c r="DM35" s="27" t="n">
        <v>3792.72</v>
      </c>
      <c r="DN35" s="27" t="n">
        <v>3988.03</v>
      </c>
      <c r="DO35" s="27" t="n">
        <v>4422.52</v>
      </c>
      <c r="DP35" s="27" t="n">
        <v>5038.52</v>
      </c>
      <c r="DQ35" s="27" t="n">
        <v>5757.52</v>
      </c>
      <c r="DR35" s="27" t="n">
        <v>6075.1</v>
      </c>
      <c r="DS35" s="27" t="n">
        <v>6562.79</v>
      </c>
      <c r="DT35" s="27" t="n">
        <v>7025.21</v>
      </c>
      <c r="DU35" s="27" t="n">
        <v>6969.03</v>
      </c>
      <c r="DV35" s="27" t="n">
        <v>6608.55</v>
      </c>
      <c r="DW35" s="27" t="n">
        <v>5931.86</v>
      </c>
      <c r="DX35" s="27" t="n">
        <v>5149.21</v>
      </c>
      <c r="DY35" s="27" t="n">
        <v>3405.52</v>
      </c>
      <c r="DZ35" s="27" t="n">
        <v>2220.38</v>
      </c>
      <c r="EA35" s="27" t="n">
        <v>2590.07</v>
      </c>
      <c r="EB35" s="27" t="n">
        <v>2655.83</v>
      </c>
      <c r="EC35" s="27" t="n">
        <v>2675.72</v>
      </c>
      <c r="ED35" s="27" t="n">
        <v>2539.79</v>
      </c>
      <c r="EE35" s="27" t="n">
        <v>2341.14</v>
      </c>
      <c r="EF35" s="27" t="n">
        <v>1933.97</v>
      </c>
      <c r="EG35" s="27" t="n">
        <v>1746.14</v>
      </c>
      <c r="EH35" s="27" t="n">
        <v>1571.45</v>
      </c>
      <c r="EI35" s="27" t="n">
        <v>1486.07</v>
      </c>
      <c r="EJ35" s="27" t="n">
        <v>1493.66</v>
      </c>
      <c r="EK35" s="27" t="n">
        <v>1583.38</v>
      </c>
      <c r="EL35" s="27" t="n">
        <v>1575.03</v>
      </c>
      <c r="EM35" s="27" t="n">
        <v>1607.55</v>
      </c>
      <c r="EN35" s="27" t="n">
        <v>1684.48</v>
      </c>
      <c r="EO35" s="27" t="n">
        <v>1520.79</v>
      </c>
      <c r="EP35" s="27" t="n">
        <v>1543.97</v>
      </c>
      <c r="EQ35" s="27" t="n">
        <v>1314.28</v>
      </c>
      <c r="ER35" s="27" t="n">
        <v>1302.21</v>
      </c>
      <c r="ES35" s="27" t="n">
        <v>1184.38</v>
      </c>
      <c r="ET35" s="27" t="n">
        <v>1173.83</v>
      </c>
      <c r="EU35" s="27" t="n">
        <v>972.28</v>
      </c>
      <c r="EV35" s="27" t="n">
        <v>1027.66</v>
      </c>
      <c r="EW35" s="27" t="n">
        <v>1203.69</v>
      </c>
      <c r="EX35" s="27" t="n">
        <v>1423.69</v>
      </c>
      <c r="EY35" s="27" t="n">
        <v>1441.66</v>
      </c>
      <c r="EZ35" s="27" t="n">
        <v>1683.41</v>
      </c>
      <c r="FA35" s="27" t="n">
        <v>1876.62</v>
      </c>
      <c r="FB35" s="27" t="n">
        <v>1959.48</v>
      </c>
      <c r="FC35" s="27" t="n">
        <v>2050.59</v>
      </c>
      <c r="FD35" s="27" t="n">
        <v>2111.83</v>
      </c>
      <c r="FE35" s="27" t="n">
        <v>2167.14</v>
      </c>
      <c r="FF35" s="27" t="n">
        <v>2360</v>
      </c>
      <c r="FG35" s="27" t="n">
        <v>2065.07</v>
      </c>
      <c r="FH35" s="27" t="n">
        <v>2430.38</v>
      </c>
      <c r="FI35" s="27" t="n">
        <v>2656.34</v>
      </c>
      <c r="FJ35" s="27" t="n">
        <v>2936.79</v>
      </c>
      <c r="FK35" s="27" t="n">
        <v>2663.28</v>
      </c>
      <c r="FL35" s="27" t="n">
        <v>3053.07</v>
      </c>
      <c r="FM35" s="27" t="n">
        <v>3510.21</v>
      </c>
      <c r="FN35" s="27" t="n">
        <v>4149</v>
      </c>
      <c r="FO35" s="27" t="n">
        <v>3413.83</v>
      </c>
      <c r="FP35" s="27" t="n">
        <v>4989.93</v>
      </c>
      <c r="FQ35" s="27" t="n">
        <v>5985.72</v>
      </c>
      <c r="FR35" s="27" t="n">
        <v>6607.34</v>
      </c>
      <c r="FS35" s="27" t="n">
        <v>7510.93</v>
      </c>
      <c r="FT35" s="27" t="n">
        <v>8109.52</v>
      </c>
      <c r="FU35" s="27" t="n">
        <v>8215.450000000001</v>
      </c>
      <c r="FV35" s="27" t="n">
        <v>8364.1</v>
      </c>
      <c r="FW35" s="27" t="n">
        <v>8070.86</v>
      </c>
      <c r="FX35" s="27" t="n">
        <v>8075.59</v>
      </c>
      <c r="FY35" s="27" t="n">
        <v>8089.07</v>
      </c>
      <c r="FZ35" s="27" t="n">
        <v>8183.21</v>
      </c>
      <c r="GA35" s="27" t="n">
        <v>8164.97</v>
      </c>
      <c r="GB35" s="27" t="n">
        <v>8316.030000000001</v>
      </c>
      <c r="GC35" s="27" t="n">
        <v>8084.9</v>
      </c>
      <c r="GD35" s="27" t="n">
        <v>7980.1</v>
      </c>
      <c r="GE35" s="27" t="n">
        <v>7989.28</v>
      </c>
      <c r="GF35" s="27" t="n">
        <v>8025.76</v>
      </c>
      <c r="GG35" s="27" t="n">
        <v>7906.66</v>
      </c>
      <c r="GH35" s="27" t="n">
        <v>7890.28</v>
      </c>
      <c r="GI35" s="27" t="n">
        <v>7740</v>
      </c>
      <c r="GJ35" s="27" t="n">
        <v>7630.55</v>
      </c>
      <c r="GK35" s="27" t="n">
        <v>6803.59</v>
      </c>
      <c r="GL35" s="27" t="n">
        <v>6490.34</v>
      </c>
    </row>
    <row r="36">
      <c r="A36" s="6" t="inlineStr">
        <is>
          <t>RTM|9</t>
        </is>
      </c>
      <c r="B36" s="2" t="n">
        <v>34</v>
      </c>
      <c r="C36" s="27" t="n">
        <v>7985.71</v>
      </c>
      <c r="D36" s="27" t="n">
        <v>7957.21</v>
      </c>
      <c r="E36" s="27" t="n">
        <v>7916.85</v>
      </c>
      <c r="F36" s="27" t="n">
        <v>7875.94</v>
      </c>
      <c r="G36" s="27" t="n">
        <v>7823.68</v>
      </c>
      <c r="H36" s="27" t="n">
        <v>7766.5</v>
      </c>
      <c r="I36" s="27" t="n">
        <v>7777</v>
      </c>
      <c r="J36" s="27" t="n">
        <v>7774.09</v>
      </c>
      <c r="K36" s="27" t="n">
        <v>7672.65</v>
      </c>
      <c r="L36" s="27" t="n">
        <v>7681.26</v>
      </c>
      <c r="M36" s="27" t="n">
        <v>7654.32</v>
      </c>
      <c r="N36" s="27" t="n">
        <v>7676.35</v>
      </c>
      <c r="O36" s="27" t="n">
        <v>7607.24</v>
      </c>
      <c r="P36" s="27" t="n">
        <v>7535.91</v>
      </c>
      <c r="Q36" s="27" t="n">
        <v>7496.26</v>
      </c>
      <c r="R36" s="27" t="n">
        <v>7488.21</v>
      </c>
      <c r="S36" s="27" t="n">
        <v>7532.41</v>
      </c>
      <c r="T36" s="27" t="n">
        <v>7716.5</v>
      </c>
      <c r="U36" s="27" t="n">
        <v>7724.85</v>
      </c>
      <c r="V36" s="27" t="n">
        <v>7777</v>
      </c>
      <c r="W36" s="27" t="n">
        <v>7792.41</v>
      </c>
      <c r="X36" s="27" t="n">
        <v>7806.47</v>
      </c>
      <c r="Y36" s="27" t="n">
        <v>7814.74</v>
      </c>
      <c r="Z36" s="27" t="n">
        <v>7802.56</v>
      </c>
      <c r="AA36" s="27" t="n">
        <v>7882.71</v>
      </c>
      <c r="AB36" s="27" t="n">
        <v>7950.91</v>
      </c>
      <c r="AC36" s="27" t="n">
        <v>7944.09</v>
      </c>
      <c r="AD36" s="27" t="n">
        <v>7913.15</v>
      </c>
      <c r="AE36" s="27" t="n">
        <v>7846.21</v>
      </c>
      <c r="AF36" s="27" t="n">
        <v>7743.47</v>
      </c>
      <c r="AG36" s="27" t="n">
        <v>7327.65</v>
      </c>
      <c r="AH36" s="27" t="n">
        <v>6569.12</v>
      </c>
      <c r="AI36" s="27" t="n">
        <v>4990</v>
      </c>
      <c r="AJ36" s="27" t="n">
        <v>4528.24</v>
      </c>
      <c r="AK36" s="27" t="n">
        <v>3406.47</v>
      </c>
      <c r="AL36" s="27" t="n">
        <v>3100.56</v>
      </c>
      <c r="AM36" s="27" t="n">
        <v>2956.38</v>
      </c>
      <c r="AN36" s="27" t="n">
        <v>2738.29</v>
      </c>
      <c r="AO36" s="27" t="n">
        <v>2891.29</v>
      </c>
      <c r="AP36" s="27" t="n">
        <v>2760.03</v>
      </c>
      <c r="AQ36" s="27" t="n">
        <v>2611.32</v>
      </c>
      <c r="AR36" s="27" t="n">
        <v>2634.44</v>
      </c>
      <c r="AS36" s="27" t="n">
        <v>2594.74</v>
      </c>
      <c r="AT36" s="27" t="n">
        <v>2551.53</v>
      </c>
      <c r="AU36" s="27" t="n">
        <v>2461</v>
      </c>
      <c r="AV36" s="27" t="n">
        <v>2459.88</v>
      </c>
      <c r="AW36" s="27" t="n">
        <v>2467.5</v>
      </c>
      <c r="AX36" s="27" t="n">
        <v>2516.03</v>
      </c>
      <c r="AY36" s="27" t="n">
        <v>2301.56</v>
      </c>
      <c r="AZ36" s="27" t="n">
        <v>2355.56</v>
      </c>
      <c r="BA36" s="27" t="n">
        <v>2317.97</v>
      </c>
      <c r="BB36" s="27" t="n">
        <v>2254.47</v>
      </c>
      <c r="BC36" s="27" t="n">
        <v>1906.94</v>
      </c>
      <c r="BD36" s="27" t="n">
        <v>2056.91</v>
      </c>
      <c r="BE36" s="27" t="n">
        <v>2399.97</v>
      </c>
      <c r="BF36" s="27" t="n">
        <v>2661.32</v>
      </c>
      <c r="BG36" s="27" t="n">
        <v>2949.65</v>
      </c>
      <c r="BH36" s="27" t="n">
        <v>3161.53</v>
      </c>
      <c r="BI36" s="27" t="n">
        <v>3290.5</v>
      </c>
      <c r="BJ36" s="27" t="n">
        <v>3593.12</v>
      </c>
      <c r="BK36" s="27" t="n">
        <v>4125</v>
      </c>
      <c r="BL36" s="27" t="n">
        <v>4168.06</v>
      </c>
      <c r="BM36" s="27" t="n">
        <v>4442.97</v>
      </c>
      <c r="BN36" s="27" t="n">
        <v>4705.09</v>
      </c>
      <c r="BO36" s="27" t="n">
        <v>5061.71</v>
      </c>
      <c r="BP36" s="27" t="n">
        <v>5714.97</v>
      </c>
      <c r="BQ36" s="27" t="n">
        <v>6233.71</v>
      </c>
      <c r="BR36" s="27" t="n">
        <v>6932.09</v>
      </c>
      <c r="BS36" s="27" t="n">
        <v>7312.79</v>
      </c>
      <c r="BT36" s="27" t="n">
        <v>7646.03</v>
      </c>
      <c r="BU36" s="27" t="n">
        <v>7876.71</v>
      </c>
      <c r="BV36" s="27" t="n">
        <v>7967.18</v>
      </c>
      <c r="BW36" s="27" t="n">
        <v>8011.12</v>
      </c>
      <c r="BX36" s="27" t="n">
        <v>8321.18</v>
      </c>
      <c r="BY36" s="27" t="n">
        <v>8529</v>
      </c>
      <c r="BZ36" s="27" t="n">
        <v>8588.379999999999</v>
      </c>
      <c r="CA36" s="27" t="n">
        <v>9325.030000000001</v>
      </c>
      <c r="CB36" s="27" t="n">
        <v>9255.68</v>
      </c>
      <c r="CC36" s="27" t="n">
        <v>9155.030000000001</v>
      </c>
      <c r="CD36" s="27" t="n">
        <v>8687.32</v>
      </c>
      <c r="CE36" s="27" t="n">
        <v>8371.18</v>
      </c>
      <c r="CF36" s="27" t="n">
        <v>8272.879999999999</v>
      </c>
      <c r="CG36" s="27" t="n">
        <v>8074.29</v>
      </c>
      <c r="CH36" s="27" t="n">
        <v>8226.76</v>
      </c>
      <c r="CI36" s="27" t="n">
        <v>8089.71</v>
      </c>
      <c r="CJ36" s="27" t="n">
        <v>8156.88</v>
      </c>
      <c r="CK36" s="27" t="n">
        <v>7924.53</v>
      </c>
      <c r="CL36" s="27" t="n">
        <v>7928.59</v>
      </c>
      <c r="CM36" s="27" t="n">
        <v>7905.26</v>
      </c>
      <c r="CN36" s="27" t="n">
        <v>8007.47</v>
      </c>
      <c r="CO36" s="27" t="n">
        <v>8096.44</v>
      </c>
      <c r="CP36" s="27" t="n">
        <v>8100.35</v>
      </c>
      <c r="CQ36" s="27" t="n">
        <v>8028.71</v>
      </c>
      <c r="CR36" s="27" t="n">
        <v>7961.97</v>
      </c>
      <c r="CS36" s="27" t="n">
        <v>7880.53</v>
      </c>
      <c r="CT36" s="27" t="n">
        <v>7811.79</v>
      </c>
      <c r="CU36" s="27" t="n">
        <v>7985.71</v>
      </c>
      <c r="CV36" s="27" t="n">
        <v>7957.21</v>
      </c>
      <c r="CW36" s="27" t="n">
        <v>7916.85</v>
      </c>
      <c r="CX36" s="27" t="n">
        <v>7875.94</v>
      </c>
      <c r="CY36" s="27" t="n">
        <v>7823.68</v>
      </c>
      <c r="CZ36" s="27" t="n">
        <v>7766.5</v>
      </c>
      <c r="DA36" s="27" t="n">
        <v>7777</v>
      </c>
      <c r="DB36" s="27" t="n">
        <v>7774.09</v>
      </c>
      <c r="DC36" s="27" t="n">
        <v>7672.65</v>
      </c>
      <c r="DD36" s="27" t="n">
        <v>7681.26</v>
      </c>
      <c r="DE36" s="27" t="n">
        <v>7654.32</v>
      </c>
      <c r="DF36" s="27" t="n">
        <v>7676.35</v>
      </c>
      <c r="DG36" s="27" t="n">
        <v>7607.24</v>
      </c>
      <c r="DH36" s="27" t="n">
        <v>7535.91</v>
      </c>
      <c r="DI36" s="27" t="n">
        <v>7496.26</v>
      </c>
      <c r="DJ36" s="27" t="n">
        <v>7488.21</v>
      </c>
      <c r="DK36" s="27" t="n">
        <v>7532.41</v>
      </c>
      <c r="DL36" s="27" t="n">
        <v>7716.5</v>
      </c>
      <c r="DM36" s="27" t="n">
        <v>7724.85</v>
      </c>
      <c r="DN36" s="27" t="n">
        <v>7777</v>
      </c>
      <c r="DO36" s="27" t="n">
        <v>7792.41</v>
      </c>
      <c r="DP36" s="27" t="n">
        <v>7806.47</v>
      </c>
      <c r="DQ36" s="27" t="n">
        <v>7814.74</v>
      </c>
      <c r="DR36" s="27" t="n">
        <v>7802.56</v>
      </c>
      <c r="DS36" s="27" t="n">
        <v>7882.71</v>
      </c>
      <c r="DT36" s="27" t="n">
        <v>7950.91</v>
      </c>
      <c r="DU36" s="27" t="n">
        <v>7944.09</v>
      </c>
      <c r="DV36" s="27" t="n">
        <v>7913.15</v>
      </c>
      <c r="DW36" s="27" t="n">
        <v>7846.21</v>
      </c>
      <c r="DX36" s="27" t="n">
        <v>7743.47</v>
      </c>
      <c r="DY36" s="27" t="n">
        <v>7327.65</v>
      </c>
      <c r="DZ36" s="27" t="n">
        <v>6569.12</v>
      </c>
      <c r="EA36" s="27" t="n">
        <v>4990</v>
      </c>
      <c r="EB36" s="27" t="n">
        <v>4528.24</v>
      </c>
      <c r="EC36" s="27" t="n">
        <v>3406.47</v>
      </c>
      <c r="ED36" s="27" t="n">
        <v>3100.56</v>
      </c>
      <c r="EE36" s="27" t="n">
        <v>2956.38</v>
      </c>
      <c r="EF36" s="27" t="n">
        <v>2738.29</v>
      </c>
      <c r="EG36" s="27" t="n">
        <v>2891.29</v>
      </c>
      <c r="EH36" s="27" t="n">
        <v>2760.03</v>
      </c>
      <c r="EI36" s="27" t="n">
        <v>2611.32</v>
      </c>
      <c r="EJ36" s="27" t="n">
        <v>2634.44</v>
      </c>
      <c r="EK36" s="27" t="n">
        <v>2594.74</v>
      </c>
      <c r="EL36" s="27" t="n">
        <v>2551.53</v>
      </c>
      <c r="EM36" s="27" t="n">
        <v>2461</v>
      </c>
      <c r="EN36" s="27" t="n">
        <v>2459.88</v>
      </c>
      <c r="EO36" s="27" t="n">
        <v>2467.5</v>
      </c>
      <c r="EP36" s="27" t="n">
        <v>2516.03</v>
      </c>
      <c r="EQ36" s="27" t="n">
        <v>2301.56</v>
      </c>
      <c r="ER36" s="27" t="n">
        <v>2355.56</v>
      </c>
      <c r="ES36" s="27" t="n">
        <v>2317.97</v>
      </c>
      <c r="ET36" s="27" t="n">
        <v>2254.47</v>
      </c>
      <c r="EU36" s="27" t="n">
        <v>1906.94</v>
      </c>
      <c r="EV36" s="27" t="n">
        <v>2056.91</v>
      </c>
      <c r="EW36" s="27" t="n">
        <v>2399.97</v>
      </c>
      <c r="EX36" s="27" t="n">
        <v>2661.32</v>
      </c>
      <c r="EY36" s="27" t="n">
        <v>2949.65</v>
      </c>
      <c r="EZ36" s="27" t="n">
        <v>3161.53</v>
      </c>
      <c r="FA36" s="27" t="n">
        <v>3290.5</v>
      </c>
      <c r="FB36" s="27" t="n">
        <v>3593.12</v>
      </c>
      <c r="FC36" s="27" t="n">
        <v>4125</v>
      </c>
      <c r="FD36" s="27" t="n">
        <v>4168.06</v>
      </c>
      <c r="FE36" s="27" t="n">
        <v>4442.97</v>
      </c>
      <c r="FF36" s="27" t="n">
        <v>4705.09</v>
      </c>
      <c r="FG36" s="27" t="n">
        <v>5061.71</v>
      </c>
      <c r="FH36" s="27" t="n">
        <v>5714.97</v>
      </c>
      <c r="FI36" s="27" t="n">
        <v>6233.71</v>
      </c>
      <c r="FJ36" s="27" t="n">
        <v>6932.09</v>
      </c>
      <c r="FK36" s="27" t="n">
        <v>7312.79</v>
      </c>
      <c r="FL36" s="27" t="n">
        <v>7646.03</v>
      </c>
      <c r="FM36" s="27" t="n">
        <v>7876.71</v>
      </c>
      <c r="FN36" s="27" t="n">
        <v>7967.18</v>
      </c>
      <c r="FO36" s="27" t="n">
        <v>8011.12</v>
      </c>
      <c r="FP36" s="27" t="n">
        <v>8321.18</v>
      </c>
      <c r="FQ36" s="27" t="n">
        <v>8529</v>
      </c>
      <c r="FR36" s="27" t="n">
        <v>8588.379999999999</v>
      </c>
      <c r="FS36" s="27" t="n">
        <v>9325.030000000001</v>
      </c>
      <c r="FT36" s="27" t="n">
        <v>9255.68</v>
      </c>
      <c r="FU36" s="27" t="n">
        <v>9155.030000000001</v>
      </c>
      <c r="FV36" s="27" t="n">
        <v>8687.32</v>
      </c>
      <c r="FW36" s="27" t="n">
        <v>8371.18</v>
      </c>
      <c r="FX36" s="27" t="n">
        <v>8272.879999999999</v>
      </c>
      <c r="FY36" s="27" t="n">
        <v>8074.29</v>
      </c>
      <c r="FZ36" s="27" t="n">
        <v>8226.76</v>
      </c>
      <c r="GA36" s="27" t="n">
        <v>8089.71</v>
      </c>
      <c r="GB36" s="27" t="n">
        <v>8156.88</v>
      </c>
      <c r="GC36" s="27" t="n">
        <v>7924.53</v>
      </c>
      <c r="GD36" s="27" t="n">
        <v>7928.59</v>
      </c>
      <c r="GE36" s="27" t="n">
        <v>7905.26</v>
      </c>
      <c r="GF36" s="27" t="n">
        <v>8007.47</v>
      </c>
      <c r="GG36" s="27" t="n">
        <v>8096.44</v>
      </c>
      <c r="GH36" s="27" t="n">
        <v>8100.35</v>
      </c>
      <c r="GI36" s="27" t="n">
        <v>8028.71</v>
      </c>
      <c r="GJ36" s="27" t="n">
        <v>7961.97</v>
      </c>
      <c r="GK36" s="27" t="n">
        <v>7880.53</v>
      </c>
      <c r="GL36" s="27" t="n">
        <v>7811.79</v>
      </c>
    </row>
    <row r="37">
      <c r="A37" s="6" t="inlineStr">
        <is>
          <t>RTM|10</t>
        </is>
      </c>
      <c r="B37" s="2" t="n">
        <v>31</v>
      </c>
      <c r="C37" s="27" t="n">
        <v>2602.48</v>
      </c>
      <c r="D37" s="27" t="n">
        <v>2668.16</v>
      </c>
      <c r="E37" s="27" t="n">
        <v>2774.29</v>
      </c>
      <c r="F37" s="27" t="n">
        <v>2741.9</v>
      </c>
      <c r="G37" s="27" t="n">
        <v>2564.68</v>
      </c>
      <c r="H37" s="27" t="n">
        <v>2589.42</v>
      </c>
      <c r="I37" s="27" t="n">
        <v>2653.06</v>
      </c>
      <c r="J37" s="27" t="n">
        <v>2602.65</v>
      </c>
      <c r="K37" s="27" t="n">
        <v>2619.9</v>
      </c>
      <c r="L37" s="27" t="n">
        <v>2629.65</v>
      </c>
      <c r="M37" s="27" t="n">
        <v>2641.58</v>
      </c>
      <c r="N37" s="27" t="n">
        <v>2647.39</v>
      </c>
      <c r="O37" s="27" t="n">
        <v>2606.1</v>
      </c>
      <c r="P37" s="27" t="n">
        <v>2559</v>
      </c>
      <c r="Q37" s="27" t="n">
        <v>2615.26</v>
      </c>
      <c r="R37" s="27" t="n">
        <v>2571.52</v>
      </c>
      <c r="S37" s="27" t="n">
        <v>2561.68</v>
      </c>
      <c r="T37" s="27" t="n">
        <v>2634.9</v>
      </c>
      <c r="U37" s="27" t="n">
        <v>2707.35</v>
      </c>
      <c r="V37" s="27" t="n">
        <v>2797.26</v>
      </c>
      <c r="W37" s="27" t="n">
        <v>2864.26</v>
      </c>
      <c r="X37" s="27" t="n">
        <v>2952.9</v>
      </c>
      <c r="Y37" s="27" t="n">
        <v>3001.16</v>
      </c>
      <c r="Z37" s="27" t="n">
        <v>2933.45</v>
      </c>
      <c r="AA37" s="27" t="n">
        <v>2988.55</v>
      </c>
      <c r="AB37" s="27" t="n">
        <v>2866.13</v>
      </c>
      <c r="AC37" s="27" t="n">
        <v>3161.19</v>
      </c>
      <c r="AD37" s="27" t="n">
        <v>3149.81</v>
      </c>
      <c r="AE37" s="27" t="n">
        <v>3204.23</v>
      </c>
      <c r="AF37" s="27" t="n">
        <v>2994.16</v>
      </c>
      <c r="AG37" s="27" t="n">
        <v>2857.74</v>
      </c>
      <c r="AH37" s="27" t="n">
        <v>2532.61</v>
      </c>
      <c r="AI37" s="27" t="n">
        <v>2272.06</v>
      </c>
      <c r="AJ37" s="27" t="n">
        <v>2144.35</v>
      </c>
      <c r="AK37" s="27" t="n">
        <v>1914.55</v>
      </c>
      <c r="AL37" s="27" t="n">
        <v>1775.84</v>
      </c>
      <c r="AM37" s="27" t="n">
        <v>1690.23</v>
      </c>
      <c r="AN37" s="27" t="n">
        <v>1754.16</v>
      </c>
      <c r="AO37" s="27" t="n">
        <v>1681.29</v>
      </c>
      <c r="AP37" s="27" t="n">
        <v>1530.32</v>
      </c>
      <c r="AQ37" s="27" t="n">
        <v>1512.84</v>
      </c>
      <c r="AR37" s="27" t="n">
        <v>1599</v>
      </c>
      <c r="AS37" s="27" t="n">
        <v>1545.77</v>
      </c>
      <c r="AT37" s="27" t="n">
        <v>1427.9</v>
      </c>
      <c r="AU37" s="27" t="n">
        <v>1268.97</v>
      </c>
      <c r="AV37" s="27" t="n">
        <v>1232.26</v>
      </c>
      <c r="AW37" s="27" t="n">
        <v>1145.65</v>
      </c>
      <c r="AX37" s="27" t="n">
        <v>1110.97</v>
      </c>
      <c r="AY37" s="27" t="n">
        <v>1092.45</v>
      </c>
      <c r="AZ37" s="27" t="n">
        <v>1161</v>
      </c>
      <c r="BA37" s="27" t="n">
        <v>1017.97</v>
      </c>
      <c r="BB37" s="27" t="n">
        <v>943.87</v>
      </c>
      <c r="BC37" s="27" t="n">
        <v>632.74</v>
      </c>
      <c r="BD37" s="27" t="n">
        <v>705.58</v>
      </c>
      <c r="BE37" s="27" t="n">
        <v>1070.06</v>
      </c>
      <c r="BF37" s="27" t="n">
        <v>1178.13</v>
      </c>
      <c r="BG37" s="27" t="n">
        <v>1398.45</v>
      </c>
      <c r="BH37" s="27" t="n">
        <v>1642.42</v>
      </c>
      <c r="BI37" s="27" t="n">
        <v>1658.52</v>
      </c>
      <c r="BJ37" s="27" t="n">
        <v>1801.03</v>
      </c>
      <c r="BK37" s="27" t="n">
        <v>1912.71</v>
      </c>
      <c r="BL37" s="27" t="n">
        <v>2173.87</v>
      </c>
      <c r="BM37" s="27" t="n">
        <v>2410.06</v>
      </c>
      <c r="BN37" s="27" t="n">
        <v>2656.06</v>
      </c>
      <c r="BO37" s="27" t="n">
        <v>2771.23</v>
      </c>
      <c r="BP37" s="27" t="n">
        <v>3007.97</v>
      </c>
      <c r="BQ37" s="27" t="n">
        <v>3043.61</v>
      </c>
      <c r="BR37" s="27" t="n">
        <v>3258.97</v>
      </c>
      <c r="BS37" s="27" t="n">
        <v>3074.13</v>
      </c>
      <c r="BT37" s="27" t="n">
        <v>3513.94</v>
      </c>
      <c r="BU37" s="27" t="n">
        <v>4709.48</v>
      </c>
      <c r="BV37" s="27" t="n">
        <v>5768.45</v>
      </c>
      <c r="BW37" s="27" t="n">
        <v>6655.26</v>
      </c>
      <c r="BX37" s="27" t="n">
        <v>6879.39</v>
      </c>
      <c r="BY37" s="27" t="n">
        <v>6488.29</v>
      </c>
      <c r="BZ37" s="27" t="n">
        <v>6265.94</v>
      </c>
      <c r="CA37" s="27" t="n">
        <v>6037.13</v>
      </c>
      <c r="CB37" s="27" t="n">
        <v>5820.81</v>
      </c>
      <c r="CC37" s="27" t="n">
        <v>5065.68</v>
      </c>
      <c r="CD37" s="27" t="n">
        <v>3602.71</v>
      </c>
      <c r="CE37" s="27" t="n">
        <v>2907.42</v>
      </c>
      <c r="CF37" s="27" t="n">
        <v>3294.55</v>
      </c>
      <c r="CG37" s="27" t="n">
        <v>3182.26</v>
      </c>
      <c r="CH37" s="27" t="n">
        <v>3392.16</v>
      </c>
      <c r="CI37" s="27" t="n">
        <v>3167.42</v>
      </c>
      <c r="CJ37" s="27" t="n">
        <v>3215.45</v>
      </c>
      <c r="CK37" s="27" t="n">
        <v>3164.39</v>
      </c>
      <c r="CL37" s="27" t="n">
        <v>3077.68</v>
      </c>
      <c r="CM37" s="27" t="n">
        <v>3107.84</v>
      </c>
      <c r="CN37" s="27" t="n">
        <v>3280.13</v>
      </c>
      <c r="CO37" s="27" t="n">
        <v>3156.39</v>
      </c>
      <c r="CP37" s="27" t="n">
        <v>3008.48</v>
      </c>
      <c r="CQ37" s="27" t="n">
        <v>2772.94</v>
      </c>
      <c r="CR37" s="27" t="n">
        <v>2711.84</v>
      </c>
      <c r="CS37" s="27" t="n">
        <v>2522.55</v>
      </c>
      <c r="CT37" s="27" t="n">
        <v>2366.52</v>
      </c>
      <c r="CU37" s="27" t="n">
        <v>2602.48</v>
      </c>
      <c r="CV37" s="27" t="n">
        <v>2668.16</v>
      </c>
      <c r="CW37" s="27" t="n">
        <v>2774.29</v>
      </c>
      <c r="CX37" s="27" t="n">
        <v>2741.9</v>
      </c>
      <c r="CY37" s="27" t="n">
        <v>2564.68</v>
      </c>
      <c r="CZ37" s="27" t="n">
        <v>2589.42</v>
      </c>
      <c r="DA37" s="27" t="n">
        <v>2653.06</v>
      </c>
      <c r="DB37" s="27" t="n">
        <v>2602.65</v>
      </c>
      <c r="DC37" s="27" t="n">
        <v>2619.9</v>
      </c>
      <c r="DD37" s="27" t="n">
        <v>2629.65</v>
      </c>
      <c r="DE37" s="27" t="n">
        <v>2641.58</v>
      </c>
      <c r="DF37" s="27" t="n">
        <v>2647.39</v>
      </c>
      <c r="DG37" s="27" t="n">
        <v>2606.1</v>
      </c>
      <c r="DH37" s="27" t="n">
        <v>2559</v>
      </c>
      <c r="DI37" s="27" t="n">
        <v>2615.26</v>
      </c>
      <c r="DJ37" s="27" t="n">
        <v>2571.52</v>
      </c>
      <c r="DK37" s="27" t="n">
        <v>2561.68</v>
      </c>
      <c r="DL37" s="27" t="n">
        <v>2634.9</v>
      </c>
      <c r="DM37" s="27" t="n">
        <v>2707.35</v>
      </c>
      <c r="DN37" s="27" t="n">
        <v>2797.26</v>
      </c>
      <c r="DO37" s="27" t="n">
        <v>2864.26</v>
      </c>
      <c r="DP37" s="27" t="n">
        <v>2952.9</v>
      </c>
      <c r="DQ37" s="27" t="n">
        <v>3001.16</v>
      </c>
      <c r="DR37" s="27" t="n">
        <v>2933.45</v>
      </c>
      <c r="DS37" s="27" t="n">
        <v>2988.55</v>
      </c>
      <c r="DT37" s="27" t="n">
        <v>2866.13</v>
      </c>
      <c r="DU37" s="27" t="n">
        <v>3161.19</v>
      </c>
      <c r="DV37" s="27" t="n">
        <v>3149.81</v>
      </c>
      <c r="DW37" s="27" t="n">
        <v>3204.23</v>
      </c>
      <c r="DX37" s="27" t="n">
        <v>2994.16</v>
      </c>
      <c r="DY37" s="27" t="n">
        <v>2857.74</v>
      </c>
      <c r="DZ37" s="27" t="n">
        <v>2532.61</v>
      </c>
      <c r="EA37" s="27" t="n">
        <v>2272.06</v>
      </c>
      <c r="EB37" s="27" t="n">
        <v>2144.35</v>
      </c>
      <c r="EC37" s="27" t="n">
        <v>1914.55</v>
      </c>
      <c r="ED37" s="27" t="n">
        <v>1775.84</v>
      </c>
      <c r="EE37" s="27" t="n">
        <v>1690.23</v>
      </c>
      <c r="EF37" s="27" t="n">
        <v>1754.16</v>
      </c>
      <c r="EG37" s="27" t="n">
        <v>1681.29</v>
      </c>
      <c r="EH37" s="27" t="n">
        <v>1530.32</v>
      </c>
      <c r="EI37" s="27" t="n">
        <v>1512.84</v>
      </c>
      <c r="EJ37" s="27" t="n">
        <v>1599</v>
      </c>
      <c r="EK37" s="27" t="n">
        <v>1545.77</v>
      </c>
      <c r="EL37" s="27" t="n">
        <v>1427.9</v>
      </c>
      <c r="EM37" s="27" t="n">
        <v>1268.97</v>
      </c>
      <c r="EN37" s="27" t="n">
        <v>1232.26</v>
      </c>
      <c r="EO37" s="27" t="n">
        <v>1145.65</v>
      </c>
      <c r="EP37" s="27" t="n">
        <v>1110.97</v>
      </c>
      <c r="EQ37" s="27" t="n">
        <v>1092.45</v>
      </c>
      <c r="ER37" s="27" t="n">
        <v>1161</v>
      </c>
      <c r="ES37" s="27" t="n">
        <v>1017.97</v>
      </c>
      <c r="ET37" s="27" t="n">
        <v>943.87</v>
      </c>
      <c r="EU37" s="27" t="n">
        <v>632.74</v>
      </c>
      <c r="EV37" s="27" t="n">
        <v>705.58</v>
      </c>
      <c r="EW37" s="27" t="n">
        <v>1070.06</v>
      </c>
      <c r="EX37" s="27" t="n">
        <v>1178.13</v>
      </c>
      <c r="EY37" s="27" t="n">
        <v>1398.45</v>
      </c>
      <c r="EZ37" s="27" t="n">
        <v>1642.42</v>
      </c>
      <c r="FA37" s="27" t="n">
        <v>1658.52</v>
      </c>
      <c r="FB37" s="27" t="n">
        <v>1801.03</v>
      </c>
      <c r="FC37" s="27" t="n">
        <v>1912.71</v>
      </c>
      <c r="FD37" s="27" t="n">
        <v>2173.87</v>
      </c>
      <c r="FE37" s="27" t="n">
        <v>2410.06</v>
      </c>
      <c r="FF37" s="27" t="n">
        <v>2656.06</v>
      </c>
      <c r="FG37" s="27" t="n">
        <v>2771.23</v>
      </c>
      <c r="FH37" s="27" t="n">
        <v>3007.97</v>
      </c>
      <c r="FI37" s="27" t="n">
        <v>3043.61</v>
      </c>
      <c r="FJ37" s="27" t="n">
        <v>3258.97</v>
      </c>
      <c r="FK37" s="27" t="n">
        <v>3074.13</v>
      </c>
      <c r="FL37" s="27" t="n">
        <v>3513.94</v>
      </c>
      <c r="FM37" s="27" t="n">
        <v>4709.48</v>
      </c>
      <c r="FN37" s="27" t="n">
        <v>5768.45</v>
      </c>
      <c r="FO37" s="27" t="n">
        <v>6655.26</v>
      </c>
      <c r="FP37" s="27" t="n">
        <v>6879.39</v>
      </c>
      <c r="FQ37" s="27" t="n">
        <v>6488.29</v>
      </c>
      <c r="FR37" s="27" t="n">
        <v>6265.94</v>
      </c>
      <c r="FS37" s="27" t="n">
        <v>6037.13</v>
      </c>
      <c r="FT37" s="27" t="n">
        <v>5820.81</v>
      </c>
      <c r="FU37" s="27" t="n">
        <v>5065.68</v>
      </c>
      <c r="FV37" s="27" t="n">
        <v>3602.71</v>
      </c>
      <c r="FW37" s="27" t="n">
        <v>2907.42</v>
      </c>
      <c r="FX37" s="27" t="n">
        <v>3294.55</v>
      </c>
      <c r="FY37" s="27" t="n">
        <v>3182.26</v>
      </c>
      <c r="FZ37" s="27" t="n">
        <v>3392.16</v>
      </c>
      <c r="GA37" s="27" t="n">
        <v>3167.42</v>
      </c>
      <c r="GB37" s="27" t="n">
        <v>3215.45</v>
      </c>
      <c r="GC37" s="27" t="n">
        <v>3164.39</v>
      </c>
      <c r="GD37" s="27" t="n">
        <v>3077.68</v>
      </c>
      <c r="GE37" s="27" t="n">
        <v>3107.84</v>
      </c>
      <c r="GF37" s="27" t="n">
        <v>3280.13</v>
      </c>
      <c r="GG37" s="27" t="n">
        <v>3156.39</v>
      </c>
      <c r="GH37" s="27" t="n">
        <v>3008.48</v>
      </c>
      <c r="GI37" s="27" t="n">
        <v>2772.94</v>
      </c>
      <c r="GJ37" s="27" t="n">
        <v>2711.84</v>
      </c>
      <c r="GK37" s="27" t="n">
        <v>2522.55</v>
      </c>
      <c r="GL37" s="27" t="n">
        <v>2366.52</v>
      </c>
    </row>
    <row r="38">
      <c r="A38" s="6" t="inlineStr">
        <is>
          <t>RTM|11</t>
        </is>
      </c>
      <c r="B38" s="2" t="n">
        <v>30</v>
      </c>
      <c r="C38" s="27" t="n">
        <v>2369.3</v>
      </c>
      <c r="D38" s="27" t="n">
        <v>2286.13</v>
      </c>
      <c r="E38" s="27" t="n">
        <v>2293.5</v>
      </c>
      <c r="F38" s="27" t="n">
        <v>2320.07</v>
      </c>
      <c r="G38" s="27" t="n">
        <v>2324.23</v>
      </c>
      <c r="H38" s="27" t="n">
        <v>2305.97</v>
      </c>
      <c r="I38" s="27" t="n">
        <v>2221.33</v>
      </c>
      <c r="J38" s="27" t="n">
        <v>2189.67</v>
      </c>
      <c r="K38" s="27" t="n">
        <v>2174.1</v>
      </c>
      <c r="L38" s="27" t="n">
        <v>2207.83</v>
      </c>
      <c r="M38" s="27" t="n">
        <v>2114.57</v>
      </c>
      <c r="N38" s="27" t="n">
        <v>2111.53</v>
      </c>
      <c r="O38" s="27" t="n">
        <v>2131.87</v>
      </c>
      <c r="P38" s="27" t="n">
        <v>2157.6</v>
      </c>
      <c r="Q38" s="27" t="n">
        <v>2205.7</v>
      </c>
      <c r="R38" s="27" t="n">
        <v>2218.6</v>
      </c>
      <c r="S38" s="27" t="n">
        <v>2312.37</v>
      </c>
      <c r="T38" s="27" t="n">
        <v>2424.4</v>
      </c>
      <c r="U38" s="27" t="n">
        <v>2554.9</v>
      </c>
      <c r="V38" s="27" t="n">
        <v>2699.27</v>
      </c>
      <c r="W38" s="27" t="n">
        <v>2908.5</v>
      </c>
      <c r="X38" s="27" t="n">
        <v>3171.43</v>
      </c>
      <c r="Y38" s="27" t="n">
        <v>3268.23</v>
      </c>
      <c r="Z38" s="27" t="n">
        <v>3283.7</v>
      </c>
      <c r="AA38" s="27" t="n">
        <v>3290.77</v>
      </c>
      <c r="AB38" s="27" t="n">
        <v>3374.97</v>
      </c>
      <c r="AC38" s="27" t="n">
        <v>3847.37</v>
      </c>
      <c r="AD38" s="27" t="n">
        <v>4133.07</v>
      </c>
      <c r="AE38" s="27" t="n">
        <v>4235.37</v>
      </c>
      <c r="AF38" s="27" t="n">
        <v>4080.43</v>
      </c>
      <c r="AG38" s="27" t="n">
        <v>3883.53</v>
      </c>
      <c r="AH38" s="27" t="n">
        <v>3405.3</v>
      </c>
      <c r="AI38" s="27" t="n">
        <v>3301.13</v>
      </c>
      <c r="AJ38" s="27" t="n">
        <v>3109.3</v>
      </c>
      <c r="AK38" s="27" t="n">
        <v>2870.73</v>
      </c>
      <c r="AL38" s="27" t="n">
        <v>2571.4</v>
      </c>
      <c r="AM38" s="27" t="n">
        <v>2773.73</v>
      </c>
      <c r="AN38" s="27" t="n">
        <v>2781.7</v>
      </c>
      <c r="AO38" s="27" t="n">
        <v>2726.67</v>
      </c>
      <c r="AP38" s="27" t="n">
        <v>2569.7</v>
      </c>
      <c r="AQ38" s="27" t="n">
        <v>2439.53</v>
      </c>
      <c r="AR38" s="27" t="n">
        <v>2479.83</v>
      </c>
      <c r="AS38" s="27" t="n">
        <v>2497.17</v>
      </c>
      <c r="AT38" s="27" t="n">
        <v>2366.37</v>
      </c>
      <c r="AU38" s="27" t="n">
        <v>2089.07</v>
      </c>
      <c r="AV38" s="27" t="n">
        <v>2012.93</v>
      </c>
      <c r="AW38" s="27" t="n">
        <v>1960.27</v>
      </c>
      <c r="AX38" s="27" t="n">
        <v>1892.73</v>
      </c>
      <c r="AY38" s="27" t="n">
        <v>1839.53</v>
      </c>
      <c r="AZ38" s="27" t="n">
        <v>1778.8</v>
      </c>
      <c r="BA38" s="27" t="n">
        <v>1723.33</v>
      </c>
      <c r="BB38" s="27" t="n">
        <v>1636.83</v>
      </c>
      <c r="BC38" s="27" t="n">
        <v>1242.8</v>
      </c>
      <c r="BD38" s="27" t="n">
        <v>1222.47</v>
      </c>
      <c r="BE38" s="27" t="n">
        <v>1430.57</v>
      </c>
      <c r="BF38" s="27" t="n">
        <v>1675.5</v>
      </c>
      <c r="BG38" s="27" t="n">
        <v>1856.43</v>
      </c>
      <c r="BH38" s="27" t="n">
        <v>2078.43</v>
      </c>
      <c r="BI38" s="27" t="n">
        <v>2294</v>
      </c>
      <c r="BJ38" s="27" t="n">
        <v>2440.9</v>
      </c>
      <c r="BK38" s="27" t="n">
        <v>2586.17</v>
      </c>
      <c r="BL38" s="27" t="n">
        <v>2855.9</v>
      </c>
      <c r="BM38" s="27" t="n">
        <v>3143.8</v>
      </c>
      <c r="BN38" s="27" t="n">
        <v>3374.9</v>
      </c>
      <c r="BO38" s="27" t="n">
        <v>3372.53</v>
      </c>
      <c r="BP38" s="27" t="n">
        <v>3678.57</v>
      </c>
      <c r="BQ38" s="27" t="n">
        <v>3984.8</v>
      </c>
      <c r="BR38" s="27" t="n">
        <v>5079.3</v>
      </c>
      <c r="BS38" s="27" t="n">
        <v>5594.13</v>
      </c>
      <c r="BT38" s="27" t="n">
        <v>7255.93</v>
      </c>
      <c r="BU38" s="27" t="n">
        <v>8405.93</v>
      </c>
      <c r="BV38" s="27" t="n">
        <v>8708.200000000001</v>
      </c>
      <c r="BW38" s="27" t="n">
        <v>8587.57</v>
      </c>
      <c r="BX38" s="27" t="n">
        <v>8932.6</v>
      </c>
      <c r="BY38" s="27" t="n">
        <v>8081.37</v>
      </c>
      <c r="BZ38" s="27" t="n">
        <v>6940.5</v>
      </c>
      <c r="CA38" s="27" t="n">
        <v>4533.3</v>
      </c>
      <c r="CB38" s="27" t="n">
        <v>3820.4</v>
      </c>
      <c r="CC38" s="27" t="n">
        <v>3315.97</v>
      </c>
      <c r="CD38" s="27" t="n">
        <v>3479.1</v>
      </c>
      <c r="CE38" s="27" t="n">
        <v>3300.73</v>
      </c>
      <c r="CF38" s="27" t="n">
        <v>3280.7</v>
      </c>
      <c r="CG38" s="27" t="n">
        <v>3308.83</v>
      </c>
      <c r="CH38" s="27" t="n">
        <v>3283.67</v>
      </c>
      <c r="CI38" s="27" t="n">
        <v>3067.27</v>
      </c>
      <c r="CJ38" s="27" t="n">
        <v>2999.57</v>
      </c>
      <c r="CK38" s="27" t="n">
        <v>2876.03</v>
      </c>
      <c r="CL38" s="27" t="n">
        <v>2689.87</v>
      </c>
      <c r="CM38" s="27" t="n">
        <v>2788.67</v>
      </c>
      <c r="CN38" s="27" t="n">
        <v>2855.67</v>
      </c>
      <c r="CO38" s="27" t="n">
        <v>2871.4</v>
      </c>
      <c r="CP38" s="27" t="n">
        <v>2786.27</v>
      </c>
      <c r="CQ38" s="27" t="n">
        <v>2474.07</v>
      </c>
      <c r="CR38" s="27" t="n">
        <v>2346.8</v>
      </c>
      <c r="CS38" s="27" t="n">
        <v>2185.87</v>
      </c>
      <c r="CT38" s="27" t="n">
        <v>2046</v>
      </c>
      <c r="CU38" s="27" t="n">
        <v>2369.3</v>
      </c>
      <c r="CV38" s="27" t="n">
        <v>2286.13</v>
      </c>
      <c r="CW38" s="27" t="n">
        <v>2293.5</v>
      </c>
      <c r="CX38" s="27" t="n">
        <v>2320.07</v>
      </c>
      <c r="CY38" s="27" t="n">
        <v>2324.23</v>
      </c>
      <c r="CZ38" s="27" t="n">
        <v>2305.97</v>
      </c>
      <c r="DA38" s="27" t="n">
        <v>2221.33</v>
      </c>
      <c r="DB38" s="27" t="n">
        <v>2189.67</v>
      </c>
      <c r="DC38" s="27" t="n">
        <v>2174.1</v>
      </c>
      <c r="DD38" s="27" t="n">
        <v>2207.83</v>
      </c>
      <c r="DE38" s="27" t="n">
        <v>2114.57</v>
      </c>
      <c r="DF38" s="27" t="n">
        <v>2111.53</v>
      </c>
      <c r="DG38" s="27" t="n">
        <v>2131.87</v>
      </c>
      <c r="DH38" s="27" t="n">
        <v>2157.6</v>
      </c>
      <c r="DI38" s="27" t="n">
        <v>2205.7</v>
      </c>
      <c r="DJ38" s="27" t="n">
        <v>2218.6</v>
      </c>
      <c r="DK38" s="27" t="n">
        <v>2312.37</v>
      </c>
      <c r="DL38" s="27" t="n">
        <v>2424.4</v>
      </c>
      <c r="DM38" s="27" t="n">
        <v>2554.9</v>
      </c>
      <c r="DN38" s="27" t="n">
        <v>2699.27</v>
      </c>
      <c r="DO38" s="27" t="n">
        <v>2908.5</v>
      </c>
      <c r="DP38" s="27" t="n">
        <v>3171.43</v>
      </c>
      <c r="DQ38" s="27" t="n">
        <v>3268.23</v>
      </c>
      <c r="DR38" s="27" t="n">
        <v>3283.7</v>
      </c>
      <c r="DS38" s="27" t="n">
        <v>3290.77</v>
      </c>
      <c r="DT38" s="27" t="n">
        <v>3374.97</v>
      </c>
      <c r="DU38" s="27" t="n">
        <v>3847.37</v>
      </c>
      <c r="DV38" s="27" t="n">
        <v>4133.07</v>
      </c>
      <c r="DW38" s="27" t="n">
        <v>4235.37</v>
      </c>
      <c r="DX38" s="27" t="n">
        <v>4080.43</v>
      </c>
      <c r="DY38" s="27" t="n">
        <v>3883.53</v>
      </c>
      <c r="DZ38" s="27" t="n">
        <v>3405.3</v>
      </c>
      <c r="EA38" s="27" t="n">
        <v>3301.13</v>
      </c>
      <c r="EB38" s="27" t="n">
        <v>3109.3</v>
      </c>
      <c r="EC38" s="27" t="n">
        <v>2870.73</v>
      </c>
      <c r="ED38" s="27" t="n">
        <v>2571.4</v>
      </c>
      <c r="EE38" s="27" t="n">
        <v>2773.73</v>
      </c>
      <c r="EF38" s="27" t="n">
        <v>2781.7</v>
      </c>
      <c r="EG38" s="27" t="n">
        <v>2726.67</v>
      </c>
      <c r="EH38" s="27" t="n">
        <v>2569.7</v>
      </c>
      <c r="EI38" s="27" t="n">
        <v>2439.53</v>
      </c>
      <c r="EJ38" s="27" t="n">
        <v>2479.83</v>
      </c>
      <c r="EK38" s="27" t="n">
        <v>2497.17</v>
      </c>
      <c r="EL38" s="27" t="n">
        <v>2366.37</v>
      </c>
      <c r="EM38" s="27" t="n">
        <v>2089.07</v>
      </c>
      <c r="EN38" s="27" t="n">
        <v>2012.93</v>
      </c>
      <c r="EO38" s="27" t="n">
        <v>1960.27</v>
      </c>
      <c r="EP38" s="27" t="n">
        <v>1892.73</v>
      </c>
      <c r="EQ38" s="27" t="n">
        <v>1839.53</v>
      </c>
      <c r="ER38" s="27" t="n">
        <v>1778.8</v>
      </c>
      <c r="ES38" s="27" t="n">
        <v>1723.33</v>
      </c>
      <c r="ET38" s="27" t="n">
        <v>1636.83</v>
      </c>
      <c r="EU38" s="27" t="n">
        <v>1242.8</v>
      </c>
      <c r="EV38" s="27" t="n">
        <v>1222.47</v>
      </c>
      <c r="EW38" s="27" t="n">
        <v>1430.57</v>
      </c>
      <c r="EX38" s="27" t="n">
        <v>1675.5</v>
      </c>
      <c r="EY38" s="27" t="n">
        <v>1856.43</v>
      </c>
      <c r="EZ38" s="27" t="n">
        <v>2078.43</v>
      </c>
      <c r="FA38" s="27" t="n">
        <v>2294</v>
      </c>
      <c r="FB38" s="27" t="n">
        <v>2440.9</v>
      </c>
      <c r="FC38" s="27" t="n">
        <v>2586.17</v>
      </c>
      <c r="FD38" s="27" t="n">
        <v>2855.9</v>
      </c>
      <c r="FE38" s="27" t="n">
        <v>3143.8</v>
      </c>
      <c r="FF38" s="27" t="n">
        <v>3374.9</v>
      </c>
      <c r="FG38" s="27" t="n">
        <v>3372.53</v>
      </c>
      <c r="FH38" s="27" t="n">
        <v>3678.57</v>
      </c>
      <c r="FI38" s="27" t="n">
        <v>3984.8</v>
      </c>
      <c r="FJ38" s="27" t="n">
        <v>5079.3</v>
      </c>
      <c r="FK38" s="27" t="n">
        <v>5594.13</v>
      </c>
      <c r="FL38" s="27" t="n">
        <v>7255.93</v>
      </c>
      <c r="FM38" s="27" t="n">
        <v>8405.93</v>
      </c>
      <c r="FN38" s="27" t="n">
        <v>8708.200000000001</v>
      </c>
      <c r="FO38" s="27" t="n">
        <v>8587.57</v>
      </c>
      <c r="FP38" s="27" t="n">
        <v>8932.6</v>
      </c>
      <c r="FQ38" s="27" t="n">
        <v>8081.37</v>
      </c>
      <c r="FR38" s="27" t="n">
        <v>6940.5</v>
      </c>
      <c r="FS38" s="27" t="n">
        <v>4533.3</v>
      </c>
      <c r="FT38" s="27" t="n">
        <v>3820.4</v>
      </c>
      <c r="FU38" s="27" t="n">
        <v>3315.97</v>
      </c>
      <c r="FV38" s="27" t="n">
        <v>3479.1</v>
      </c>
      <c r="FW38" s="27" t="n">
        <v>3300.73</v>
      </c>
      <c r="FX38" s="27" t="n">
        <v>3280.7</v>
      </c>
      <c r="FY38" s="27" t="n">
        <v>3308.83</v>
      </c>
      <c r="FZ38" s="27" t="n">
        <v>3283.67</v>
      </c>
      <c r="GA38" s="27" t="n">
        <v>3067.27</v>
      </c>
      <c r="GB38" s="27" t="n">
        <v>2999.57</v>
      </c>
      <c r="GC38" s="27" t="n">
        <v>2876.03</v>
      </c>
      <c r="GD38" s="27" t="n">
        <v>2689.87</v>
      </c>
      <c r="GE38" s="27" t="n">
        <v>2788.67</v>
      </c>
      <c r="GF38" s="27" t="n">
        <v>2855.67</v>
      </c>
      <c r="GG38" s="27" t="n">
        <v>2871.4</v>
      </c>
      <c r="GH38" s="27" t="n">
        <v>2786.27</v>
      </c>
      <c r="GI38" s="27" t="n">
        <v>2474.07</v>
      </c>
      <c r="GJ38" s="27" t="n">
        <v>2346.8</v>
      </c>
      <c r="GK38" s="27" t="n">
        <v>2185.87</v>
      </c>
      <c r="GL38" s="27" t="n">
        <v>2046</v>
      </c>
    </row>
    <row r="39">
      <c r="A39" s="6" t="inlineStr">
        <is>
          <t>RTM|12</t>
        </is>
      </c>
      <c r="B39" s="2" t="n">
        <v>31</v>
      </c>
      <c r="C39" s="27" t="n">
        <v>2355.52</v>
      </c>
      <c r="D39" s="27" t="n">
        <v>2395.45</v>
      </c>
      <c r="E39" s="27" t="n">
        <v>2513.1</v>
      </c>
      <c r="F39" s="27" t="n">
        <v>2561.32</v>
      </c>
      <c r="G39" s="27" t="n">
        <v>2470.68</v>
      </c>
      <c r="H39" s="27" t="n">
        <v>2390.58</v>
      </c>
      <c r="I39" s="27" t="n">
        <v>2352.84</v>
      </c>
      <c r="J39" s="27" t="n">
        <v>2295.97</v>
      </c>
      <c r="K39" s="27" t="n">
        <v>2250.71</v>
      </c>
      <c r="L39" s="27" t="n">
        <v>2281.32</v>
      </c>
      <c r="M39" s="27" t="n">
        <v>2331.74</v>
      </c>
      <c r="N39" s="27" t="n">
        <v>2367.13</v>
      </c>
      <c r="O39" s="27" t="n">
        <v>2373.77</v>
      </c>
      <c r="P39" s="27" t="n">
        <v>2400.87</v>
      </c>
      <c r="Q39" s="27" t="n">
        <v>2440.68</v>
      </c>
      <c r="R39" s="27" t="n">
        <v>2480.1</v>
      </c>
      <c r="S39" s="27" t="n">
        <v>2505</v>
      </c>
      <c r="T39" s="27" t="n">
        <v>2592</v>
      </c>
      <c r="U39" s="27" t="n">
        <v>2646.26</v>
      </c>
      <c r="V39" s="27" t="n">
        <v>2681.65</v>
      </c>
      <c r="W39" s="27" t="n">
        <v>2874</v>
      </c>
      <c r="X39" s="27" t="n">
        <v>3026.1</v>
      </c>
      <c r="Y39" s="27" t="n">
        <v>3120.29</v>
      </c>
      <c r="Z39" s="27" t="n">
        <v>3289.58</v>
      </c>
      <c r="AA39" s="27" t="n">
        <v>3311.23</v>
      </c>
      <c r="AB39" s="27" t="n">
        <v>3470.23</v>
      </c>
      <c r="AC39" s="27" t="n">
        <v>3687.16</v>
      </c>
      <c r="AD39" s="27" t="n">
        <v>4475.35</v>
      </c>
      <c r="AE39" s="27" t="n">
        <v>5815</v>
      </c>
      <c r="AF39" s="27" t="n">
        <v>7082.84</v>
      </c>
      <c r="AG39" s="27" t="n">
        <v>6772.94</v>
      </c>
      <c r="AH39" s="27" t="n">
        <v>7039.65</v>
      </c>
      <c r="AI39" s="27" t="n">
        <v>6295.87</v>
      </c>
      <c r="AJ39" s="27" t="n">
        <v>6011.65</v>
      </c>
      <c r="AK39" s="27" t="n">
        <v>5044.23</v>
      </c>
      <c r="AL39" s="27" t="n">
        <v>4439.23</v>
      </c>
      <c r="AM39" s="27" t="n">
        <v>4170.81</v>
      </c>
      <c r="AN39" s="27" t="n">
        <v>4102.68</v>
      </c>
      <c r="AO39" s="27" t="n">
        <v>3994.74</v>
      </c>
      <c r="AP39" s="27" t="n">
        <v>3711.26</v>
      </c>
      <c r="AQ39" s="27" t="n">
        <v>3446.35</v>
      </c>
      <c r="AR39" s="27" t="n">
        <v>3490.13</v>
      </c>
      <c r="AS39" s="27" t="n">
        <v>3530.1</v>
      </c>
      <c r="AT39" s="27" t="n">
        <v>3306.45</v>
      </c>
      <c r="AU39" s="27" t="n">
        <v>3213.06</v>
      </c>
      <c r="AV39" s="27" t="n">
        <v>3178.71</v>
      </c>
      <c r="AW39" s="27" t="n">
        <v>3132.68</v>
      </c>
      <c r="AX39" s="27" t="n">
        <v>3078.16</v>
      </c>
      <c r="AY39" s="27" t="n">
        <v>2861.1</v>
      </c>
      <c r="AZ39" s="27" t="n">
        <v>2789.65</v>
      </c>
      <c r="BA39" s="27" t="n">
        <v>2756.39</v>
      </c>
      <c r="BB39" s="27" t="n">
        <v>2661.55</v>
      </c>
      <c r="BC39" s="27" t="n">
        <v>2297.48</v>
      </c>
      <c r="BD39" s="27" t="n">
        <v>2266.71</v>
      </c>
      <c r="BE39" s="27" t="n">
        <v>2472.13</v>
      </c>
      <c r="BF39" s="27" t="n">
        <v>2621.61</v>
      </c>
      <c r="BG39" s="27" t="n">
        <v>2722.68</v>
      </c>
      <c r="BH39" s="27" t="n">
        <v>2828.61</v>
      </c>
      <c r="BI39" s="27" t="n">
        <v>2837.16</v>
      </c>
      <c r="BJ39" s="27" t="n">
        <v>2994.16</v>
      </c>
      <c r="BK39" s="27" t="n">
        <v>3063.06</v>
      </c>
      <c r="BL39" s="27" t="n">
        <v>3221.16</v>
      </c>
      <c r="BM39" s="27" t="n">
        <v>3392.58</v>
      </c>
      <c r="BN39" s="27" t="n">
        <v>3549.32</v>
      </c>
      <c r="BO39" s="27" t="n">
        <v>3455.13</v>
      </c>
      <c r="BP39" s="27" t="n">
        <v>3805.06</v>
      </c>
      <c r="BQ39" s="27" t="n">
        <v>4666.74</v>
      </c>
      <c r="BR39" s="27" t="n">
        <v>6290.23</v>
      </c>
      <c r="BS39" s="27" t="n">
        <v>6876.87</v>
      </c>
      <c r="BT39" s="27" t="n">
        <v>8470.9</v>
      </c>
      <c r="BU39" s="27" t="n">
        <v>9444.32</v>
      </c>
      <c r="BV39" s="27" t="n">
        <v>9620.389999999999</v>
      </c>
      <c r="BW39" s="27" t="n">
        <v>9475.35</v>
      </c>
      <c r="BX39" s="27" t="n">
        <v>9443.549999999999</v>
      </c>
      <c r="BY39" s="27" t="n">
        <v>9434.290000000001</v>
      </c>
      <c r="BZ39" s="27" t="n">
        <v>9034.77</v>
      </c>
      <c r="CA39" s="27" t="n">
        <v>6711.58</v>
      </c>
      <c r="CB39" s="27" t="n">
        <v>6581.71</v>
      </c>
      <c r="CC39" s="27" t="n">
        <v>5780.06</v>
      </c>
      <c r="CD39" s="27" t="n">
        <v>5011.06</v>
      </c>
      <c r="CE39" s="27" t="n">
        <v>4432.45</v>
      </c>
      <c r="CF39" s="27" t="n">
        <v>4198.55</v>
      </c>
      <c r="CG39" s="27" t="n">
        <v>4098</v>
      </c>
      <c r="CH39" s="27" t="n">
        <v>3898.65</v>
      </c>
      <c r="CI39" s="27" t="n">
        <v>3490.48</v>
      </c>
      <c r="CJ39" s="27" t="n">
        <v>3372.32</v>
      </c>
      <c r="CK39" s="27" t="n">
        <v>3262.61</v>
      </c>
      <c r="CL39" s="27" t="n">
        <v>3029.71</v>
      </c>
      <c r="CM39" s="27" t="n">
        <v>3027.77</v>
      </c>
      <c r="CN39" s="27" t="n">
        <v>3107</v>
      </c>
      <c r="CO39" s="27" t="n">
        <v>2948.35</v>
      </c>
      <c r="CP39" s="27" t="n">
        <v>2806.45</v>
      </c>
      <c r="CQ39" s="27" t="n">
        <v>2608.26</v>
      </c>
      <c r="CR39" s="27" t="n">
        <v>2534.84</v>
      </c>
      <c r="CS39" s="27" t="n">
        <v>2362.19</v>
      </c>
      <c r="CT39" s="27" t="n">
        <v>2201.32</v>
      </c>
      <c r="CU39" s="27" t="n">
        <v>2355.52</v>
      </c>
      <c r="CV39" s="27" t="n">
        <v>2395.45</v>
      </c>
      <c r="CW39" s="27" t="n">
        <v>2513.1</v>
      </c>
      <c r="CX39" s="27" t="n">
        <v>2561.32</v>
      </c>
      <c r="CY39" s="27" t="n">
        <v>2470.68</v>
      </c>
      <c r="CZ39" s="27" t="n">
        <v>2390.58</v>
      </c>
      <c r="DA39" s="27" t="n">
        <v>2352.84</v>
      </c>
      <c r="DB39" s="27" t="n">
        <v>2295.97</v>
      </c>
      <c r="DC39" s="27" t="n">
        <v>2250.71</v>
      </c>
      <c r="DD39" s="27" t="n">
        <v>2281.32</v>
      </c>
      <c r="DE39" s="27" t="n">
        <v>2331.74</v>
      </c>
      <c r="DF39" s="27" t="n">
        <v>2367.13</v>
      </c>
      <c r="DG39" s="27" t="n">
        <v>2373.77</v>
      </c>
      <c r="DH39" s="27" t="n">
        <v>2400.87</v>
      </c>
      <c r="DI39" s="27" t="n">
        <v>2440.68</v>
      </c>
      <c r="DJ39" s="27" t="n">
        <v>2480.1</v>
      </c>
      <c r="DK39" s="27" t="n">
        <v>2505</v>
      </c>
      <c r="DL39" s="27" t="n">
        <v>2592</v>
      </c>
      <c r="DM39" s="27" t="n">
        <v>2646.26</v>
      </c>
      <c r="DN39" s="27" t="n">
        <v>2681.65</v>
      </c>
      <c r="DO39" s="27" t="n">
        <v>2874</v>
      </c>
      <c r="DP39" s="27" t="n">
        <v>3026.1</v>
      </c>
      <c r="DQ39" s="27" t="n">
        <v>3120.29</v>
      </c>
      <c r="DR39" s="27" t="n">
        <v>3289.58</v>
      </c>
      <c r="DS39" s="27" t="n">
        <v>3311.23</v>
      </c>
      <c r="DT39" s="27" t="n">
        <v>3470.23</v>
      </c>
      <c r="DU39" s="27" t="n">
        <v>3687.16</v>
      </c>
      <c r="DV39" s="27" t="n">
        <v>4475.35</v>
      </c>
      <c r="DW39" s="27" t="n">
        <v>5815</v>
      </c>
      <c r="DX39" s="27" t="n">
        <v>7082.84</v>
      </c>
      <c r="DY39" s="27" t="n">
        <v>6772.94</v>
      </c>
      <c r="DZ39" s="27" t="n">
        <v>7039.65</v>
      </c>
      <c r="EA39" s="27" t="n">
        <v>6295.87</v>
      </c>
      <c r="EB39" s="27" t="n">
        <v>6011.65</v>
      </c>
      <c r="EC39" s="27" t="n">
        <v>5044.23</v>
      </c>
      <c r="ED39" s="27" t="n">
        <v>4439.23</v>
      </c>
      <c r="EE39" s="27" t="n">
        <v>4170.81</v>
      </c>
      <c r="EF39" s="27" t="n">
        <v>4102.68</v>
      </c>
      <c r="EG39" s="27" t="n">
        <v>3994.74</v>
      </c>
      <c r="EH39" s="27" t="n">
        <v>3711.26</v>
      </c>
      <c r="EI39" s="27" t="n">
        <v>3446.35</v>
      </c>
      <c r="EJ39" s="27" t="n">
        <v>3490.13</v>
      </c>
      <c r="EK39" s="27" t="n">
        <v>3530.1</v>
      </c>
      <c r="EL39" s="27" t="n">
        <v>3306.45</v>
      </c>
      <c r="EM39" s="27" t="n">
        <v>3213.06</v>
      </c>
      <c r="EN39" s="27" t="n">
        <v>3178.71</v>
      </c>
      <c r="EO39" s="27" t="n">
        <v>3132.68</v>
      </c>
      <c r="EP39" s="27" t="n">
        <v>3078.16</v>
      </c>
      <c r="EQ39" s="27" t="n">
        <v>2861.1</v>
      </c>
      <c r="ER39" s="27" t="n">
        <v>2789.65</v>
      </c>
      <c r="ES39" s="27" t="n">
        <v>2756.39</v>
      </c>
      <c r="ET39" s="27" t="n">
        <v>2661.55</v>
      </c>
      <c r="EU39" s="27" t="n">
        <v>2297.48</v>
      </c>
      <c r="EV39" s="27" t="n">
        <v>2266.71</v>
      </c>
      <c r="EW39" s="27" t="n">
        <v>2472.13</v>
      </c>
      <c r="EX39" s="27" t="n">
        <v>2621.61</v>
      </c>
      <c r="EY39" s="27" t="n">
        <v>2722.68</v>
      </c>
      <c r="EZ39" s="27" t="n">
        <v>2828.61</v>
      </c>
      <c r="FA39" s="27" t="n">
        <v>2837.16</v>
      </c>
      <c r="FB39" s="27" t="n">
        <v>2994.16</v>
      </c>
      <c r="FC39" s="27" t="n">
        <v>3063.06</v>
      </c>
      <c r="FD39" s="27" t="n">
        <v>3221.16</v>
      </c>
      <c r="FE39" s="27" t="n">
        <v>3392.58</v>
      </c>
      <c r="FF39" s="27" t="n">
        <v>3549.32</v>
      </c>
      <c r="FG39" s="27" t="n">
        <v>3455.13</v>
      </c>
      <c r="FH39" s="27" t="n">
        <v>3805.06</v>
      </c>
      <c r="FI39" s="27" t="n">
        <v>4666.74</v>
      </c>
      <c r="FJ39" s="27" t="n">
        <v>6290.23</v>
      </c>
      <c r="FK39" s="27" t="n">
        <v>6876.87</v>
      </c>
      <c r="FL39" s="27" t="n">
        <v>8470.9</v>
      </c>
      <c r="FM39" s="27" t="n">
        <v>9444.32</v>
      </c>
      <c r="FN39" s="27" t="n">
        <v>9620.389999999999</v>
      </c>
      <c r="FO39" s="27" t="n">
        <v>9475.35</v>
      </c>
      <c r="FP39" s="27" t="n">
        <v>9443.549999999999</v>
      </c>
      <c r="FQ39" s="27" t="n">
        <v>9434.290000000001</v>
      </c>
      <c r="FR39" s="27" t="n">
        <v>9034.77</v>
      </c>
      <c r="FS39" s="27" t="n">
        <v>6711.58</v>
      </c>
      <c r="FT39" s="27" t="n">
        <v>6581.71</v>
      </c>
      <c r="FU39" s="27" t="n">
        <v>5780.06</v>
      </c>
      <c r="FV39" s="27" t="n">
        <v>5011.06</v>
      </c>
      <c r="FW39" s="27" t="n">
        <v>4432.45</v>
      </c>
      <c r="FX39" s="27" t="n">
        <v>4198.55</v>
      </c>
      <c r="FY39" s="27" t="n">
        <v>4098</v>
      </c>
      <c r="FZ39" s="27" t="n">
        <v>3898.65</v>
      </c>
      <c r="GA39" s="27" t="n">
        <v>3490.48</v>
      </c>
      <c r="GB39" s="27" t="n">
        <v>3372.32</v>
      </c>
      <c r="GC39" s="27" t="n">
        <v>3262.61</v>
      </c>
      <c r="GD39" s="27" t="n">
        <v>3029.71</v>
      </c>
      <c r="GE39" s="27" t="n">
        <v>3027.77</v>
      </c>
      <c r="GF39" s="27" t="n">
        <v>3107</v>
      </c>
      <c r="GG39" s="27" t="n">
        <v>2948.35</v>
      </c>
      <c r="GH39" s="27" t="n">
        <v>2806.45</v>
      </c>
      <c r="GI39" s="27" t="n">
        <v>2608.26</v>
      </c>
      <c r="GJ39" s="27" t="n">
        <v>2534.84</v>
      </c>
      <c r="GK39" s="27" t="n">
        <v>2362.19</v>
      </c>
      <c r="GL39" s="27" t="n">
        <v>2201.32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8" t="inlineStr">
        <is>
          <t>Own-solar dispatch · results of the 15-minute simulation in the HTML model</t>
        </is>
      </c>
    </row>
    <row r="2">
      <c r="A2" s="2" t="inlineStr">
        <is>
          <t>Hardcoded outputs, per plant | duration | booster (0/1), at default windows (2h: 19:00, 4h: 18:00), GDAM sale, 100% solar sizing and default BESS technical inputs. Each day the battery charges from the cheapest solar blocks; surplus solar is sold in the day. Includes solar degradation and BESS fade by year. Re-export from the HTML if those inputs change.</t>
        </is>
      </c>
    </row>
    <row r="4">
      <c r="A4" s="5" t="inlineStr">
        <is>
          <t>Key</t>
        </is>
      </c>
      <c r="B4" s="5" t="inlineStr">
        <is>
          <t>Series</t>
        </is>
      </c>
      <c r="C4" s="5" t="inlineStr">
        <is>
          <t>Yr 1</t>
        </is>
      </c>
      <c r="D4" s="5" t="inlineStr">
        <is>
          <t>Yr 2</t>
        </is>
      </c>
      <c r="E4" s="5" t="inlineStr">
        <is>
          <t>Yr 3</t>
        </is>
      </c>
      <c r="F4" s="5" t="inlineStr">
        <is>
          <t>Yr 4</t>
        </is>
      </c>
      <c r="G4" s="5" t="inlineStr">
        <is>
          <t>Yr 5</t>
        </is>
      </c>
      <c r="H4" s="5" t="inlineStr">
        <is>
          <t>Yr 6</t>
        </is>
      </c>
      <c r="I4" s="5" t="inlineStr">
        <is>
          <t>Yr 7</t>
        </is>
      </c>
      <c r="J4" s="5" t="inlineStr">
        <is>
          <t>Yr 8</t>
        </is>
      </c>
      <c r="K4" s="5" t="inlineStr">
        <is>
          <t>Yr 9</t>
        </is>
      </c>
      <c r="L4" s="5" t="inlineStr">
        <is>
          <t>Yr 10</t>
        </is>
      </c>
      <c r="M4" s="5" t="inlineStr">
        <is>
          <t>Yr 11</t>
        </is>
      </c>
      <c r="N4" s="5" t="inlineStr">
        <is>
          <t>Yr 12</t>
        </is>
      </c>
      <c r="O4" s="5" t="inlineStr">
        <is>
          <t>Yr 13</t>
        </is>
      </c>
      <c r="P4" s="5" t="inlineStr">
        <is>
          <t>Yr 14</t>
        </is>
      </c>
      <c r="Q4" s="5" t="inlineStr">
        <is>
          <t>Yr 15</t>
        </is>
      </c>
      <c r="R4" s="5" t="inlineStr">
        <is>
          <t>Yr 16</t>
        </is>
      </c>
      <c r="S4" s="5" t="inlineStr">
        <is>
          <t>Yr 17</t>
        </is>
      </c>
      <c r="T4" s="5" t="inlineStr">
        <is>
          <t>Yr 18</t>
        </is>
      </c>
      <c r="U4" s="5" t="inlineStr">
        <is>
          <t>Yr 19</t>
        </is>
      </c>
      <c r="V4" s="5" t="inlineStr">
        <is>
          <t>Yr 20</t>
        </is>
      </c>
      <c r="W4" s="5" t="inlineStr">
        <is>
          <t>Yr 21</t>
        </is>
      </c>
      <c r="X4" s="5" t="inlineStr">
        <is>
          <t>Yr 22</t>
        </is>
      </c>
      <c r="Y4" s="5" t="inlineStr">
        <is>
          <t>Yr 23</t>
        </is>
      </c>
      <c r="Z4" s="5" t="inlineStr">
        <is>
          <t>Yr 24</t>
        </is>
      </c>
      <c r="AA4" s="5" t="inlineStr">
        <is>
          <t>Yr 25</t>
        </is>
      </c>
    </row>
    <row r="5">
      <c r="A5" s="6" t="inlineStr">
        <is>
          <t>P7|2|0</t>
        </is>
      </c>
      <c r="B5" s="6" t="inlineStr">
        <is>
          <t>bessMWh</t>
        </is>
      </c>
      <c r="C5" s="23" t="n">
        <v>206203.0600555201</v>
      </c>
      <c r="D5" s="23" t="n">
        <v>203898.4908005833</v>
      </c>
      <c r="E5" s="23" t="n">
        <v>201595.9284221469</v>
      </c>
      <c r="F5" s="23" t="n">
        <v>199222.8957499736</v>
      </c>
      <c r="G5" s="23" t="n">
        <v>196734.2777195861</v>
      </c>
      <c r="H5" s="23" t="n">
        <v>194247.1953234324</v>
      </c>
      <c r="I5" s="23" t="n">
        <v>191761.6408833386</v>
      </c>
      <c r="J5" s="23" t="n">
        <v>189277.606759527</v>
      </c>
      <c r="K5" s="23" t="n">
        <v>186641.8656682249</v>
      </c>
      <c r="L5" s="23" t="n">
        <v>183945.1571207398</v>
      </c>
      <c r="M5" s="23" t="n">
        <v>181249.4985139781</v>
      </c>
      <c r="N5" s="23" t="n">
        <v>178554.8845982332</v>
      </c>
      <c r="O5" s="23" t="n">
        <v>200052.0287597038</v>
      </c>
      <c r="P5" s="23" t="n">
        <v>198293.3733991573</v>
      </c>
      <c r="Q5" s="23" t="n">
        <v>196388.0218218349</v>
      </c>
      <c r="R5" s="23" t="n">
        <v>194415.2905227815</v>
      </c>
      <c r="S5" s="23" t="n">
        <v>192325.3719039203</v>
      </c>
      <c r="T5" s="23" t="n">
        <v>190129.9398738201</v>
      </c>
      <c r="U5" s="23" t="n">
        <v>187858.1563709246</v>
      </c>
      <c r="V5" s="23" t="n">
        <v>185588.2158157706</v>
      </c>
      <c r="W5" s="23" t="n">
        <v>183297.9987333866</v>
      </c>
      <c r="X5" s="23" t="n">
        <v>180834.4679084834</v>
      </c>
      <c r="Y5" s="23" t="n">
        <v>178372.3472817893</v>
      </c>
      <c r="Z5" s="23" t="n">
        <v>175911.6298023059</v>
      </c>
      <c r="AA5" s="23" t="n">
        <v>173452.3084543028</v>
      </c>
      <c r="AB5" s="2" t="inlineStr">
        <is>
          <t>BESS MWh sold · 212 of 365 days fully charged in yr 1</t>
        </is>
      </c>
    </row>
    <row r="6">
      <c r="A6" s="6" t="inlineStr">
        <is>
          <t>P7|2|0</t>
        </is>
      </c>
      <c r="B6" s="6" t="inlineStr">
        <is>
          <t>bessRev</t>
        </is>
      </c>
      <c r="C6" s="21" t="n">
        <v>160.8565922182143</v>
      </c>
      <c r="D6" s="21" t="n">
        <v>159.1276230310376</v>
      </c>
      <c r="E6" s="21" t="n">
        <v>157.4003894527407</v>
      </c>
      <c r="F6" s="21" t="n">
        <v>155.6290182673344</v>
      </c>
      <c r="G6" s="21" t="n">
        <v>153.7849537802989</v>
      </c>
      <c r="H6" s="21" t="n">
        <v>151.9423197053781</v>
      </c>
      <c r="I6" s="21" t="n">
        <v>150.1011088905099</v>
      </c>
      <c r="J6" s="21" t="n">
        <v>148.2613142193932</v>
      </c>
      <c r="K6" s="21" t="n">
        <v>146.2746365191652</v>
      </c>
      <c r="L6" s="21" t="n">
        <v>144.2288973667731</v>
      </c>
      <c r="M6" s="21" t="n">
        <v>142.1841199350317</v>
      </c>
      <c r="N6" s="21" t="n">
        <v>140.1402994153394</v>
      </c>
      <c r="O6" s="21" t="n">
        <v>155.8421597368718</v>
      </c>
      <c r="P6" s="21" t="n">
        <v>154.5046164231821</v>
      </c>
      <c r="Q6" s="21" t="n">
        <v>153.031029305698</v>
      </c>
      <c r="R6" s="21" t="n">
        <v>151.516237062887</v>
      </c>
      <c r="S6" s="21" t="n">
        <v>149.9294320366393</v>
      </c>
      <c r="T6" s="21" t="n">
        <v>148.2765286491785</v>
      </c>
      <c r="U6" s="21" t="n">
        <v>146.5759135945644</v>
      </c>
      <c r="V6" s="21" t="n">
        <v>144.8768923781656</v>
      </c>
      <c r="W6" s="21" t="n">
        <v>143.1654634203463</v>
      </c>
      <c r="X6" s="21" t="n">
        <v>141.3447671559368</v>
      </c>
      <c r="Y6" s="21" t="n">
        <v>139.5253844625284</v>
      </c>
      <c r="Z6" s="21" t="n">
        <v>137.7073087722653</v>
      </c>
      <c r="AA6" s="21" t="n">
        <v>135.8905335501315</v>
      </c>
      <c r="AB6" s="2" t="inlineStr">
        <is>
          <t>BESS revenue ₹ Cr</t>
        </is>
      </c>
    </row>
    <row r="7">
      <c r="A7" s="6" t="inlineStr">
        <is>
          <t>P7|2|0</t>
        </is>
      </c>
      <c r="B7" s="6" t="inlineStr">
        <is>
          <t>expMWh</t>
        </is>
      </c>
      <c r="C7" s="23" t="n">
        <v>14507.52184525344</v>
      </c>
      <c r="D7" s="23" t="n">
        <v>15878.77563447845</v>
      </c>
      <c r="E7" s="23" t="n">
        <v>17253.96113531876</v>
      </c>
      <c r="F7" s="23" t="n">
        <v>18715.21259171529</v>
      </c>
      <c r="G7" s="23" t="n">
        <v>20313.64477240222</v>
      </c>
      <c r="H7" s="23" t="n">
        <v>21916.45026047059</v>
      </c>
      <c r="I7" s="23" t="n">
        <v>23523.60718938363</v>
      </c>
      <c r="J7" s="23" t="n">
        <v>25135.09380193663</v>
      </c>
      <c r="K7" s="23" t="n">
        <v>26924.58918567958</v>
      </c>
      <c r="L7" s="23" t="n">
        <v>28789.19445812301</v>
      </c>
      <c r="M7" s="23" t="n">
        <v>30658.57232031492</v>
      </c>
      <c r="N7" s="23" t="n">
        <v>32532.69890930666</v>
      </c>
      <c r="O7" s="23" t="n">
        <v>6987.230276439242</v>
      </c>
      <c r="P7" s="23" t="n">
        <v>7812.064915733977</v>
      </c>
      <c r="Q7" s="23" t="n">
        <v>8809.049337527535</v>
      </c>
      <c r="R7" s="23" t="n">
        <v>9888.235495734703</v>
      </c>
      <c r="S7" s="23" t="n">
        <v>11106.05975176827</v>
      </c>
      <c r="T7" s="23" t="n">
        <v>12449.25880101305</v>
      </c>
      <c r="U7" s="23" t="n">
        <v>13884.74380826575</v>
      </c>
      <c r="V7" s="23" t="n">
        <v>15323.83937104343</v>
      </c>
      <c r="W7" s="23" t="n">
        <v>16791.59320109714</v>
      </c>
      <c r="X7" s="23" t="n">
        <v>18461.47082016146</v>
      </c>
      <c r="Y7" s="23" t="n">
        <v>20135.36451941557</v>
      </c>
      <c r="Z7" s="23" t="n">
        <v>21813.25421845787</v>
      </c>
      <c r="AA7" s="23" t="n">
        <v>23495.1199372899</v>
      </c>
      <c r="AB7" s="2" t="inlineStr">
        <is>
          <t>Surplus solar MWh sold</t>
        </is>
      </c>
    </row>
    <row r="8">
      <c r="A8" s="6" t="inlineStr">
        <is>
          <t>P7|2|0</t>
        </is>
      </c>
      <c r="B8" s="6" t="inlineStr">
        <is>
          <t>expRev</t>
        </is>
      </c>
      <c r="C8" s="21" t="n">
        <v>7.003060131732099</v>
      </c>
      <c r="D8" s="21" t="n">
        <v>7.57493787313788</v>
      </c>
      <c r="E8" s="21" t="n">
        <v>8.113713395598673</v>
      </c>
      <c r="F8" s="21" t="n">
        <v>8.670287903158815</v>
      </c>
      <c r="G8" s="21" t="n">
        <v>9.262251596029795</v>
      </c>
      <c r="H8" s="21" t="n">
        <v>9.827758297359056</v>
      </c>
      <c r="I8" s="21" t="n">
        <v>10.37484784335862</v>
      </c>
      <c r="J8" s="21" t="n">
        <v>10.90554168153894</v>
      </c>
      <c r="K8" s="21" t="n">
        <v>11.56392484903436</v>
      </c>
      <c r="L8" s="21" t="n">
        <v>12.26231968575443</v>
      </c>
      <c r="M8" s="21" t="n">
        <v>12.94157699009998</v>
      </c>
      <c r="N8" s="21" t="n">
        <v>13.60703919267509</v>
      </c>
      <c r="O8" s="21" t="n">
        <v>3.346447674625418</v>
      </c>
      <c r="P8" s="21" t="n">
        <v>3.767921217783697</v>
      </c>
      <c r="Q8" s="21" t="n">
        <v>4.27229501969961</v>
      </c>
      <c r="R8" s="21" t="n">
        <v>4.801556702598541</v>
      </c>
      <c r="S8" s="21" t="n">
        <v>5.403105222564949</v>
      </c>
      <c r="T8" s="21" t="n">
        <v>6.042382568012815</v>
      </c>
      <c r="U8" s="21" t="n">
        <v>6.667220892444111</v>
      </c>
      <c r="V8" s="21" t="n">
        <v>7.248239951654397</v>
      </c>
      <c r="W8" s="21" t="n">
        <v>7.809312054291651</v>
      </c>
      <c r="X8" s="21" t="n">
        <v>8.434830388009699</v>
      </c>
      <c r="Y8" s="21" t="n">
        <v>9.028211916985466</v>
      </c>
      <c r="Z8" s="21" t="n">
        <v>9.599761677395328</v>
      </c>
      <c r="AA8" s="21" t="n">
        <v>10.15134860603564</v>
      </c>
      <c r="AB8" s="2" t="inlineStr">
        <is>
          <t>Surplus solar revenue ₹ Cr</t>
        </is>
      </c>
    </row>
    <row r="9">
      <c r="A9" s="6" t="inlineStr">
        <is>
          <t>P7|2|1</t>
        </is>
      </c>
      <c r="B9" s="6" t="inlineStr">
        <is>
          <t>bessMWh</t>
        </is>
      </c>
      <c r="C9" s="23" t="n">
        <v>206203.0600555201</v>
      </c>
      <c r="D9" s="23" t="n">
        <v>203898.4908005833</v>
      </c>
      <c r="E9" s="23" t="n">
        <v>201595.9284221469</v>
      </c>
      <c r="F9" s="23" t="n">
        <v>199222.8957499736</v>
      </c>
      <c r="G9" s="23" t="n">
        <v>196734.2777195861</v>
      </c>
      <c r="H9" s="23" t="n">
        <v>194247.1953234324</v>
      </c>
      <c r="I9" s="23" t="n">
        <v>191761.6408833386</v>
      </c>
      <c r="J9" s="23" t="n">
        <v>189277.606759527</v>
      </c>
      <c r="K9" s="23" t="n">
        <v>186641.8656682249</v>
      </c>
      <c r="L9" s="23" t="n">
        <v>183945.1571207398</v>
      </c>
      <c r="M9" s="23" t="n">
        <v>181249.4985139781</v>
      </c>
      <c r="N9" s="23" t="n">
        <v>178554.8845982332</v>
      </c>
      <c r="O9" s="23" t="n">
        <v>200052.0287597038</v>
      </c>
      <c r="P9" s="23" t="n">
        <v>198293.3733991573</v>
      </c>
      <c r="Q9" s="23" t="n">
        <v>196388.0218218349</v>
      </c>
      <c r="R9" s="23" t="n">
        <v>194415.2905227815</v>
      </c>
      <c r="S9" s="23" t="n">
        <v>192325.3719039203</v>
      </c>
      <c r="T9" s="23" t="n">
        <v>190129.9398738201</v>
      </c>
      <c r="U9" s="23" t="n">
        <v>187858.1563709246</v>
      </c>
      <c r="V9" s="23" t="n">
        <v>185588.2158157706</v>
      </c>
      <c r="W9" s="23" t="n">
        <v>183297.9987333866</v>
      </c>
      <c r="X9" s="23" t="n">
        <v>180834.4679084834</v>
      </c>
      <c r="Y9" s="23" t="n">
        <v>178372.3472817893</v>
      </c>
      <c r="Z9" s="23" t="n">
        <v>175911.6298023059</v>
      </c>
      <c r="AA9" s="23" t="n">
        <v>173452.3084543028</v>
      </c>
      <c r="AB9" s="2" t="inlineStr">
        <is>
          <t>BESS MWh sold · 212 of 365 days fully charged in yr 1</t>
        </is>
      </c>
    </row>
    <row r="10">
      <c r="A10" s="6" t="inlineStr">
        <is>
          <t>P7|2|1</t>
        </is>
      </c>
      <c r="B10" s="6" t="inlineStr">
        <is>
          <t>bessRev</t>
        </is>
      </c>
      <c r="C10" s="21" t="n">
        <v>166.3389658542531</v>
      </c>
      <c r="D10" s="21" t="n">
        <v>164.5825847988966</v>
      </c>
      <c r="E10" s="21" t="n">
        <v>162.8280764117598</v>
      </c>
      <c r="F10" s="21" t="n">
        <v>161.0295667915587</v>
      </c>
      <c r="G10" s="21" t="n">
        <v>159.1584995619023</v>
      </c>
      <c r="H10" s="21" t="n">
        <v>157.2889977580734</v>
      </c>
      <c r="I10" s="21" t="n">
        <v>155.4210535529411</v>
      </c>
      <c r="J10" s="21" t="n">
        <v>153.554659158513</v>
      </c>
      <c r="K10" s="21" t="n">
        <v>151.4964501211807</v>
      </c>
      <c r="L10" s="21" t="n">
        <v>149.3609376690402</v>
      </c>
      <c r="M10" s="21" t="n">
        <v>147.2263869375503</v>
      </c>
      <c r="N10" s="21" t="n">
        <v>145.0927931181101</v>
      </c>
      <c r="O10" s="21" t="n">
        <v>161.0044877885924</v>
      </c>
      <c r="P10" s="21" t="n">
        <v>159.641132834644</v>
      </c>
      <c r="Q10" s="21" t="n">
        <v>158.1418631351024</v>
      </c>
      <c r="R10" s="21" t="n">
        <v>156.6015167231443</v>
      </c>
      <c r="S10" s="21" t="n">
        <v>154.9892852985955</v>
      </c>
      <c r="T10" s="21" t="n">
        <v>153.3110826448245</v>
      </c>
      <c r="U10" s="21" t="n">
        <v>151.5852948202324</v>
      </c>
      <c r="V10" s="21" t="n">
        <v>149.8612266977056</v>
      </c>
      <c r="W10" s="21" t="n">
        <v>148.1248760682879</v>
      </c>
      <c r="X10" s="21" t="n">
        <v>146.2793827406392</v>
      </c>
      <c r="Y10" s="21" t="n">
        <v>144.4353269693071</v>
      </c>
      <c r="Z10" s="21" t="n">
        <v>142.5927015665105</v>
      </c>
      <c r="AA10" s="21" t="n">
        <v>140.7514993804051</v>
      </c>
      <c r="AB10" s="2" t="inlineStr">
        <is>
          <t>BESS revenue ₹ Cr</t>
        </is>
      </c>
    </row>
    <row r="11">
      <c r="A11" s="6" t="inlineStr">
        <is>
          <t>P7|2|1</t>
        </is>
      </c>
      <c r="B11" s="6" t="inlineStr">
        <is>
          <t>expMWh</t>
        </is>
      </c>
      <c r="C11" s="23" t="n">
        <v>14507.52184525344</v>
      </c>
      <c r="D11" s="23" t="n">
        <v>15878.77563447845</v>
      </c>
      <c r="E11" s="23" t="n">
        <v>17253.96113531876</v>
      </c>
      <c r="F11" s="23" t="n">
        <v>18715.21259171529</v>
      </c>
      <c r="G11" s="23" t="n">
        <v>20313.64477240222</v>
      </c>
      <c r="H11" s="23" t="n">
        <v>21916.45026047059</v>
      </c>
      <c r="I11" s="23" t="n">
        <v>23523.60718938363</v>
      </c>
      <c r="J11" s="23" t="n">
        <v>25135.09380193663</v>
      </c>
      <c r="K11" s="23" t="n">
        <v>26924.58918567958</v>
      </c>
      <c r="L11" s="23" t="n">
        <v>28789.19445812301</v>
      </c>
      <c r="M11" s="23" t="n">
        <v>30658.57232031492</v>
      </c>
      <c r="N11" s="23" t="n">
        <v>32532.69890930666</v>
      </c>
      <c r="O11" s="23" t="n">
        <v>6987.230276439242</v>
      </c>
      <c r="P11" s="23" t="n">
        <v>7812.064915733977</v>
      </c>
      <c r="Q11" s="23" t="n">
        <v>8809.049337527535</v>
      </c>
      <c r="R11" s="23" t="n">
        <v>9888.235495734703</v>
      </c>
      <c r="S11" s="23" t="n">
        <v>11106.05975176827</v>
      </c>
      <c r="T11" s="23" t="n">
        <v>12449.25880101305</v>
      </c>
      <c r="U11" s="23" t="n">
        <v>13884.74380826575</v>
      </c>
      <c r="V11" s="23" t="n">
        <v>15323.83937104343</v>
      </c>
      <c r="W11" s="23" t="n">
        <v>16791.59320109714</v>
      </c>
      <c r="X11" s="23" t="n">
        <v>18461.47082016146</v>
      </c>
      <c r="Y11" s="23" t="n">
        <v>20135.36451941557</v>
      </c>
      <c r="Z11" s="23" t="n">
        <v>21813.25421845787</v>
      </c>
      <c r="AA11" s="23" t="n">
        <v>23495.1199372899</v>
      </c>
      <c r="AB11" s="2" t="inlineStr">
        <is>
          <t>Surplus solar MWh sold</t>
        </is>
      </c>
    </row>
    <row r="12">
      <c r="A12" s="6" t="inlineStr">
        <is>
          <t>P7|2|1</t>
        </is>
      </c>
      <c r="B12" s="6" t="inlineStr">
        <is>
          <t>expRev</t>
        </is>
      </c>
      <c r="C12" s="21" t="n">
        <v>7.003060131732099</v>
      </c>
      <c r="D12" s="21" t="n">
        <v>7.57493787313788</v>
      </c>
      <c r="E12" s="21" t="n">
        <v>8.113713395598673</v>
      </c>
      <c r="F12" s="21" t="n">
        <v>8.670287903158815</v>
      </c>
      <c r="G12" s="21" t="n">
        <v>9.262251596029795</v>
      </c>
      <c r="H12" s="21" t="n">
        <v>9.827758297359056</v>
      </c>
      <c r="I12" s="21" t="n">
        <v>10.37484784335862</v>
      </c>
      <c r="J12" s="21" t="n">
        <v>10.90554168153894</v>
      </c>
      <c r="K12" s="21" t="n">
        <v>11.56392484903436</v>
      </c>
      <c r="L12" s="21" t="n">
        <v>12.26231968575443</v>
      </c>
      <c r="M12" s="21" t="n">
        <v>12.94157699009998</v>
      </c>
      <c r="N12" s="21" t="n">
        <v>13.60703919267509</v>
      </c>
      <c r="O12" s="21" t="n">
        <v>3.346447674625418</v>
      </c>
      <c r="P12" s="21" t="n">
        <v>3.767921217783697</v>
      </c>
      <c r="Q12" s="21" t="n">
        <v>4.27229501969961</v>
      </c>
      <c r="R12" s="21" t="n">
        <v>4.801556702598541</v>
      </c>
      <c r="S12" s="21" t="n">
        <v>5.403105222564949</v>
      </c>
      <c r="T12" s="21" t="n">
        <v>6.042382568012815</v>
      </c>
      <c r="U12" s="21" t="n">
        <v>6.667220892444111</v>
      </c>
      <c r="V12" s="21" t="n">
        <v>7.248239951654397</v>
      </c>
      <c r="W12" s="21" t="n">
        <v>7.809312054291651</v>
      </c>
      <c r="X12" s="21" t="n">
        <v>8.434830388009699</v>
      </c>
      <c r="Y12" s="21" t="n">
        <v>9.028211916985466</v>
      </c>
      <c r="Z12" s="21" t="n">
        <v>9.599761677395328</v>
      </c>
      <c r="AA12" s="21" t="n">
        <v>10.15134860603564</v>
      </c>
      <c r="AB12" s="2" t="inlineStr">
        <is>
          <t>Surplus solar revenue ₹ Cr</t>
        </is>
      </c>
    </row>
    <row r="13">
      <c r="A13" s="6" t="inlineStr">
        <is>
          <t>P7|4|0</t>
        </is>
      </c>
      <c r="B13" s="6" t="inlineStr">
        <is>
          <t>bessMWh</t>
        </is>
      </c>
      <c r="C13" s="23" t="n">
        <v>412182.3963456863</v>
      </c>
      <c r="D13" s="23" t="n">
        <v>407574.376454639</v>
      </c>
      <c r="E13" s="23" t="n">
        <v>402970.3647234988</v>
      </c>
      <c r="F13" s="23" t="n">
        <v>398225.4068397568</v>
      </c>
      <c r="G13" s="23" t="n">
        <v>393249.2727022815</v>
      </c>
      <c r="H13" s="23" t="n">
        <v>388276.2043236583</v>
      </c>
      <c r="I13" s="23" t="n">
        <v>383306.1863750863</v>
      </c>
      <c r="J13" s="23" t="n">
        <v>378339.2036044222</v>
      </c>
      <c r="K13" s="23" t="n">
        <v>373086.1966191171</v>
      </c>
      <c r="L13" s="23" t="n">
        <v>367693.767197733</v>
      </c>
      <c r="M13" s="23" t="n">
        <v>362303.4327194273</v>
      </c>
      <c r="N13" s="23" t="n">
        <v>356915.1827094812</v>
      </c>
      <c r="O13" s="23" t="n">
        <v>399809.5260200383</v>
      </c>
      <c r="P13" s="23" t="n">
        <v>396368.7191959859</v>
      </c>
      <c r="Q13" s="23" t="n">
        <v>392567.4816111756</v>
      </c>
      <c r="R13" s="23" t="n">
        <v>388623.0618232334</v>
      </c>
      <c r="S13" s="23" t="n">
        <v>384444.2621816218</v>
      </c>
      <c r="T13" s="23" t="n">
        <v>380054.4305295552</v>
      </c>
      <c r="U13" s="23" t="n">
        <v>375511.8907698525</v>
      </c>
      <c r="V13" s="23" t="n">
        <v>370973.0317694048</v>
      </c>
      <c r="W13" s="23" t="n">
        <v>366393.6146039443</v>
      </c>
      <c r="X13" s="23" t="n">
        <v>361467.5648684549</v>
      </c>
      <c r="Y13" s="23" t="n">
        <v>356544.330469809</v>
      </c>
      <c r="Z13" s="23" t="n">
        <v>351623.8973313104</v>
      </c>
      <c r="AA13" s="23" t="n">
        <v>346706.2514466705</v>
      </c>
      <c r="AB13" s="2" t="inlineStr">
        <is>
          <t>BESS MWh sold · 212 of 365 days fully charged in yr 1</t>
        </is>
      </c>
    </row>
    <row r="14">
      <c r="A14" s="6" t="inlineStr">
        <is>
          <t>P7|4|0</t>
        </is>
      </c>
      <c r="B14" s="6" t="inlineStr">
        <is>
          <t>bessRev</t>
        </is>
      </c>
      <c r="C14" s="21" t="n">
        <v>315.7902204955755</v>
      </c>
      <c r="D14" s="21" t="n">
        <v>312.3484840749262</v>
      </c>
      <c r="E14" s="21" t="n">
        <v>308.9100376415995</v>
      </c>
      <c r="F14" s="21" t="n">
        <v>305.3850406203826</v>
      </c>
      <c r="G14" s="21" t="n">
        <v>301.717568205469</v>
      </c>
      <c r="H14" s="21" t="n">
        <v>298.0527896894519</v>
      </c>
      <c r="I14" s="21" t="n">
        <v>294.3906916028338</v>
      </c>
      <c r="J14" s="21" t="n">
        <v>290.7312605434684</v>
      </c>
      <c r="K14" s="21" t="n">
        <v>286.8015381911021</v>
      </c>
      <c r="L14" s="21" t="n">
        <v>282.739961865228</v>
      </c>
      <c r="M14" s="21" t="n">
        <v>278.6801676726749</v>
      </c>
      <c r="N14" s="21" t="n">
        <v>274.6221467027772</v>
      </c>
      <c r="O14" s="21" t="n">
        <v>306.0059334161953</v>
      </c>
      <c r="P14" s="21" t="n">
        <v>303.4332308590252</v>
      </c>
      <c r="Q14" s="21" t="n">
        <v>300.5415666467368</v>
      </c>
      <c r="R14" s="21" t="n">
        <v>297.5528975936766</v>
      </c>
      <c r="S14" s="21" t="n">
        <v>294.408024147321</v>
      </c>
      <c r="T14" s="21" t="n">
        <v>291.122014372234</v>
      </c>
      <c r="U14" s="21" t="n">
        <v>287.7340255082964</v>
      </c>
      <c r="V14" s="21" t="n">
        <v>284.349057893899</v>
      </c>
      <c r="W14" s="21" t="n">
        <v>280.9396904164474</v>
      </c>
      <c r="X14" s="21" t="n">
        <v>277.3162274366541</v>
      </c>
      <c r="Y14" s="21" t="n">
        <v>273.6952383085795</v>
      </c>
      <c r="Z14" s="21" t="n">
        <v>270.076710662966</v>
      </c>
      <c r="AA14" s="21" t="n">
        <v>266.4606321923993</v>
      </c>
      <c r="AB14" s="2" t="inlineStr">
        <is>
          <t>BESS revenue ₹ Cr</t>
        </is>
      </c>
    </row>
    <row r="15">
      <c r="A15" s="6" t="inlineStr">
        <is>
          <t>P7|4|0</t>
        </is>
      </c>
      <c r="B15" s="6" t="inlineStr">
        <is>
          <t>expMWh</t>
        </is>
      </c>
      <c r="C15" s="23" t="n">
        <v>28844.67020940179</v>
      </c>
      <c r="D15" s="23" t="n">
        <v>31588.02965525729</v>
      </c>
      <c r="E15" s="23" t="n">
        <v>34339.24826500653</v>
      </c>
      <c r="F15" s="23" t="n">
        <v>37262.5945478277</v>
      </c>
      <c r="G15" s="23" t="n">
        <v>40460.29806237957</v>
      </c>
      <c r="H15" s="23" t="n">
        <v>43666.74399592828</v>
      </c>
      <c r="I15" s="23" t="n">
        <v>46881.88863637934</v>
      </c>
      <c r="J15" s="23" t="n">
        <v>50105.68849019765</v>
      </c>
      <c r="K15" s="23" t="n">
        <v>53665.78137582434</v>
      </c>
      <c r="L15" s="23" t="n">
        <v>57395.9089056885</v>
      </c>
      <c r="M15" s="23" t="n">
        <v>61135.57703012518</v>
      </c>
      <c r="N15" s="23" t="n">
        <v>64884.73804616109</v>
      </c>
      <c r="O15" s="23" t="n">
        <v>13909.11184359778</v>
      </c>
      <c r="P15" s="23" t="n">
        <v>15474.04711281525</v>
      </c>
      <c r="Q15" s="23" t="n">
        <v>17459.27138441935</v>
      </c>
      <c r="R15" s="23" t="n">
        <v>19618.43783728675</v>
      </c>
      <c r="S15" s="23" t="n">
        <v>22054.87651512485</v>
      </c>
      <c r="T15" s="23" t="n">
        <v>24742.06082855646</v>
      </c>
      <c r="U15" s="23" t="n">
        <v>27613.81312692918</v>
      </c>
      <c r="V15" s="23" t="n">
        <v>30492.78262493253</v>
      </c>
      <c r="W15" s="23" t="n">
        <v>33429.0647656257</v>
      </c>
      <c r="X15" s="23" t="n">
        <v>36769.59061193743</v>
      </c>
      <c r="Y15" s="23" t="n">
        <v>40118.14476558742</v>
      </c>
      <c r="Z15" s="23" t="n">
        <v>43474.68708503822</v>
      </c>
      <c r="AA15" s="23" t="n">
        <v>46839.17762946194</v>
      </c>
      <c r="AB15" s="2" t="inlineStr">
        <is>
          <t>Surplus solar MWh sold</t>
        </is>
      </c>
    </row>
    <row r="16">
      <c r="A16" s="6" t="inlineStr">
        <is>
          <t>P7|4|0</t>
        </is>
      </c>
      <c r="B16" s="6" t="inlineStr">
        <is>
          <t>expRev</t>
        </is>
      </c>
      <c r="C16" s="21" t="n">
        <v>13.89609658275985</v>
      </c>
      <c r="D16" s="21" t="n">
        <v>15.04040218397498</v>
      </c>
      <c r="E16" s="21" t="n">
        <v>16.118500596708</v>
      </c>
      <c r="F16" s="21" t="n">
        <v>17.23219424280077</v>
      </c>
      <c r="G16" s="21" t="n">
        <v>18.41666353636029</v>
      </c>
      <c r="H16" s="21" t="n">
        <v>19.5482161372973</v>
      </c>
      <c r="I16" s="21" t="n">
        <v>20.64293173158355</v>
      </c>
      <c r="J16" s="21" t="n">
        <v>21.70485322771981</v>
      </c>
      <c r="K16" s="21" t="n">
        <v>23.00564968757485</v>
      </c>
      <c r="L16" s="21" t="n">
        <v>24.4030703291096</v>
      </c>
      <c r="M16" s="21" t="n">
        <v>25.76219278301271</v>
      </c>
      <c r="N16" s="21" t="n">
        <v>27.09372199414887</v>
      </c>
      <c r="O16" s="21" t="n">
        <v>6.647404204424777</v>
      </c>
      <c r="P16" s="21" t="n">
        <v>7.429313138579507</v>
      </c>
      <c r="Q16" s="21" t="n">
        <v>8.441721048513497</v>
      </c>
      <c r="R16" s="21" t="n">
        <v>9.501058853140561</v>
      </c>
      <c r="S16" s="21" t="n">
        <v>10.70466616583364</v>
      </c>
      <c r="T16" s="21" t="n">
        <v>11.98372857812586</v>
      </c>
      <c r="U16" s="21" t="n">
        <v>13.23391040977797</v>
      </c>
      <c r="V16" s="21" t="n">
        <v>14.39645118507409</v>
      </c>
      <c r="W16" s="21" t="n">
        <v>15.51909553393977</v>
      </c>
      <c r="X16" s="21" t="n">
        <v>16.77062984424909</v>
      </c>
      <c r="Y16" s="21" t="n">
        <v>17.95788805685948</v>
      </c>
      <c r="Z16" s="21" t="n">
        <v>19.10148025656475</v>
      </c>
      <c r="AA16" s="21" t="n">
        <v>20.20514432933651</v>
      </c>
      <c r="AB16" s="2" t="inlineStr">
        <is>
          <t>Surplus solar revenue ₹ Cr</t>
        </is>
      </c>
    </row>
    <row r="17">
      <c r="A17" s="6" t="inlineStr">
        <is>
          <t>P7|4|1</t>
        </is>
      </c>
      <c r="B17" s="6" t="inlineStr">
        <is>
          <t>bessMWh</t>
        </is>
      </c>
      <c r="C17" s="23" t="n">
        <v>412182.3963456863</v>
      </c>
      <c r="D17" s="23" t="n">
        <v>407574.376454639</v>
      </c>
      <c r="E17" s="23" t="n">
        <v>402970.3647234988</v>
      </c>
      <c r="F17" s="23" t="n">
        <v>398225.4068397568</v>
      </c>
      <c r="G17" s="23" t="n">
        <v>393249.2727022815</v>
      </c>
      <c r="H17" s="23" t="n">
        <v>388276.2043236583</v>
      </c>
      <c r="I17" s="23" t="n">
        <v>383306.1863750863</v>
      </c>
      <c r="J17" s="23" t="n">
        <v>378339.2036044222</v>
      </c>
      <c r="K17" s="23" t="n">
        <v>373086.1966191171</v>
      </c>
      <c r="L17" s="23" t="n">
        <v>367693.767197733</v>
      </c>
      <c r="M17" s="23" t="n">
        <v>362303.4327194273</v>
      </c>
      <c r="N17" s="23" t="n">
        <v>356915.1827094812</v>
      </c>
      <c r="O17" s="23" t="n">
        <v>399809.5260200383</v>
      </c>
      <c r="P17" s="23" t="n">
        <v>396368.7191959859</v>
      </c>
      <c r="Q17" s="23" t="n">
        <v>392567.4816111756</v>
      </c>
      <c r="R17" s="23" t="n">
        <v>388623.0618232334</v>
      </c>
      <c r="S17" s="23" t="n">
        <v>384444.2621816218</v>
      </c>
      <c r="T17" s="23" t="n">
        <v>380054.4305295552</v>
      </c>
      <c r="U17" s="23" t="n">
        <v>375511.8907698525</v>
      </c>
      <c r="V17" s="23" t="n">
        <v>370973.0317694048</v>
      </c>
      <c r="W17" s="23" t="n">
        <v>366393.6146039443</v>
      </c>
      <c r="X17" s="23" t="n">
        <v>361467.5648684549</v>
      </c>
      <c r="Y17" s="23" t="n">
        <v>356544.330469809</v>
      </c>
      <c r="Z17" s="23" t="n">
        <v>351623.8973313104</v>
      </c>
      <c r="AA17" s="23" t="n">
        <v>346706.2514466705</v>
      </c>
      <c r="AB17" s="2" t="inlineStr">
        <is>
          <t>BESS MWh sold · 212 of 365 days fully charged in yr 1</t>
        </is>
      </c>
    </row>
    <row r="18">
      <c r="A18" s="6" t="inlineStr">
        <is>
          <t>P7|4|1</t>
        </is>
      </c>
      <c r="B18" s="6" t="inlineStr">
        <is>
          <t>bessRev</t>
        </is>
      </c>
      <c r="C18" s="21" t="n">
        <v>326.7496422165275</v>
      </c>
      <c r="D18" s="21" t="n">
        <v>323.2531086872738</v>
      </c>
      <c r="E18" s="21" t="n">
        <v>319.760139130885</v>
      </c>
      <c r="F18" s="21" t="n">
        <v>316.1808916022218</v>
      </c>
      <c r="G18" s="21" t="n">
        <v>312.4594399323997</v>
      </c>
      <c r="H18" s="21" t="n">
        <v>308.7409520577475</v>
      </c>
      <c r="I18" s="21" t="n">
        <v>305.0254131592875</v>
      </c>
      <c r="J18" s="21" t="n">
        <v>301.3128084921406</v>
      </c>
      <c r="K18" s="21" t="n">
        <v>297.2451653951331</v>
      </c>
      <c r="L18" s="21" t="n">
        <v>293.0040424697621</v>
      </c>
      <c r="M18" s="21" t="n">
        <v>288.7647016777123</v>
      </c>
      <c r="N18" s="21" t="n">
        <v>284.5271341083186</v>
      </c>
      <c r="O18" s="21" t="n">
        <v>316.3255748592362</v>
      </c>
      <c r="P18" s="21" t="n">
        <v>313.7012740948517</v>
      </c>
      <c r="Q18" s="21" t="n">
        <v>310.7582696663844</v>
      </c>
      <c r="R18" s="21" t="n">
        <v>307.7185170982256</v>
      </c>
      <c r="S18" s="21" t="n">
        <v>304.5228155543473</v>
      </c>
      <c r="T18" s="21" t="n">
        <v>301.1862318222253</v>
      </c>
      <c r="U18" s="21" t="n">
        <v>297.7479218710379</v>
      </c>
      <c r="V18" s="21" t="n">
        <v>294.3128847748262</v>
      </c>
      <c r="W18" s="21" t="n">
        <v>290.8536981629703</v>
      </c>
      <c r="X18" s="21" t="n">
        <v>287.1806651444445</v>
      </c>
      <c r="Y18" s="21" t="n">
        <v>283.5103538278304</v>
      </c>
      <c r="Z18" s="21" t="n">
        <v>279.8427506046212</v>
      </c>
      <c r="AA18" s="21" t="n">
        <v>276.1778419343465</v>
      </c>
      <c r="AB18" s="2" t="inlineStr">
        <is>
          <t>BESS revenue ₹ Cr</t>
        </is>
      </c>
    </row>
    <row r="19">
      <c r="A19" s="6" t="inlineStr">
        <is>
          <t>P7|4|1</t>
        </is>
      </c>
      <c r="B19" s="6" t="inlineStr">
        <is>
          <t>expMWh</t>
        </is>
      </c>
      <c r="C19" s="23" t="n">
        <v>28844.67020940179</v>
      </c>
      <c r="D19" s="23" t="n">
        <v>31588.02965525729</v>
      </c>
      <c r="E19" s="23" t="n">
        <v>34339.24826500653</v>
      </c>
      <c r="F19" s="23" t="n">
        <v>37262.5945478277</v>
      </c>
      <c r="G19" s="23" t="n">
        <v>40460.29806237957</v>
      </c>
      <c r="H19" s="23" t="n">
        <v>43666.74399592828</v>
      </c>
      <c r="I19" s="23" t="n">
        <v>46881.88863637934</v>
      </c>
      <c r="J19" s="23" t="n">
        <v>50105.68849019765</v>
      </c>
      <c r="K19" s="23" t="n">
        <v>53665.78137582434</v>
      </c>
      <c r="L19" s="23" t="n">
        <v>57395.9089056885</v>
      </c>
      <c r="M19" s="23" t="n">
        <v>61135.57703012518</v>
      </c>
      <c r="N19" s="23" t="n">
        <v>64884.73804616109</v>
      </c>
      <c r="O19" s="23" t="n">
        <v>13909.11184359778</v>
      </c>
      <c r="P19" s="23" t="n">
        <v>15474.04711281525</v>
      </c>
      <c r="Q19" s="23" t="n">
        <v>17459.27138441935</v>
      </c>
      <c r="R19" s="23" t="n">
        <v>19618.43783728675</v>
      </c>
      <c r="S19" s="23" t="n">
        <v>22054.87651512485</v>
      </c>
      <c r="T19" s="23" t="n">
        <v>24742.06082855646</v>
      </c>
      <c r="U19" s="23" t="n">
        <v>27613.81312692918</v>
      </c>
      <c r="V19" s="23" t="n">
        <v>30492.78262493253</v>
      </c>
      <c r="W19" s="23" t="n">
        <v>33429.0647656257</v>
      </c>
      <c r="X19" s="23" t="n">
        <v>36769.59061193743</v>
      </c>
      <c r="Y19" s="23" t="n">
        <v>40118.14476558742</v>
      </c>
      <c r="Z19" s="23" t="n">
        <v>43474.68708503822</v>
      </c>
      <c r="AA19" s="23" t="n">
        <v>46839.17762946194</v>
      </c>
      <c r="AB19" s="2" t="inlineStr">
        <is>
          <t>Surplus solar MWh sold</t>
        </is>
      </c>
    </row>
    <row r="20">
      <c r="A20" s="6" t="inlineStr">
        <is>
          <t>P7|4|1</t>
        </is>
      </c>
      <c r="B20" s="6" t="inlineStr">
        <is>
          <t>expRev</t>
        </is>
      </c>
      <c r="C20" s="21" t="n">
        <v>13.89609658275985</v>
      </c>
      <c r="D20" s="21" t="n">
        <v>15.04040218397498</v>
      </c>
      <c r="E20" s="21" t="n">
        <v>16.118500596708</v>
      </c>
      <c r="F20" s="21" t="n">
        <v>17.23219424280077</v>
      </c>
      <c r="G20" s="21" t="n">
        <v>18.41666353636029</v>
      </c>
      <c r="H20" s="21" t="n">
        <v>19.5482161372973</v>
      </c>
      <c r="I20" s="21" t="n">
        <v>20.64293173158355</v>
      </c>
      <c r="J20" s="21" t="n">
        <v>21.70485322771981</v>
      </c>
      <c r="K20" s="21" t="n">
        <v>23.00564968757485</v>
      </c>
      <c r="L20" s="21" t="n">
        <v>24.4030703291096</v>
      </c>
      <c r="M20" s="21" t="n">
        <v>25.76219278301271</v>
      </c>
      <c r="N20" s="21" t="n">
        <v>27.09372199414887</v>
      </c>
      <c r="O20" s="21" t="n">
        <v>6.647404204424777</v>
      </c>
      <c r="P20" s="21" t="n">
        <v>7.429313138579507</v>
      </c>
      <c r="Q20" s="21" t="n">
        <v>8.441721048513497</v>
      </c>
      <c r="R20" s="21" t="n">
        <v>9.501058853140561</v>
      </c>
      <c r="S20" s="21" t="n">
        <v>10.70466616583364</v>
      </c>
      <c r="T20" s="21" t="n">
        <v>11.98372857812586</v>
      </c>
      <c r="U20" s="21" t="n">
        <v>13.23391040977797</v>
      </c>
      <c r="V20" s="21" t="n">
        <v>14.39645118507409</v>
      </c>
      <c r="W20" s="21" t="n">
        <v>15.51909553393977</v>
      </c>
      <c r="X20" s="21" t="n">
        <v>16.77062984424909</v>
      </c>
      <c r="Y20" s="21" t="n">
        <v>17.95788805685948</v>
      </c>
      <c r="Z20" s="21" t="n">
        <v>19.10148025656475</v>
      </c>
      <c r="AA20" s="21" t="n">
        <v>20.20514432933651</v>
      </c>
      <c r="AB20" s="2" t="inlineStr">
        <is>
          <t>Surplus solar revenue ₹ Cr</t>
        </is>
      </c>
    </row>
    <row r="21">
      <c r="A21" s="6" t="inlineStr">
        <is>
          <t>P8|2|0</t>
        </is>
      </c>
      <c r="B21" s="6" t="inlineStr">
        <is>
          <t>bessMWh</t>
        </is>
      </c>
      <c r="C21" s="23" t="n">
        <v>206203.0600555208</v>
      </c>
      <c r="D21" s="23" t="n">
        <v>203898.490800584</v>
      </c>
      <c r="E21" s="23" t="n">
        <v>201595.928422147</v>
      </c>
      <c r="F21" s="23" t="n">
        <v>199222.8957499744</v>
      </c>
      <c r="G21" s="23" t="n">
        <v>196734.2777195861</v>
      </c>
      <c r="H21" s="23" t="n">
        <v>194247.1953234324</v>
      </c>
      <c r="I21" s="23" t="n">
        <v>191761.6408833386</v>
      </c>
      <c r="J21" s="23" t="n">
        <v>189277.606759527</v>
      </c>
      <c r="K21" s="23" t="n">
        <v>186641.8656682249</v>
      </c>
      <c r="L21" s="23" t="n">
        <v>183945.1571207398</v>
      </c>
      <c r="M21" s="23" t="n">
        <v>181249.4985139781</v>
      </c>
      <c r="N21" s="23" t="n">
        <v>178554.884598234</v>
      </c>
      <c r="O21" s="23" t="n">
        <v>200052.0287597045</v>
      </c>
      <c r="P21" s="23" t="n">
        <v>198293.3733991582</v>
      </c>
      <c r="Q21" s="23" t="n">
        <v>196388.0218218349</v>
      </c>
      <c r="R21" s="23" t="n">
        <v>194415.2905227818</v>
      </c>
      <c r="S21" s="23" t="n">
        <v>192325.3719039203</v>
      </c>
      <c r="T21" s="23" t="n">
        <v>190129.9398738201</v>
      </c>
      <c r="U21" s="23" t="n">
        <v>187858.1563709246</v>
      </c>
      <c r="V21" s="23" t="n">
        <v>185588.2158157707</v>
      </c>
      <c r="W21" s="23" t="n">
        <v>183297.9987333866</v>
      </c>
      <c r="X21" s="23" t="n">
        <v>180834.4679084841</v>
      </c>
      <c r="Y21" s="23" t="n">
        <v>178372.3472817892</v>
      </c>
      <c r="Z21" s="23" t="n">
        <v>175911.6298023054</v>
      </c>
      <c r="AA21" s="23" t="n">
        <v>173452.3084543028</v>
      </c>
      <c r="AB21" s="2" t="inlineStr">
        <is>
          <t>BESS MWh sold · 212 of 365 days fully charged in yr 1</t>
        </is>
      </c>
    </row>
    <row r="22">
      <c r="A22" s="6" t="inlineStr">
        <is>
          <t>P8|2|0</t>
        </is>
      </c>
      <c r="B22" s="6" t="inlineStr">
        <is>
          <t>bessRev</t>
        </is>
      </c>
      <c r="C22" s="21" t="n">
        <v>160.8565922182139</v>
      </c>
      <c r="D22" s="21" t="n">
        <v>159.1276230310382</v>
      </c>
      <c r="E22" s="21" t="n">
        <v>157.4003894527407</v>
      </c>
      <c r="F22" s="21" t="n">
        <v>155.6290182673344</v>
      </c>
      <c r="G22" s="21" t="n">
        <v>153.7849537802989</v>
      </c>
      <c r="H22" s="21" t="n">
        <v>151.9423197053781</v>
      </c>
      <c r="I22" s="21" t="n">
        <v>150.1011088905099</v>
      </c>
      <c r="J22" s="21" t="n">
        <v>148.2613142193936</v>
      </c>
      <c r="K22" s="21" t="n">
        <v>146.2746365191651</v>
      </c>
      <c r="L22" s="21" t="n">
        <v>144.228897366773</v>
      </c>
      <c r="M22" s="21" t="n">
        <v>142.1841199350317</v>
      </c>
      <c r="N22" s="21" t="n">
        <v>140.1402994153391</v>
      </c>
      <c r="O22" s="21" t="n">
        <v>155.8421597368719</v>
      </c>
      <c r="P22" s="21" t="n">
        <v>154.5046164231821</v>
      </c>
      <c r="Q22" s="21" t="n">
        <v>153.031029305698</v>
      </c>
      <c r="R22" s="21" t="n">
        <v>151.5162370628871</v>
      </c>
      <c r="S22" s="21" t="n">
        <v>149.9294320366393</v>
      </c>
      <c r="T22" s="21" t="n">
        <v>148.2765286491784</v>
      </c>
      <c r="U22" s="21" t="n">
        <v>146.5759135945644</v>
      </c>
      <c r="V22" s="21" t="n">
        <v>144.8768923781662</v>
      </c>
      <c r="W22" s="21" t="n">
        <v>143.1654634203463</v>
      </c>
      <c r="X22" s="21" t="n">
        <v>141.3447671559367</v>
      </c>
      <c r="Y22" s="21" t="n">
        <v>139.5253844625285</v>
      </c>
      <c r="Z22" s="21" t="n">
        <v>137.7073087722653</v>
      </c>
      <c r="AA22" s="21" t="n">
        <v>135.8905335501313</v>
      </c>
      <c r="AB22" s="2" t="inlineStr">
        <is>
          <t>BESS revenue ₹ Cr</t>
        </is>
      </c>
    </row>
    <row r="23">
      <c r="A23" s="6" t="inlineStr">
        <is>
          <t>P8|2|0</t>
        </is>
      </c>
      <c r="B23" s="6" t="inlineStr">
        <is>
          <t>expMWh</t>
        </is>
      </c>
      <c r="C23" s="23" t="n">
        <v>14507.52184525351</v>
      </c>
      <c r="D23" s="23" t="n">
        <v>15878.77563447855</v>
      </c>
      <c r="E23" s="23" t="n">
        <v>17253.96113531879</v>
      </c>
      <c r="F23" s="23" t="n">
        <v>18715.21259171529</v>
      </c>
      <c r="G23" s="23" t="n">
        <v>20313.64477240224</v>
      </c>
      <c r="H23" s="23" t="n">
        <v>21916.45026047068</v>
      </c>
      <c r="I23" s="23" t="n">
        <v>23523.60718938362</v>
      </c>
      <c r="J23" s="23" t="n">
        <v>25135.09380193677</v>
      </c>
      <c r="K23" s="23" t="n">
        <v>26924.58918567986</v>
      </c>
      <c r="L23" s="23" t="n">
        <v>28789.19445812305</v>
      </c>
      <c r="M23" s="23" t="n">
        <v>30658.57232031516</v>
      </c>
      <c r="N23" s="23" t="n">
        <v>32532.6989093068</v>
      </c>
      <c r="O23" s="23" t="n">
        <v>6987.230276439228</v>
      </c>
      <c r="P23" s="23" t="n">
        <v>7812.064915734053</v>
      </c>
      <c r="Q23" s="23" t="n">
        <v>8809.049337527571</v>
      </c>
      <c r="R23" s="23" t="n">
        <v>9888.235495734727</v>
      </c>
      <c r="S23" s="23" t="n">
        <v>11106.05975176833</v>
      </c>
      <c r="T23" s="23" t="n">
        <v>12449.25880101309</v>
      </c>
      <c r="U23" s="23" t="n">
        <v>13884.74380826576</v>
      </c>
      <c r="V23" s="23" t="n">
        <v>15323.83937104351</v>
      </c>
      <c r="W23" s="23" t="n">
        <v>16791.59320109725</v>
      </c>
      <c r="X23" s="23" t="n">
        <v>18461.47082016166</v>
      </c>
      <c r="Y23" s="23" t="n">
        <v>20135.36451941557</v>
      </c>
      <c r="Z23" s="23" t="n">
        <v>21813.25421845799</v>
      </c>
      <c r="AA23" s="23" t="n">
        <v>23495.1199372901</v>
      </c>
      <c r="AB23" s="2" t="inlineStr">
        <is>
          <t>Surplus solar MWh sold</t>
        </is>
      </c>
    </row>
    <row r="24">
      <c r="A24" s="6" t="inlineStr">
        <is>
          <t>P8|2|0</t>
        </is>
      </c>
      <c r="B24" s="6" t="inlineStr">
        <is>
          <t>expRev</t>
        </is>
      </c>
      <c r="C24" s="21" t="n">
        <v>6.980718953944557</v>
      </c>
      <c r="D24" s="21" t="n">
        <v>7.539199672993654</v>
      </c>
      <c r="E24" s="21" t="n">
        <v>8.066979762306461</v>
      </c>
      <c r="F24" s="21" t="n">
        <v>8.617815078145695</v>
      </c>
      <c r="G24" s="21" t="n">
        <v>9.200511029935514</v>
      </c>
      <c r="H24" s="21" t="n">
        <v>9.759176781016267</v>
      </c>
      <c r="I24" s="21" t="n">
        <v>10.30059767387963</v>
      </c>
      <c r="J24" s="21" t="n">
        <v>10.82331213035779</v>
      </c>
      <c r="K24" s="21" t="n">
        <v>11.47724921107607</v>
      </c>
      <c r="L24" s="21" t="n">
        <v>12.17198238147048</v>
      </c>
      <c r="M24" s="21" t="n">
        <v>12.84899944453745</v>
      </c>
      <c r="N24" s="21" t="n">
        <v>13.51243711588534</v>
      </c>
      <c r="O24" s="21" t="n">
        <v>3.349894080298588</v>
      </c>
      <c r="P24" s="21" t="n">
        <v>3.773727239248987</v>
      </c>
      <c r="Q24" s="21" t="n">
        <v>4.283610420775316</v>
      </c>
      <c r="R24" s="21" t="n">
        <v>4.816845146698109</v>
      </c>
      <c r="S24" s="21" t="n">
        <v>5.410569796327753</v>
      </c>
      <c r="T24" s="21" t="n">
        <v>6.03291706278953</v>
      </c>
      <c r="U24" s="21" t="n">
        <v>6.64181210312172</v>
      </c>
      <c r="V24" s="21" t="n">
        <v>7.207818298753587</v>
      </c>
      <c r="W24" s="21" t="n">
        <v>7.763033840540233</v>
      </c>
      <c r="X24" s="21" t="n">
        <v>8.37920094790594</v>
      </c>
      <c r="Y24" s="21" t="n">
        <v>8.965195075541052</v>
      </c>
      <c r="Z24" s="21" t="n">
        <v>9.529857419706506</v>
      </c>
      <c r="AA24" s="21" t="n">
        <v>10.0747711705923</v>
      </c>
      <c r="AB24" s="2" t="inlineStr">
        <is>
          <t>Surplus solar revenue ₹ Cr</t>
        </is>
      </c>
    </row>
    <row r="25">
      <c r="A25" s="6" t="inlineStr">
        <is>
          <t>P8|2|1</t>
        </is>
      </c>
      <c r="B25" s="6" t="inlineStr">
        <is>
          <t>bessMWh</t>
        </is>
      </c>
      <c r="C25" s="23" t="n">
        <v>206203.0600555208</v>
      </c>
      <c r="D25" s="23" t="n">
        <v>203898.490800584</v>
      </c>
      <c r="E25" s="23" t="n">
        <v>201595.928422147</v>
      </c>
      <c r="F25" s="23" t="n">
        <v>199222.8957499744</v>
      </c>
      <c r="G25" s="23" t="n">
        <v>196734.2777195861</v>
      </c>
      <c r="H25" s="23" t="n">
        <v>194247.1953234324</v>
      </c>
      <c r="I25" s="23" t="n">
        <v>191761.6408833386</v>
      </c>
      <c r="J25" s="23" t="n">
        <v>189277.606759527</v>
      </c>
      <c r="K25" s="23" t="n">
        <v>186641.8656682249</v>
      </c>
      <c r="L25" s="23" t="n">
        <v>183945.1571207398</v>
      </c>
      <c r="M25" s="23" t="n">
        <v>181249.4985139781</v>
      </c>
      <c r="N25" s="23" t="n">
        <v>178554.884598234</v>
      </c>
      <c r="O25" s="23" t="n">
        <v>200052.0287597045</v>
      </c>
      <c r="P25" s="23" t="n">
        <v>198293.3733991582</v>
      </c>
      <c r="Q25" s="23" t="n">
        <v>196388.0218218349</v>
      </c>
      <c r="R25" s="23" t="n">
        <v>194415.2905227818</v>
      </c>
      <c r="S25" s="23" t="n">
        <v>192325.3719039203</v>
      </c>
      <c r="T25" s="23" t="n">
        <v>190129.9398738201</v>
      </c>
      <c r="U25" s="23" t="n">
        <v>187858.1563709246</v>
      </c>
      <c r="V25" s="23" t="n">
        <v>185588.2158157707</v>
      </c>
      <c r="W25" s="23" t="n">
        <v>183297.9987333866</v>
      </c>
      <c r="X25" s="23" t="n">
        <v>180834.4679084841</v>
      </c>
      <c r="Y25" s="23" t="n">
        <v>178372.3472817892</v>
      </c>
      <c r="Z25" s="23" t="n">
        <v>175911.6298023054</v>
      </c>
      <c r="AA25" s="23" t="n">
        <v>173452.3084543028</v>
      </c>
      <c r="AB25" s="2" t="inlineStr">
        <is>
          <t>BESS MWh sold · 212 of 365 days fully charged in yr 1</t>
        </is>
      </c>
    </row>
    <row r="26">
      <c r="A26" s="6" t="inlineStr">
        <is>
          <t>P8|2|1</t>
        </is>
      </c>
      <c r="B26" s="6" t="inlineStr">
        <is>
          <t>bessRev</t>
        </is>
      </c>
      <c r="C26" s="21" t="n">
        <v>166.3389658542527</v>
      </c>
      <c r="D26" s="21" t="n">
        <v>164.5825847988966</v>
      </c>
      <c r="E26" s="21" t="n">
        <v>162.8280764117599</v>
      </c>
      <c r="F26" s="21" t="n">
        <v>161.0295667915586</v>
      </c>
      <c r="G26" s="21" t="n">
        <v>159.1584995619022</v>
      </c>
      <c r="H26" s="21" t="n">
        <v>157.2889977580734</v>
      </c>
      <c r="I26" s="21" t="n">
        <v>155.4210535529412</v>
      </c>
      <c r="J26" s="21" t="n">
        <v>153.5546591585129</v>
      </c>
      <c r="K26" s="21" t="n">
        <v>151.4964501211806</v>
      </c>
      <c r="L26" s="21" t="n">
        <v>149.3609376690401</v>
      </c>
      <c r="M26" s="21" t="n">
        <v>147.2263869375508</v>
      </c>
      <c r="N26" s="21" t="n">
        <v>145.0927931181098</v>
      </c>
      <c r="O26" s="21" t="n">
        <v>161.0044877885925</v>
      </c>
      <c r="P26" s="21" t="n">
        <v>159.641132834644</v>
      </c>
      <c r="Q26" s="21" t="n">
        <v>158.1418631351024</v>
      </c>
      <c r="R26" s="21" t="n">
        <v>156.6015167231444</v>
      </c>
      <c r="S26" s="21" t="n">
        <v>154.9892852985955</v>
      </c>
      <c r="T26" s="21" t="n">
        <v>153.3110826448249</v>
      </c>
      <c r="U26" s="21" t="n">
        <v>151.5852948202324</v>
      </c>
      <c r="V26" s="21" t="n">
        <v>149.8612266977057</v>
      </c>
      <c r="W26" s="21" t="n">
        <v>148.1248760682884</v>
      </c>
      <c r="X26" s="21" t="n">
        <v>146.2793827406392</v>
      </c>
      <c r="Y26" s="21" t="n">
        <v>144.4353269693072</v>
      </c>
      <c r="Z26" s="21" t="n">
        <v>142.5927015665106</v>
      </c>
      <c r="AA26" s="21" t="n">
        <v>140.7514993804049</v>
      </c>
      <c r="AB26" s="2" t="inlineStr">
        <is>
          <t>BESS revenue ₹ Cr</t>
        </is>
      </c>
    </row>
    <row r="27">
      <c r="A27" s="6" t="inlineStr">
        <is>
          <t>P8|2|1</t>
        </is>
      </c>
      <c r="B27" s="6" t="inlineStr">
        <is>
          <t>expMWh</t>
        </is>
      </c>
      <c r="C27" s="23" t="n">
        <v>14507.52184525351</v>
      </c>
      <c r="D27" s="23" t="n">
        <v>15878.77563447855</v>
      </c>
      <c r="E27" s="23" t="n">
        <v>17253.96113531879</v>
      </c>
      <c r="F27" s="23" t="n">
        <v>18715.21259171529</v>
      </c>
      <c r="G27" s="23" t="n">
        <v>20313.64477240224</v>
      </c>
      <c r="H27" s="23" t="n">
        <v>21916.45026047068</v>
      </c>
      <c r="I27" s="23" t="n">
        <v>23523.60718938362</v>
      </c>
      <c r="J27" s="23" t="n">
        <v>25135.09380193677</v>
      </c>
      <c r="K27" s="23" t="n">
        <v>26924.58918567986</v>
      </c>
      <c r="L27" s="23" t="n">
        <v>28789.19445812305</v>
      </c>
      <c r="M27" s="23" t="n">
        <v>30658.57232031516</v>
      </c>
      <c r="N27" s="23" t="n">
        <v>32532.6989093068</v>
      </c>
      <c r="O27" s="23" t="n">
        <v>6987.230276439228</v>
      </c>
      <c r="P27" s="23" t="n">
        <v>7812.064915734053</v>
      </c>
      <c r="Q27" s="23" t="n">
        <v>8809.049337527571</v>
      </c>
      <c r="R27" s="23" t="n">
        <v>9888.235495734727</v>
      </c>
      <c r="S27" s="23" t="n">
        <v>11106.05975176833</v>
      </c>
      <c r="T27" s="23" t="n">
        <v>12449.25880101309</v>
      </c>
      <c r="U27" s="23" t="n">
        <v>13884.74380826576</v>
      </c>
      <c r="V27" s="23" t="n">
        <v>15323.83937104351</v>
      </c>
      <c r="W27" s="23" t="n">
        <v>16791.59320109725</v>
      </c>
      <c r="X27" s="23" t="n">
        <v>18461.47082016166</v>
      </c>
      <c r="Y27" s="23" t="n">
        <v>20135.36451941557</v>
      </c>
      <c r="Z27" s="23" t="n">
        <v>21813.25421845799</v>
      </c>
      <c r="AA27" s="23" t="n">
        <v>23495.1199372901</v>
      </c>
      <c r="AB27" s="2" t="inlineStr">
        <is>
          <t>Surplus solar MWh sold</t>
        </is>
      </c>
    </row>
    <row r="28">
      <c r="A28" s="6" t="inlineStr">
        <is>
          <t>P8|2|1</t>
        </is>
      </c>
      <c r="B28" s="6" t="inlineStr">
        <is>
          <t>expRev</t>
        </is>
      </c>
      <c r="C28" s="21" t="n">
        <v>6.980718953944557</v>
      </c>
      <c r="D28" s="21" t="n">
        <v>7.539199672993654</v>
      </c>
      <c r="E28" s="21" t="n">
        <v>8.066979762306461</v>
      </c>
      <c r="F28" s="21" t="n">
        <v>8.617815078145695</v>
      </c>
      <c r="G28" s="21" t="n">
        <v>9.200511029935514</v>
      </c>
      <c r="H28" s="21" t="n">
        <v>9.759176781016267</v>
      </c>
      <c r="I28" s="21" t="n">
        <v>10.30059767387963</v>
      </c>
      <c r="J28" s="21" t="n">
        <v>10.82331213035779</v>
      </c>
      <c r="K28" s="21" t="n">
        <v>11.47724921107607</v>
      </c>
      <c r="L28" s="21" t="n">
        <v>12.17198238147048</v>
      </c>
      <c r="M28" s="21" t="n">
        <v>12.84899944453745</v>
      </c>
      <c r="N28" s="21" t="n">
        <v>13.51243711588534</v>
      </c>
      <c r="O28" s="21" t="n">
        <v>3.349894080298588</v>
      </c>
      <c r="P28" s="21" t="n">
        <v>3.773727239248987</v>
      </c>
      <c r="Q28" s="21" t="n">
        <v>4.283610420775316</v>
      </c>
      <c r="R28" s="21" t="n">
        <v>4.816845146698109</v>
      </c>
      <c r="S28" s="21" t="n">
        <v>5.410569796327753</v>
      </c>
      <c r="T28" s="21" t="n">
        <v>6.03291706278953</v>
      </c>
      <c r="U28" s="21" t="n">
        <v>6.64181210312172</v>
      </c>
      <c r="V28" s="21" t="n">
        <v>7.207818298753587</v>
      </c>
      <c r="W28" s="21" t="n">
        <v>7.763033840540233</v>
      </c>
      <c r="X28" s="21" t="n">
        <v>8.37920094790594</v>
      </c>
      <c r="Y28" s="21" t="n">
        <v>8.965195075541052</v>
      </c>
      <c r="Z28" s="21" t="n">
        <v>9.529857419706506</v>
      </c>
      <c r="AA28" s="21" t="n">
        <v>10.0747711705923</v>
      </c>
      <c r="AB28" s="2" t="inlineStr">
        <is>
          <t>Surplus solar revenue ₹ Cr</t>
        </is>
      </c>
    </row>
    <row r="29">
      <c r="A29" s="6" t="inlineStr">
        <is>
          <t>P8|4|0</t>
        </is>
      </c>
      <c r="B29" s="6" t="inlineStr">
        <is>
          <t>bessMWh</t>
        </is>
      </c>
      <c r="C29" s="23" t="n">
        <v>412073.6562798821</v>
      </c>
      <c r="D29" s="23" t="n">
        <v>407466.1800891646</v>
      </c>
      <c r="E29" s="23" t="n">
        <v>402862.7093398509</v>
      </c>
      <c r="F29" s="23" t="n">
        <v>398118.289733027</v>
      </c>
      <c r="G29" s="23" t="n">
        <v>393142.6911810869</v>
      </c>
      <c r="H29" s="23" t="n">
        <v>388170.1557100707</v>
      </c>
      <c r="I29" s="23" t="n">
        <v>383200.6680045659</v>
      </c>
      <c r="J29" s="23" t="n">
        <v>378234.2128257536</v>
      </c>
      <c r="K29" s="23" t="n">
        <v>372983.4877291228</v>
      </c>
      <c r="L29" s="23" t="n">
        <v>367591.5718521908</v>
      </c>
      <c r="M29" s="23" t="n">
        <v>362201.7483506135</v>
      </c>
      <c r="N29" s="23" t="n">
        <v>356814.0067625101</v>
      </c>
      <c r="O29" s="23" t="n">
        <v>399667.647243979</v>
      </c>
      <c r="P29" s="23" t="n">
        <v>396227.5498138049</v>
      </c>
      <c r="Q29" s="23" t="n">
        <v>392466.1108466463</v>
      </c>
      <c r="R29" s="23" t="n">
        <v>388522.1979125272</v>
      </c>
      <c r="S29" s="23" t="n">
        <v>384343.9025904662</v>
      </c>
      <c r="T29" s="23" t="n">
        <v>379954.572736356</v>
      </c>
      <c r="U29" s="23" t="n">
        <v>375412.5322656201</v>
      </c>
      <c r="V29" s="23" t="n">
        <v>370874.1700576941</v>
      </c>
      <c r="W29" s="23" t="n">
        <v>366295.2472007942</v>
      </c>
      <c r="X29" s="23" t="n">
        <v>361369.6893023202</v>
      </c>
      <c r="Y29" s="23" t="n">
        <v>356446.944281501</v>
      </c>
      <c r="Z29" s="23" t="n">
        <v>351526.9980739473</v>
      </c>
      <c r="AA29" s="23" t="n">
        <v>346609.8366855936</v>
      </c>
      <c r="AB29" s="2" t="inlineStr">
        <is>
          <t>BESS MWh sold · 212 of 365 days fully charged in yr 1</t>
        </is>
      </c>
    </row>
    <row r="30">
      <c r="A30" s="6" t="inlineStr">
        <is>
          <t>P8|4|0</t>
        </is>
      </c>
      <c r="B30" s="6" t="inlineStr">
        <is>
          <t>bessRev</t>
        </is>
      </c>
      <c r="C30" s="21" t="n">
        <v>315.6986234080605</v>
      </c>
      <c r="D30" s="21" t="n">
        <v>312.2573449728493</v>
      </c>
      <c r="E30" s="21" t="n">
        <v>308.8193542350324</v>
      </c>
      <c r="F30" s="21" t="n">
        <v>305.2948106308473</v>
      </c>
      <c r="G30" s="21" t="n">
        <v>301.6277893658828</v>
      </c>
      <c r="H30" s="21" t="n">
        <v>297.9634597440634</v>
      </c>
      <c r="I30" s="21" t="n">
        <v>294.3018083071719</v>
      </c>
      <c r="J30" s="21" t="n">
        <v>290.6428216642857</v>
      </c>
      <c r="K30" s="21" t="n">
        <v>286.7152005830607</v>
      </c>
      <c r="L30" s="21" t="n">
        <v>282.6540559452266</v>
      </c>
      <c r="M30" s="21" t="n">
        <v>278.5946912822734</v>
      </c>
      <c r="N30" s="21" t="n">
        <v>274.5370976943278</v>
      </c>
      <c r="O30" s="21" t="n">
        <v>305.8848065516999</v>
      </c>
      <c r="P30" s="21" t="n">
        <v>303.3127096288521</v>
      </c>
      <c r="Q30" s="21" t="n">
        <v>300.4561770829046</v>
      </c>
      <c r="R30" s="21" t="n">
        <v>297.467934977664</v>
      </c>
      <c r="S30" s="21" t="n">
        <v>294.3234863443881</v>
      </c>
      <c r="T30" s="21" t="n">
        <v>291.0378992583159</v>
      </c>
      <c r="U30" s="21" t="n">
        <v>287.6503309699484</v>
      </c>
      <c r="V30" s="21" t="n">
        <v>284.2657818282424</v>
      </c>
      <c r="W30" s="21" t="n">
        <v>280.8568307311182</v>
      </c>
      <c r="X30" s="21" t="n">
        <v>277.2337820497524</v>
      </c>
      <c r="Y30" s="21" t="n">
        <v>273.6132051486127</v>
      </c>
      <c r="Z30" s="21" t="n">
        <v>269.9950876687984</v>
      </c>
      <c r="AA30" s="21" t="n">
        <v>266.3794173132036</v>
      </c>
      <c r="AB30" s="2" t="inlineStr">
        <is>
          <t>BESS revenue ₹ Cr</t>
        </is>
      </c>
    </row>
    <row r="31">
      <c r="A31" s="6" t="inlineStr">
        <is>
          <t>P8|4|0</t>
        </is>
      </c>
      <c r="B31" s="6" t="inlineStr">
        <is>
          <t>expMWh</t>
        </is>
      </c>
      <c r="C31" s="23" t="n">
        <v>28777.90033604721</v>
      </c>
      <c r="D31" s="23" t="n">
        <v>31521.59363126951</v>
      </c>
      <c r="E31" s="23" t="n">
        <v>34273.14442113873</v>
      </c>
      <c r="F31" s="23" t="n">
        <v>37196.82122317902</v>
      </c>
      <c r="G31" s="23" t="n">
        <v>40394.8536043543</v>
      </c>
      <c r="H31" s="23" t="n">
        <v>43601.62676019317</v>
      </c>
      <c r="I31" s="23" t="n">
        <v>46817.09698682262</v>
      </c>
      <c r="J31" s="23" t="n">
        <v>50041.22079888906</v>
      </c>
      <c r="K31" s="23" t="n">
        <v>53599.64423666526</v>
      </c>
      <c r="L31" s="23" t="n">
        <v>57330.10245222559</v>
      </c>
      <c r="M31" s="23" t="n">
        <v>61070.09960892976</v>
      </c>
      <c r="N31" s="23" t="n">
        <v>64819.58801207144</v>
      </c>
      <c r="O31" s="23" t="n">
        <v>13891.00468471428</v>
      </c>
      <c r="P31" s="23" t="n">
        <v>15456.03048972616</v>
      </c>
      <c r="Q31" s="23" t="n">
        <v>17397.02649740856</v>
      </c>
      <c r="R31" s="23" t="n">
        <v>19556.50417471105</v>
      </c>
      <c r="S31" s="23" t="n">
        <v>21993.2525208621</v>
      </c>
      <c r="T31" s="23" t="n">
        <v>24680.74495426484</v>
      </c>
      <c r="U31" s="23" t="n">
        <v>27552.80383200925</v>
      </c>
      <c r="V31" s="23" t="n">
        <v>30432.07837648726</v>
      </c>
      <c r="W31" s="23" t="n">
        <v>33368.66403842272</v>
      </c>
      <c r="X31" s="23" t="n">
        <v>36709.49188837021</v>
      </c>
      <c r="Y31" s="23" t="n">
        <v>40058.3465356379</v>
      </c>
      <c r="Z31" s="23" t="n">
        <v>43415.18784623867</v>
      </c>
      <c r="AA31" s="23" t="n">
        <v>46779.97588685605</v>
      </c>
      <c r="AB31" s="2" t="inlineStr">
        <is>
          <t>Surplus solar MWh sold</t>
        </is>
      </c>
    </row>
    <row r="32">
      <c r="A32" s="6" t="inlineStr">
        <is>
          <t>P8|4|0</t>
        </is>
      </c>
      <c r="B32" s="6" t="inlineStr">
        <is>
          <t>expRev</t>
        </is>
      </c>
      <c r="C32" s="21" t="n">
        <v>13.80561560680257</v>
      </c>
      <c r="D32" s="21" t="n">
        <v>14.92335615640619</v>
      </c>
      <c r="E32" s="21" t="n">
        <v>15.97969155097969</v>
      </c>
      <c r="F32" s="21" t="n">
        <v>17.08213352252633</v>
      </c>
      <c r="G32" s="21" t="n">
        <v>18.24829290927478</v>
      </c>
      <c r="H32" s="21" t="n">
        <v>19.36638805718925</v>
      </c>
      <c r="I32" s="21" t="n">
        <v>20.44998967044021</v>
      </c>
      <c r="J32" s="21" t="n">
        <v>21.49617461178314</v>
      </c>
      <c r="K32" s="21" t="n">
        <v>22.78663336845941</v>
      </c>
      <c r="L32" s="21" t="n">
        <v>24.17696101935966</v>
      </c>
      <c r="M32" s="21" t="n">
        <v>25.53183016421148</v>
      </c>
      <c r="N32" s="21" t="n">
        <v>26.85953635053158</v>
      </c>
      <c r="O32" s="21" t="n">
        <v>6.64074234646245</v>
      </c>
      <c r="P32" s="21" t="n">
        <v>7.424895040602873</v>
      </c>
      <c r="Q32" s="21" t="n">
        <v>8.418586999385125</v>
      </c>
      <c r="R32" s="21" t="n">
        <v>9.489124331845943</v>
      </c>
      <c r="S32" s="21" t="n">
        <v>10.67732634117342</v>
      </c>
      <c r="T32" s="21" t="n">
        <v>11.92273994035439</v>
      </c>
      <c r="U32" s="21" t="n">
        <v>13.14124549194488</v>
      </c>
      <c r="V32" s="21" t="n">
        <v>14.2739697767801</v>
      </c>
      <c r="W32" s="21" t="n">
        <v>15.38510919445703</v>
      </c>
      <c r="X32" s="21" t="n">
        <v>16.61814820162156</v>
      </c>
      <c r="Y32" s="21" t="n">
        <v>17.79083772536275</v>
      </c>
      <c r="Z32" s="21" t="n">
        <v>18.92086017582223</v>
      </c>
      <c r="AA32" s="21" t="n">
        <v>20.01138195091179</v>
      </c>
      <c r="AB32" s="2" t="inlineStr">
        <is>
          <t>Surplus solar revenue ₹ Cr</t>
        </is>
      </c>
    </row>
    <row r="33">
      <c r="A33" s="6" t="inlineStr">
        <is>
          <t>P8|4|1</t>
        </is>
      </c>
      <c r="B33" s="6" t="inlineStr">
        <is>
          <t>bessMWh</t>
        </is>
      </c>
      <c r="C33" s="23" t="n">
        <v>412073.6562798821</v>
      </c>
      <c r="D33" s="23" t="n">
        <v>407466.1800891646</v>
      </c>
      <c r="E33" s="23" t="n">
        <v>402862.7093398509</v>
      </c>
      <c r="F33" s="23" t="n">
        <v>398118.289733027</v>
      </c>
      <c r="G33" s="23" t="n">
        <v>393142.6911810869</v>
      </c>
      <c r="H33" s="23" t="n">
        <v>388170.1557100707</v>
      </c>
      <c r="I33" s="23" t="n">
        <v>383200.6680045659</v>
      </c>
      <c r="J33" s="23" t="n">
        <v>378234.2128257536</v>
      </c>
      <c r="K33" s="23" t="n">
        <v>372983.4877291228</v>
      </c>
      <c r="L33" s="23" t="n">
        <v>367591.5718521908</v>
      </c>
      <c r="M33" s="23" t="n">
        <v>362201.7483506135</v>
      </c>
      <c r="N33" s="23" t="n">
        <v>356814.0067625101</v>
      </c>
      <c r="O33" s="23" t="n">
        <v>399667.647243979</v>
      </c>
      <c r="P33" s="23" t="n">
        <v>396227.5498138049</v>
      </c>
      <c r="Q33" s="23" t="n">
        <v>392466.1108466463</v>
      </c>
      <c r="R33" s="23" t="n">
        <v>388522.1979125272</v>
      </c>
      <c r="S33" s="23" t="n">
        <v>384343.9025904662</v>
      </c>
      <c r="T33" s="23" t="n">
        <v>379954.572736356</v>
      </c>
      <c r="U33" s="23" t="n">
        <v>375412.5322656201</v>
      </c>
      <c r="V33" s="23" t="n">
        <v>370874.1700576941</v>
      </c>
      <c r="W33" s="23" t="n">
        <v>366295.2472007942</v>
      </c>
      <c r="X33" s="23" t="n">
        <v>361369.6893023202</v>
      </c>
      <c r="Y33" s="23" t="n">
        <v>356446.944281501</v>
      </c>
      <c r="Z33" s="23" t="n">
        <v>351526.9980739473</v>
      </c>
      <c r="AA33" s="23" t="n">
        <v>346609.8366855936</v>
      </c>
      <c r="AB33" s="2" t="inlineStr">
        <is>
          <t>BESS MWh sold · 212 of 365 days fully charged in yr 1</t>
        </is>
      </c>
    </row>
    <row r="34">
      <c r="A34" s="6" t="inlineStr">
        <is>
          <t>P8|4|1</t>
        </is>
      </c>
      <c r="B34" s="6" t="inlineStr">
        <is>
          <t>bessRev</t>
        </is>
      </c>
      <c r="C34" s="21" t="n">
        <v>326.6575072407375</v>
      </c>
      <c r="D34" s="21" t="n">
        <v>323.1614343863625</v>
      </c>
      <c r="E34" s="21" t="n">
        <v>319.6689232014784</v>
      </c>
      <c r="F34" s="21" t="n">
        <v>316.0901317524617</v>
      </c>
      <c r="G34" s="21" t="n">
        <v>312.3691338818883</v>
      </c>
      <c r="H34" s="21" t="n">
        <v>308.6510975374889</v>
      </c>
      <c r="I34" s="21" t="n">
        <v>304.9360079116308</v>
      </c>
      <c r="J34" s="21" t="n">
        <v>301.2238502707215</v>
      </c>
      <c r="K34" s="21" t="n">
        <v>297.1588277870916</v>
      </c>
      <c r="L34" s="21" t="n">
        <v>292.9181365497607</v>
      </c>
      <c r="M34" s="21" t="n">
        <v>288.6792252873116</v>
      </c>
      <c r="N34" s="21" t="n">
        <v>284.4420850998692</v>
      </c>
      <c r="O34" s="21" t="n">
        <v>316.2039415068734</v>
      </c>
      <c r="P34" s="21" t="n">
        <v>313.5802489092504</v>
      </c>
      <c r="Q34" s="21" t="n">
        <v>310.6723786669004</v>
      </c>
      <c r="R34" s="21" t="n">
        <v>307.6330555537396</v>
      </c>
      <c r="S34" s="21" t="n">
        <v>304.4377813175841</v>
      </c>
      <c r="T34" s="21" t="n">
        <v>301.101622756645</v>
      </c>
      <c r="U34" s="21" t="n">
        <v>297.6637358507868</v>
      </c>
      <c r="V34" s="21" t="n">
        <v>294.2291196846763</v>
      </c>
      <c r="W34" s="21" t="n">
        <v>290.7703518982697</v>
      </c>
      <c r="X34" s="21" t="n">
        <v>287.097735611068</v>
      </c>
      <c r="Y34" s="21" t="n">
        <v>283.4278389421212</v>
      </c>
      <c r="Z34" s="21" t="n">
        <v>279.7606482933397</v>
      </c>
      <c r="AA34" s="21" t="n">
        <v>276.0961501346224</v>
      </c>
      <c r="AB34" s="2" t="inlineStr">
        <is>
          <t>BESS revenue ₹ Cr</t>
        </is>
      </c>
    </row>
    <row r="35">
      <c r="A35" s="6" t="inlineStr">
        <is>
          <t>P8|4|1</t>
        </is>
      </c>
      <c r="B35" s="6" t="inlineStr">
        <is>
          <t>expMWh</t>
        </is>
      </c>
      <c r="C35" s="23" t="n">
        <v>28777.90033604721</v>
      </c>
      <c r="D35" s="23" t="n">
        <v>31521.59363126951</v>
      </c>
      <c r="E35" s="23" t="n">
        <v>34273.14442113873</v>
      </c>
      <c r="F35" s="23" t="n">
        <v>37196.82122317902</v>
      </c>
      <c r="G35" s="23" t="n">
        <v>40394.8536043543</v>
      </c>
      <c r="H35" s="23" t="n">
        <v>43601.62676019317</v>
      </c>
      <c r="I35" s="23" t="n">
        <v>46817.09698682262</v>
      </c>
      <c r="J35" s="23" t="n">
        <v>50041.22079888906</v>
      </c>
      <c r="K35" s="23" t="n">
        <v>53599.64423666526</v>
      </c>
      <c r="L35" s="23" t="n">
        <v>57330.10245222559</v>
      </c>
      <c r="M35" s="23" t="n">
        <v>61070.09960892976</v>
      </c>
      <c r="N35" s="23" t="n">
        <v>64819.58801207144</v>
      </c>
      <c r="O35" s="23" t="n">
        <v>13891.00468471428</v>
      </c>
      <c r="P35" s="23" t="n">
        <v>15456.03048972616</v>
      </c>
      <c r="Q35" s="23" t="n">
        <v>17397.02649740856</v>
      </c>
      <c r="R35" s="23" t="n">
        <v>19556.50417471105</v>
      </c>
      <c r="S35" s="23" t="n">
        <v>21993.2525208621</v>
      </c>
      <c r="T35" s="23" t="n">
        <v>24680.74495426484</v>
      </c>
      <c r="U35" s="23" t="n">
        <v>27552.80383200925</v>
      </c>
      <c r="V35" s="23" t="n">
        <v>30432.07837648726</v>
      </c>
      <c r="W35" s="23" t="n">
        <v>33368.66403842272</v>
      </c>
      <c r="X35" s="23" t="n">
        <v>36709.49188837021</v>
      </c>
      <c r="Y35" s="23" t="n">
        <v>40058.3465356379</v>
      </c>
      <c r="Z35" s="23" t="n">
        <v>43415.18784623867</v>
      </c>
      <c r="AA35" s="23" t="n">
        <v>46779.97588685605</v>
      </c>
      <c r="AB35" s="2" t="inlineStr">
        <is>
          <t>Surplus solar MWh sold</t>
        </is>
      </c>
    </row>
    <row r="36">
      <c r="A36" s="6" t="inlineStr">
        <is>
          <t>P8|4|1</t>
        </is>
      </c>
      <c r="B36" s="6" t="inlineStr">
        <is>
          <t>expRev</t>
        </is>
      </c>
      <c r="C36" s="21" t="n">
        <v>13.80561560680257</v>
      </c>
      <c r="D36" s="21" t="n">
        <v>14.92335615640619</v>
      </c>
      <c r="E36" s="21" t="n">
        <v>15.97969155097969</v>
      </c>
      <c r="F36" s="21" t="n">
        <v>17.08213352252633</v>
      </c>
      <c r="G36" s="21" t="n">
        <v>18.24829290927478</v>
      </c>
      <c r="H36" s="21" t="n">
        <v>19.36638805718925</v>
      </c>
      <c r="I36" s="21" t="n">
        <v>20.44998967044021</v>
      </c>
      <c r="J36" s="21" t="n">
        <v>21.49617461178314</v>
      </c>
      <c r="K36" s="21" t="n">
        <v>22.78663336845941</v>
      </c>
      <c r="L36" s="21" t="n">
        <v>24.17696101935966</v>
      </c>
      <c r="M36" s="21" t="n">
        <v>25.53183016421148</v>
      </c>
      <c r="N36" s="21" t="n">
        <v>26.85953635053158</v>
      </c>
      <c r="O36" s="21" t="n">
        <v>6.64074234646245</v>
      </c>
      <c r="P36" s="21" t="n">
        <v>7.424895040602873</v>
      </c>
      <c r="Q36" s="21" t="n">
        <v>8.418586999385125</v>
      </c>
      <c r="R36" s="21" t="n">
        <v>9.489124331845943</v>
      </c>
      <c r="S36" s="21" t="n">
        <v>10.67732634117342</v>
      </c>
      <c r="T36" s="21" t="n">
        <v>11.92273994035439</v>
      </c>
      <c r="U36" s="21" t="n">
        <v>13.14124549194488</v>
      </c>
      <c r="V36" s="21" t="n">
        <v>14.2739697767801</v>
      </c>
      <c r="W36" s="21" t="n">
        <v>15.38510919445703</v>
      </c>
      <c r="X36" s="21" t="n">
        <v>16.61814820162156</v>
      </c>
      <c r="Y36" s="21" t="n">
        <v>17.79083772536275</v>
      </c>
      <c r="Z36" s="21" t="n">
        <v>18.92086017582223</v>
      </c>
      <c r="AA36" s="21" t="n">
        <v>20.01138195091179</v>
      </c>
      <c r="AB36" s="2" t="inlineStr">
        <is>
          <t>Surplus solar revenue ₹ Cr</t>
        </is>
      </c>
    </row>
    <row r="37">
      <c r="A37" s="6" t="inlineStr">
        <is>
          <t>P12|2|0</t>
        </is>
      </c>
      <c r="B37" s="6" t="inlineStr">
        <is>
          <t>bessMWh</t>
        </is>
      </c>
      <c r="C37" s="23" t="n">
        <v>171835.8833796001</v>
      </c>
      <c r="D37" s="23" t="n">
        <v>169915.4090004851</v>
      </c>
      <c r="E37" s="23" t="n">
        <v>167996.6070184555</v>
      </c>
      <c r="F37" s="23" t="n">
        <v>166019.0797916441</v>
      </c>
      <c r="G37" s="23" t="n">
        <v>163945.2314329888</v>
      </c>
      <c r="H37" s="23" t="n">
        <v>161872.6627695267</v>
      </c>
      <c r="I37" s="23" t="n">
        <v>159801.3674027825</v>
      </c>
      <c r="J37" s="23" t="n">
        <v>157731.3389662716</v>
      </c>
      <c r="K37" s="23" t="n">
        <v>155534.8880568545</v>
      </c>
      <c r="L37" s="23" t="n">
        <v>153287.630933949</v>
      </c>
      <c r="M37" s="23" t="n">
        <v>151041.2487616481</v>
      </c>
      <c r="N37" s="23" t="n">
        <v>148795.7371651949</v>
      </c>
      <c r="O37" s="23" t="n">
        <v>166710.0239664205</v>
      </c>
      <c r="P37" s="23" t="n">
        <v>165244.4778326301</v>
      </c>
      <c r="Q37" s="23" t="n">
        <v>163656.684851529</v>
      </c>
      <c r="R37" s="23" t="n">
        <v>162012.7421023167</v>
      </c>
      <c r="S37" s="23" t="n">
        <v>160271.1432532672</v>
      </c>
      <c r="T37" s="23" t="n">
        <v>158441.6165615167</v>
      </c>
      <c r="U37" s="23" t="n">
        <v>156548.4636424376</v>
      </c>
      <c r="V37" s="23" t="n">
        <v>154656.8465131417</v>
      </c>
      <c r="W37" s="23" t="n">
        <v>152748.3322778217</v>
      </c>
      <c r="X37" s="23" t="n">
        <v>150695.3899237368</v>
      </c>
      <c r="Y37" s="23" t="n">
        <v>148643.6227348242</v>
      </c>
      <c r="Z37" s="23" t="n">
        <v>146593.0248352555</v>
      </c>
      <c r="AA37" s="23" t="n">
        <v>144543.5903785854</v>
      </c>
      <c r="AB37" s="2" t="inlineStr">
        <is>
          <t>BESS MWh sold · 212 of 365 days fully charged in yr 1</t>
        </is>
      </c>
    </row>
    <row r="38">
      <c r="A38" s="6" t="inlineStr">
        <is>
          <t>P12|2|0</t>
        </is>
      </c>
      <c r="B38" s="6" t="inlineStr">
        <is>
          <t>bessRev</t>
        </is>
      </c>
      <c r="C38" s="21" t="n">
        <v>134.0471601818455</v>
      </c>
      <c r="D38" s="21" t="n">
        <v>132.6063525258653</v>
      </c>
      <c r="E38" s="21" t="n">
        <v>131.1669912106172</v>
      </c>
      <c r="F38" s="21" t="n">
        <v>129.6908485561114</v>
      </c>
      <c r="G38" s="21" t="n">
        <v>128.1541281502502</v>
      </c>
      <c r="H38" s="21" t="n">
        <v>126.6185997544818</v>
      </c>
      <c r="I38" s="21" t="n">
        <v>125.0842574087581</v>
      </c>
      <c r="J38" s="21" t="n">
        <v>123.5510951828275</v>
      </c>
      <c r="K38" s="21" t="n">
        <v>121.8955304326378</v>
      </c>
      <c r="L38" s="21" t="n">
        <v>120.1907478056438</v>
      </c>
      <c r="M38" s="21" t="n">
        <v>118.4867666125267</v>
      </c>
      <c r="N38" s="21" t="n">
        <v>116.7835828461162</v>
      </c>
      <c r="O38" s="21" t="n">
        <v>129.8684664473933</v>
      </c>
      <c r="P38" s="21" t="n">
        <v>128.7538470193186</v>
      </c>
      <c r="Q38" s="21" t="n">
        <v>127.5258577547479</v>
      </c>
      <c r="R38" s="21" t="n">
        <v>126.2635308857393</v>
      </c>
      <c r="S38" s="21" t="n">
        <v>124.9411933638665</v>
      </c>
      <c r="T38" s="21" t="n">
        <v>123.5637738743153</v>
      </c>
      <c r="U38" s="21" t="n">
        <v>122.1465946621371</v>
      </c>
      <c r="V38" s="21" t="n">
        <v>120.7307436484719</v>
      </c>
      <c r="W38" s="21" t="n">
        <v>119.3045528502882</v>
      </c>
      <c r="X38" s="21" t="n">
        <v>117.7873059632808</v>
      </c>
      <c r="Y38" s="21" t="n">
        <v>116.271153718774</v>
      </c>
      <c r="Z38" s="21" t="n">
        <v>114.7560906435548</v>
      </c>
      <c r="AA38" s="21" t="n">
        <v>113.2421112917766</v>
      </c>
      <c r="AB38" s="2" t="inlineStr">
        <is>
          <t>BESS revenue ₹ Cr</t>
        </is>
      </c>
    </row>
    <row r="39">
      <c r="A39" s="6" t="inlineStr">
        <is>
          <t>P12|2|0</t>
        </is>
      </c>
      <c r="B39" s="6" t="inlineStr">
        <is>
          <t>expMWh</t>
        </is>
      </c>
      <c r="C39" s="23" t="n">
        <v>12089.60153771119</v>
      </c>
      <c r="D39" s="23" t="n">
        <v>13232.31302873206</v>
      </c>
      <c r="E39" s="23" t="n">
        <v>14378.30094609894</v>
      </c>
      <c r="F39" s="23" t="n">
        <v>15596.01049309603</v>
      </c>
      <c r="G39" s="23" t="n">
        <v>16928.03731033526</v>
      </c>
      <c r="H39" s="23" t="n">
        <v>18263.70855039206</v>
      </c>
      <c r="I39" s="23" t="n">
        <v>19603.00599115294</v>
      </c>
      <c r="J39" s="23" t="n">
        <v>20945.91150161382</v>
      </c>
      <c r="K39" s="23" t="n">
        <v>22437.15765473322</v>
      </c>
      <c r="L39" s="23" t="n">
        <v>23990.99538176946</v>
      </c>
      <c r="M39" s="23" t="n">
        <v>25548.81026692929</v>
      </c>
      <c r="N39" s="23" t="n">
        <v>27110.58242442219</v>
      </c>
      <c r="O39" s="23" t="n">
        <v>5822.691897032677</v>
      </c>
      <c r="P39" s="23" t="n">
        <v>6510.054096444931</v>
      </c>
      <c r="Q39" s="23" t="n">
        <v>7340.874447939598</v>
      </c>
      <c r="R39" s="23" t="n">
        <v>8240.196246445605</v>
      </c>
      <c r="S39" s="23" t="n">
        <v>9255.049793140333</v>
      </c>
      <c r="T39" s="23" t="n">
        <v>10374.38233417748</v>
      </c>
      <c r="U39" s="23" t="n">
        <v>11570.61984022144</v>
      </c>
      <c r="V39" s="23" t="n">
        <v>12769.8661425362</v>
      </c>
      <c r="W39" s="23" t="n">
        <v>13992.99433424766</v>
      </c>
      <c r="X39" s="23" t="n">
        <v>15384.55901680125</v>
      </c>
      <c r="Y39" s="23" t="n">
        <v>16779.47043284631</v>
      </c>
      <c r="Z39" s="23" t="n">
        <v>18177.71184871487</v>
      </c>
      <c r="AA39" s="23" t="n">
        <v>19579.26661440844</v>
      </c>
      <c r="AB39" s="2" t="inlineStr">
        <is>
          <t>Surplus solar MWh sold</t>
        </is>
      </c>
    </row>
    <row r="40">
      <c r="A40" s="6" t="inlineStr">
        <is>
          <t>P12|2|0</t>
        </is>
      </c>
      <c r="B40" s="6" t="inlineStr">
        <is>
          <t>expRev</t>
        </is>
      </c>
      <c r="C40" s="21" t="n">
        <v>5.826263024849232</v>
      </c>
      <c r="D40" s="21" t="n">
        <v>6.297819533232119</v>
      </c>
      <c r="E40" s="21" t="n">
        <v>6.741662348526273</v>
      </c>
      <c r="F40" s="21" t="n">
        <v>7.203283194988542</v>
      </c>
      <c r="G40" s="21" t="n">
        <v>7.69294227536642</v>
      </c>
      <c r="H40" s="21" t="n">
        <v>8.161518577510298</v>
      </c>
      <c r="I40" s="21" t="n">
        <v>8.615315098856644</v>
      </c>
      <c r="J40" s="21" t="n">
        <v>9.053989727214637</v>
      </c>
      <c r="K40" s="21" t="n">
        <v>9.600935566178906</v>
      </c>
      <c r="L40" s="21" t="n">
        <v>10.18166312618224</v>
      </c>
      <c r="M40" s="21" t="n">
        <v>10.74626867789796</v>
      </c>
      <c r="N40" s="21" t="n">
        <v>11.30011753487736</v>
      </c>
      <c r="O40" s="21" t="n">
        <v>2.790093538528885</v>
      </c>
      <c r="P40" s="21" t="n">
        <v>3.142083516050628</v>
      </c>
      <c r="Q40" s="21" t="n">
        <v>3.564744411353529</v>
      </c>
      <c r="R40" s="21" t="n">
        <v>4.007095698039877</v>
      </c>
      <c r="S40" s="21" t="n">
        <v>4.505398018733374</v>
      </c>
      <c r="T40" s="21" t="n">
        <v>5.031817325105517</v>
      </c>
      <c r="U40" s="21" t="n">
        <v>5.545485911224921</v>
      </c>
      <c r="V40" s="21" t="n">
        <v>6.023368433587566</v>
      </c>
      <c r="W40" s="21" t="n">
        <v>6.48834140220921</v>
      </c>
      <c r="X40" s="21" t="n">
        <v>7.005866491913837</v>
      </c>
      <c r="Y40" s="21" t="n">
        <v>7.497530134173761</v>
      </c>
      <c r="Z40" s="21" t="n">
        <v>7.971358494461881</v>
      </c>
      <c r="AA40" s="21" t="n">
        <v>8.427874393602572</v>
      </c>
      <c r="AB40" s="2" t="inlineStr">
        <is>
          <t>Surplus solar revenue ₹ Cr</t>
        </is>
      </c>
    </row>
    <row r="41">
      <c r="A41" s="6" t="inlineStr">
        <is>
          <t>P12|2|1</t>
        </is>
      </c>
      <c r="B41" s="6" t="inlineStr">
        <is>
          <t>bessMWh</t>
        </is>
      </c>
      <c r="C41" s="23" t="n">
        <v>171835.8833796001</v>
      </c>
      <c r="D41" s="23" t="n">
        <v>169915.4090004851</v>
      </c>
      <c r="E41" s="23" t="n">
        <v>167996.6070184555</v>
      </c>
      <c r="F41" s="23" t="n">
        <v>166019.0797916441</v>
      </c>
      <c r="G41" s="23" t="n">
        <v>163945.2314329888</v>
      </c>
      <c r="H41" s="23" t="n">
        <v>161872.6627695267</v>
      </c>
      <c r="I41" s="23" t="n">
        <v>159801.3674027825</v>
      </c>
      <c r="J41" s="23" t="n">
        <v>157731.3389662716</v>
      </c>
      <c r="K41" s="23" t="n">
        <v>155534.8880568545</v>
      </c>
      <c r="L41" s="23" t="n">
        <v>153287.630933949</v>
      </c>
      <c r="M41" s="23" t="n">
        <v>151041.2487616481</v>
      </c>
      <c r="N41" s="23" t="n">
        <v>148795.7371651949</v>
      </c>
      <c r="O41" s="23" t="n">
        <v>166710.0239664205</v>
      </c>
      <c r="P41" s="23" t="n">
        <v>165244.4778326301</v>
      </c>
      <c r="Q41" s="23" t="n">
        <v>163656.684851529</v>
      </c>
      <c r="R41" s="23" t="n">
        <v>162012.7421023167</v>
      </c>
      <c r="S41" s="23" t="n">
        <v>160271.1432532672</v>
      </c>
      <c r="T41" s="23" t="n">
        <v>158441.6165615167</v>
      </c>
      <c r="U41" s="23" t="n">
        <v>156548.4636424376</v>
      </c>
      <c r="V41" s="23" t="n">
        <v>154656.8465131417</v>
      </c>
      <c r="W41" s="23" t="n">
        <v>152748.3322778217</v>
      </c>
      <c r="X41" s="23" t="n">
        <v>150695.3899237368</v>
      </c>
      <c r="Y41" s="23" t="n">
        <v>148643.6227348242</v>
      </c>
      <c r="Z41" s="23" t="n">
        <v>146593.0248352555</v>
      </c>
      <c r="AA41" s="23" t="n">
        <v>144543.5903785854</v>
      </c>
      <c r="AB41" s="2" t="inlineStr">
        <is>
          <t>BESS MWh sold · 212 of 365 days fully charged in yr 1</t>
        </is>
      </c>
    </row>
    <row r="42">
      <c r="A42" s="6" t="inlineStr">
        <is>
          <t>P12|2|1</t>
        </is>
      </c>
      <c r="B42" s="6" t="inlineStr">
        <is>
          <t>bessRev</t>
        </is>
      </c>
      <c r="C42" s="21" t="n">
        <v>138.6158048785443</v>
      </c>
      <c r="D42" s="21" t="n">
        <v>137.1521539990809</v>
      </c>
      <c r="E42" s="21" t="n">
        <v>135.6900636764666</v>
      </c>
      <c r="F42" s="21" t="n">
        <v>134.1913056596318</v>
      </c>
      <c r="G42" s="21" t="n">
        <v>132.6320829682524</v>
      </c>
      <c r="H42" s="21" t="n">
        <v>131.0741647983942</v>
      </c>
      <c r="I42" s="21" t="n">
        <v>129.5175446274514</v>
      </c>
      <c r="J42" s="21" t="n">
        <v>127.9622159654274</v>
      </c>
      <c r="K42" s="21" t="n">
        <v>126.2470417676503</v>
      </c>
      <c r="L42" s="21" t="n">
        <v>124.467448057533</v>
      </c>
      <c r="M42" s="21" t="n">
        <v>122.6886557812923</v>
      </c>
      <c r="N42" s="21" t="n">
        <v>120.9106609317586</v>
      </c>
      <c r="O42" s="21" t="n">
        <v>134.1704064904937</v>
      </c>
      <c r="P42" s="21" t="n">
        <v>133.0342773622031</v>
      </c>
      <c r="Q42" s="21" t="n">
        <v>131.7848859459181</v>
      </c>
      <c r="R42" s="21" t="n">
        <v>130.5012639359535</v>
      </c>
      <c r="S42" s="21" t="n">
        <v>129.15773774883</v>
      </c>
      <c r="T42" s="21" t="n">
        <v>127.7592355373541</v>
      </c>
      <c r="U42" s="21" t="n">
        <v>126.3210790168601</v>
      </c>
      <c r="V42" s="21" t="n">
        <v>124.8843555814215</v>
      </c>
      <c r="W42" s="21" t="n">
        <v>123.437396723573</v>
      </c>
      <c r="X42" s="21" t="n">
        <v>121.8994856171995</v>
      </c>
      <c r="Y42" s="21" t="n">
        <v>120.3627724744231</v>
      </c>
      <c r="Z42" s="21" t="n">
        <v>118.8272513054257</v>
      </c>
      <c r="AA42" s="21" t="n">
        <v>117.292916150338</v>
      </c>
      <c r="AB42" s="2" t="inlineStr">
        <is>
          <t>BESS revenue ₹ Cr</t>
        </is>
      </c>
    </row>
    <row r="43">
      <c r="A43" s="6" t="inlineStr">
        <is>
          <t>P12|2|1</t>
        </is>
      </c>
      <c r="B43" s="6" t="inlineStr">
        <is>
          <t>expMWh</t>
        </is>
      </c>
      <c r="C43" s="23" t="n">
        <v>12089.60153771119</v>
      </c>
      <c r="D43" s="23" t="n">
        <v>13232.31302873206</v>
      </c>
      <c r="E43" s="23" t="n">
        <v>14378.30094609894</v>
      </c>
      <c r="F43" s="23" t="n">
        <v>15596.01049309603</v>
      </c>
      <c r="G43" s="23" t="n">
        <v>16928.03731033526</v>
      </c>
      <c r="H43" s="23" t="n">
        <v>18263.70855039206</v>
      </c>
      <c r="I43" s="23" t="n">
        <v>19603.00599115294</v>
      </c>
      <c r="J43" s="23" t="n">
        <v>20945.91150161382</v>
      </c>
      <c r="K43" s="23" t="n">
        <v>22437.15765473322</v>
      </c>
      <c r="L43" s="23" t="n">
        <v>23990.99538176946</v>
      </c>
      <c r="M43" s="23" t="n">
        <v>25548.81026692929</v>
      </c>
      <c r="N43" s="23" t="n">
        <v>27110.58242442219</v>
      </c>
      <c r="O43" s="23" t="n">
        <v>5822.691897032677</v>
      </c>
      <c r="P43" s="23" t="n">
        <v>6510.054096444931</v>
      </c>
      <c r="Q43" s="23" t="n">
        <v>7340.874447939598</v>
      </c>
      <c r="R43" s="23" t="n">
        <v>8240.196246445605</v>
      </c>
      <c r="S43" s="23" t="n">
        <v>9255.049793140333</v>
      </c>
      <c r="T43" s="23" t="n">
        <v>10374.38233417748</v>
      </c>
      <c r="U43" s="23" t="n">
        <v>11570.61984022144</v>
      </c>
      <c r="V43" s="23" t="n">
        <v>12769.8661425362</v>
      </c>
      <c r="W43" s="23" t="n">
        <v>13992.99433424766</v>
      </c>
      <c r="X43" s="23" t="n">
        <v>15384.55901680125</v>
      </c>
      <c r="Y43" s="23" t="n">
        <v>16779.47043284631</v>
      </c>
      <c r="Z43" s="23" t="n">
        <v>18177.71184871487</v>
      </c>
      <c r="AA43" s="23" t="n">
        <v>19579.26661440844</v>
      </c>
      <c r="AB43" s="2" t="inlineStr">
        <is>
          <t>Surplus solar MWh sold</t>
        </is>
      </c>
    </row>
    <row r="44">
      <c r="A44" s="6" t="inlineStr">
        <is>
          <t>P12|2|1</t>
        </is>
      </c>
      <c r="B44" s="6" t="inlineStr">
        <is>
          <t>expRev</t>
        </is>
      </c>
      <c r="C44" s="21" t="n">
        <v>5.826263024849232</v>
      </c>
      <c r="D44" s="21" t="n">
        <v>6.297819533232119</v>
      </c>
      <c r="E44" s="21" t="n">
        <v>6.741662348526273</v>
      </c>
      <c r="F44" s="21" t="n">
        <v>7.203283194988542</v>
      </c>
      <c r="G44" s="21" t="n">
        <v>7.69294227536642</v>
      </c>
      <c r="H44" s="21" t="n">
        <v>8.161518577510298</v>
      </c>
      <c r="I44" s="21" t="n">
        <v>8.615315098856644</v>
      </c>
      <c r="J44" s="21" t="n">
        <v>9.053989727214637</v>
      </c>
      <c r="K44" s="21" t="n">
        <v>9.600935566178906</v>
      </c>
      <c r="L44" s="21" t="n">
        <v>10.18166312618224</v>
      </c>
      <c r="M44" s="21" t="n">
        <v>10.74626867789796</v>
      </c>
      <c r="N44" s="21" t="n">
        <v>11.30011753487736</v>
      </c>
      <c r="O44" s="21" t="n">
        <v>2.790093538528885</v>
      </c>
      <c r="P44" s="21" t="n">
        <v>3.142083516050628</v>
      </c>
      <c r="Q44" s="21" t="n">
        <v>3.564744411353529</v>
      </c>
      <c r="R44" s="21" t="n">
        <v>4.007095698039877</v>
      </c>
      <c r="S44" s="21" t="n">
        <v>4.505398018733374</v>
      </c>
      <c r="T44" s="21" t="n">
        <v>5.031817325105517</v>
      </c>
      <c r="U44" s="21" t="n">
        <v>5.545485911224921</v>
      </c>
      <c r="V44" s="21" t="n">
        <v>6.023368433587566</v>
      </c>
      <c r="W44" s="21" t="n">
        <v>6.48834140220921</v>
      </c>
      <c r="X44" s="21" t="n">
        <v>7.005866491913837</v>
      </c>
      <c r="Y44" s="21" t="n">
        <v>7.497530134173761</v>
      </c>
      <c r="Z44" s="21" t="n">
        <v>7.971358494461881</v>
      </c>
      <c r="AA44" s="21" t="n">
        <v>8.427874393602572</v>
      </c>
      <c r="AB44" s="2" t="inlineStr">
        <is>
          <t>Surplus solar revenue ₹ Cr</t>
        </is>
      </c>
    </row>
    <row r="45">
      <c r="A45" s="6" t="inlineStr">
        <is>
          <t>P12|4|0</t>
        </is>
      </c>
      <c r="B45" s="6" t="inlineStr">
        <is>
          <t>bessMWh</t>
        </is>
      </c>
      <c r="C45" s="23" t="n">
        <v>343444.7514706115</v>
      </c>
      <c r="D45" s="23" t="n">
        <v>339604.9377888241</v>
      </c>
      <c r="E45" s="23" t="n">
        <v>335768.463225826</v>
      </c>
      <c r="F45" s="23" t="n">
        <v>331814.5325262577</v>
      </c>
      <c r="G45" s="23" t="n">
        <v>327667.9539442321</v>
      </c>
      <c r="H45" s="23" t="n">
        <v>323523.9291619163</v>
      </c>
      <c r="I45" s="23" t="n">
        <v>319382.4454103155</v>
      </c>
      <c r="J45" s="23" t="n">
        <v>315243.489984269</v>
      </c>
      <c r="K45" s="23" t="n">
        <v>310866.868885652</v>
      </c>
      <c r="L45" s="23" t="n">
        <v>306373.3691759821</v>
      </c>
      <c r="M45" s="23" t="n">
        <v>301881.6142948386</v>
      </c>
      <c r="N45" s="23" t="n">
        <v>297391.5955180753</v>
      </c>
      <c r="O45" s="23" t="n">
        <v>333122.417688242</v>
      </c>
      <c r="P45" s="23" t="n">
        <v>330255.3396048376</v>
      </c>
      <c r="Q45" s="23" t="n">
        <v>327101.7392134678</v>
      </c>
      <c r="R45" s="23" t="n">
        <v>323814.9118674913</v>
      </c>
      <c r="S45" s="23" t="n">
        <v>320332.7670310773</v>
      </c>
      <c r="T45" s="23" t="n">
        <v>316674.7612449522</v>
      </c>
      <c r="U45" s="23" t="n">
        <v>312889.4977661863</v>
      </c>
      <c r="V45" s="23" t="n">
        <v>309107.3006551881</v>
      </c>
      <c r="W45" s="23" t="n">
        <v>305291.3041464036</v>
      </c>
      <c r="X45" s="23" t="n">
        <v>301186.4462402787</v>
      </c>
      <c r="Y45" s="23" t="n">
        <v>297083.9335304908</v>
      </c>
      <c r="Z45" s="23" t="n">
        <v>292983.754291049</v>
      </c>
      <c r="AA45" s="23" t="n">
        <v>288885.8968546058</v>
      </c>
      <c r="AB45" s="2" t="inlineStr">
        <is>
          <t>BESS MWh sold · 212 of 365 days fully charged in yr 1</t>
        </is>
      </c>
    </row>
    <row r="46">
      <c r="A46" s="6" t="inlineStr">
        <is>
          <t>P12|4|0</t>
        </is>
      </c>
      <c r="B46" s="6" t="inlineStr">
        <is>
          <t>bessRev</t>
        </is>
      </c>
      <c r="C46" s="21" t="n">
        <v>263.1242957686657</v>
      </c>
      <c r="D46" s="21" t="n">
        <v>260.2563531913465</v>
      </c>
      <c r="E46" s="21" t="n">
        <v>257.3911514145958</v>
      </c>
      <c r="F46" s="21" t="n">
        <v>254.4538232966821</v>
      </c>
      <c r="G46" s="21" t="n">
        <v>251.3977648370225</v>
      </c>
      <c r="H46" s="21" t="n">
        <v>248.3439504503466</v>
      </c>
      <c r="I46" s="21" t="n">
        <v>245.2923689162859</v>
      </c>
      <c r="J46" s="21" t="n">
        <v>242.2430090705779</v>
      </c>
      <c r="K46" s="21" t="n">
        <v>238.9690561083236</v>
      </c>
      <c r="L46" s="21" t="n">
        <v>235.5845702986825</v>
      </c>
      <c r="M46" s="21" t="n">
        <v>232.2015687945002</v>
      </c>
      <c r="N46" s="21" t="n">
        <v>228.8200441742493</v>
      </c>
      <c r="O46" s="21" t="n">
        <v>254.9603752857903</v>
      </c>
      <c r="P46" s="21" t="n">
        <v>252.8166793342879</v>
      </c>
      <c r="Q46" s="21" t="n">
        <v>250.4194034021257</v>
      </c>
      <c r="R46" s="21" t="n">
        <v>247.9290053685921</v>
      </c>
      <c r="S46" s="21" t="n">
        <v>245.308436209761</v>
      </c>
      <c r="T46" s="21" t="n">
        <v>242.5702526500868</v>
      </c>
      <c r="U46" s="21" t="n">
        <v>239.7470857267727</v>
      </c>
      <c r="V46" s="21" t="n">
        <v>236.9264357257586</v>
      </c>
      <c r="W46" s="21" t="n">
        <v>234.0854517238105</v>
      </c>
      <c r="X46" s="21" t="n">
        <v>231.066054025433</v>
      </c>
      <c r="Y46" s="21" t="n">
        <v>228.0487170962294</v>
      </c>
      <c r="Z46" s="21" t="n">
        <v>225.0334306323561</v>
      </c>
      <c r="AA46" s="21" t="n">
        <v>222.0201843814849</v>
      </c>
      <c r="AB46" s="2" t="inlineStr">
        <is>
          <t>BESS revenue ₹ Cr</t>
        </is>
      </c>
    </row>
    <row r="47">
      <c r="A47" s="6" t="inlineStr">
        <is>
          <t>P12|4|0</t>
        </is>
      </c>
      <c r="B47" s="6" t="inlineStr">
        <is>
          <t>expMWh</t>
        </is>
      </c>
      <c r="C47" s="23" t="n">
        <v>24013.11689074963</v>
      </c>
      <c r="D47" s="23" t="n">
        <v>26299.37030371474</v>
      </c>
      <c r="E47" s="23" t="n">
        <v>28592.17241721738</v>
      </c>
      <c r="F47" s="23" t="n">
        <v>31028.41365858654</v>
      </c>
      <c r="G47" s="23" t="n">
        <v>33693.28532970282</v>
      </c>
      <c r="H47" s="23" t="n">
        <v>36365.44175627152</v>
      </c>
      <c r="I47" s="23" t="n">
        <v>39044.84651451563</v>
      </c>
      <c r="J47" s="23" t="n">
        <v>41731.46336277648</v>
      </c>
      <c r="K47" s="23" t="n">
        <v>44697.54291940934</v>
      </c>
      <c r="L47" s="23" t="n">
        <v>47806.10223543211</v>
      </c>
      <c r="M47" s="23" t="n">
        <v>50922.61144839232</v>
      </c>
      <c r="N47" s="23" t="n">
        <v>54047.03080880576</v>
      </c>
      <c r="O47" s="23" t="n">
        <v>11584.07138880573</v>
      </c>
      <c r="P47" s="23" t="n">
        <v>12888.21838889124</v>
      </c>
      <c r="Q47" s="23" t="n">
        <v>14526.91835210849</v>
      </c>
      <c r="R47" s="23" t="n">
        <v>16326.33610183941</v>
      </c>
      <c r="S47" s="23" t="n">
        <v>18356.81347718415</v>
      </c>
      <c r="T47" s="23" t="n">
        <v>20596.24498980392</v>
      </c>
      <c r="U47" s="23" t="n">
        <v>22989.48260028467</v>
      </c>
      <c r="V47" s="23" t="n">
        <v>25388.73399031489</v>
      </c>
      <c r="W47" s="23" t="n">
        <v>27835.74536521156</v>
      </c>
      <c r="X47" s="23" t="n">
        <v>30619.62594683522</v>
      </c>
      <c r="Y47" s="23" t="n">
        <v>33410.19623935912</v>
      </c>
      <c r="Z47" s="23" t="n">
        <v>36207.42279422816</v>
      </c>
      <c r="AA47" s="23" t="n">
        <v>39011.27233013092</v>
      </c>
      <c r="AB47" s="2" t="inlineStr">
        <is>
          <t>Surplus solar MWh sold</t>
        </is>
      </c>
    </row>
    <row r="48">
      <c r="A48" s="6" t="inlineStr">
        <is>
          <t>P12|4|0</t>
        </is>
      </c>
      <c r="B48" s="6" t="inlineStr">
        <is>
          <t>expRev</t>
        </is>
      </c>
      <c r="C48" s="21" t="n">
        <v>11.54457525722078</v>
      </c>
      <c r="D48" s="21" t="n">
        <v>12.48822802794893</v>
      </c>
      <c r="E48" s="21" t="n">
        <v>13.37645071372983</v>
      </c>
      <c r="F48" s="21" t="n">
        <v>14.30022677657099</v>
      </c>
      <c r="G48" s="21" t="n">
        <v>15.28007663539377</v>
      </c>
      <c r="H48" s="21" t="n">
        <v>16.21775827925823</v>
      </c>
      <c r="I48" s="21" t="n">
        <v>17.12587771632973</v>
      </c>
      <c r="J48" s="21" t="n">
        <v>18.00375073545262</v>
      </c>
      <c r="K48" s="21" t="n">
        <v>19.08375928409774</v>
      </c>
      <c r="L48" s="21" t="n">
        <v>20.24582239408797</v>
      </c>
      <c r="M48" s="21" t="n">
        <v>21.37562101681081</v>
      </c>
      <c r="N48" s="21" t="n">
        <v>22.48390331246454</v>
      </c>
      <c r="O48" s="21" t="n">
        <v>5.537157828449769</v>
      </c>
      <c r="P48" s="21" t="n">
        <v>6.189545265139057</v>
      </c>
      <c r="Q48" s="21" t="n">
        <v>7.027055024969324</v>
      </c>
      <c r="R48" s="21" t="n">
        <v>7.914059590818104</v>
      </c>
      <c r="S48" s="21" t="n">
        <v>8.91116489123141</v>
      </c>
      <c r="T48" s="21" t="n">
        <v>9.964501659706881</v>
      </c>
      <c r="U48" s="21" t="n">
        <v>10.99233449689819</v>
      </c>
      <c r="V48" s="21" t="n">
        <v>11.94859272825125</v>
      </c>
      <c r="W48" s="21" t="n">
        <v>12.87902938618915</v>
      </c>
      <c r="X48" s="21" t="n">
        <v>13.91456783268956</v>
      </c>
      <c r="Y48" s="21" t="n">
        <v>14.8983809429651</v>
      </c>
      <c r="Z48" s="21" t="n">
        <v>15.84652106016825</v>
      </c>
      <c r="AA48" s="21" t="n">
        <v>16.76003383809336</v>
      </c>
      <c r="AB48" s="2" t="inlineStr">
        <is>
          <t>Surplus solar revenue ₹ Cr</t>
        </is>
      </c>
    </row>
    <row r="49">
      <c r="A49" s="6" t="inlineStr">
        <is>
          <t>P12|4|1</t>
        </is>
      </c>
      <c r="B49" s="6" t="inlineStr">
        <is>
          <t>bessMWh</t>
        </is>
      </c>
      <c r="C49" s="23" t="n">
        <v>343444.7514706115</v>
      </c>
      <c r="D49" s="23" t="n">
        <v>339604.9377888241</v>
      </c>
      <c r="E49" s="23" t="n">
        <v>335768.463225826</v>
      </c>
      <c r="F49" s="23" t="n">
        <v>331814.5325262577</v>
      </c>
      <c r="G49" s="23" t="n">
        <v>327667.9539442321</v>
      </c>
      <c r="H49" s="23" t="n">
        <v>323523.9291619163</v>
      </c>
      <c r="I49" s="23" t="n">
        <v>319382.4454103155</v>
      </c>
      <c r="J49" s="23" t="n">
        <v>315243.489984269</v>
      </c>
      <c r="K49" s="23" t="n">
        <v>310866.868885652</v>
      </c>
      <c r="L49" s="23" t="n">
        <v>306373.3691759821</v>
      </c>
      <c r="M49" s="23" t="n">
        <v>301881.6142948386</v>
      </c>
      <c r="N49" s="23" t="n">
        <v>297391.5955180753</v>
      </c>
      <c r="O49" s="23" t="n">
        <v>333122.417688242</v>
      </c>
      <c r="P49" s="23" t="n">
        <v>330255.3396048376</v>
      </c>
      <c r="Q49" s="23" t="n">
        <v>327101.7392134678</v>
      </c>
      <c r="R49" s="23" t="n">
        <v>323814.9118674913</v>
      </c>
      <c r="S49" s="23" t="n">
        <v>320332.7670310773</v>
      </c>
      <c r="T49" s="23" t="n">
        <v>316674.7612449522</v>
      </c>
      <c r="U49" s="23" t="n">
        <v>312889.4977661863</v>
      </c>
      <c r="V49" s="23" t="n">
        <v>309107.3006551881</v>
      </c>
      <c r="W49" s="23" t="n">
        <v>305291.3041464036</v>
      </c>
      <c r="X49" s="23" t="n">
        <v>301186.4462402787</v>
      </c>
      <c r="Y49" s="23" t="n">
        <v>297083.9335304908</v>
      </c>
      <c r="Z49" s="23" t="n">
        <v>292983.754291049</v>
      </c>
      <c r="AA49" s="23" t="n">
        <v>288885.8968546058</v>
      </c>
      <c r="AB49" s="2" t="inlineStr">
        <is>
          <t>BESS MWh sold · 212 of 365 days fully charged in yr 1</t>
        </is>
      </c>
    </row>
    <row r="50">
      <c r="A50" s="6" t="inlineStr">
        <is>
          <t>P12|4|1</t>
        </is>
      </c>
      <c r="B50" s="6" t="inlineStr">
        <is>
          <t>bessRev</t>
        </is>
      </c>
      <c r="C50" s="21" t="n">
        <v>272.2569363182578</v>
      </c>
      <c r="D50" s="21" t="n">
        <v>269.3433305381903</v>
      </c>
      <c r="E50" s="21" t="n">
        <v>266.4326938747064</v>
      </c>
      <c r="F50" s="21" t="n">
        <v>263.4501580444915</v>
      </c>
      <c r="G50" s="21" t="n">
        <v>260.3491179110935</v>
      </c>
      <c r="H50" s="21" t="n">
        <v>257.2505467590462</v>
      </c>
      <c r="I50" s="21" t="n">
        <v>254.1544322434419</v>
      </c>
      <c r="J50" s="21" t="n">
        <v>251.0607620810988</v>
      </c>
      <c r="K50" s="21" t="n">
        <v>247.6720787783484</v>
      </c>
      <c r="L50" s="21" t="n">
        <v>244.1379708024609</v>
      </c>
      <c r="M50" s="21" t="n">
        <v>240.6053471320313</v>
      </c>
      <c r="N50" s="21" t="n">
        <v>237.074200345534</v>
      </c>
      <c r="O50" s="21" t="n">
        <v>263.5598779146384</v>
      </c>
      <c r="P50" s="21" t="n">
        <v>261.3731844499905</v>
      </c>
      <c r="Q50" s="21" t="n">
        <v>258.9331259922498</v>
      </c>
      <c r="R50" s="21" t="n">
        <v>256.4001593457659</v>
      </c>
      <c r="S50" s="21" t="n">
        <v>253.7372344170488</v>
      </c>
      <c r="T50" s="21" t="n">
        <v>250.9569068663382</v>
      </c>
      <c r="U50" s="21" t="n">
        <v>248.0918066719431</v>
      </c>
      <c r="V50" s="21" t="n">
        <v>245.2294330662031</v>
      </c>
      <c r="W50" s="21" t="n">
        <v>242.3469340775531</v>
      </c>
      <c r="X50" s="21" t="n">
        <v>239.2862289674066</v>
      </c>
      <c r="Y50" s="21" t="n">
        <v>236.2277911634931</v>
      </c>
      <c r="Z50" s="21" t="n">
        <v>233.1716093292834</v>
      </c>
      <c r="AA50" s="21" t="n">
        <v>230.1176721849275</v>
      </c>
      <c r="AB50" s="2" t="inlineStr">
        <is>
          <t>BESS revenue ₹ Cr</t>
        </is>
      </c>
    </row>
    <row r="51">
      <c r="A51" s="6" t="inlineStr">
        <is>
          <t>P12|4|1</t>
        </is>
      </c>
      <c r="B51" s="6" t="inlineStr">
        <is>
          <t>expMWh</t>
        </is>
      </c>
      <c r="C51" s="23" t="n">
        <v>24013.11689074963</v>
      </c>
      <c r="D51" s="23" t="n">
        <v>26299.37030371474</v>
      </c>
      <c r="E51" s="23" t="n">
        <v>28592.17241721738</v>
      </c>
      <c r="F51" s="23" t="n">
        <v>31028.41365858654</v>
      </c>
      <c r="G51" s="23" t="n">
        <v>33693.28532970282</v>
      </c>
      <c r="H51" s="23" t="n">
        <v>36365.44175627152</v>
      </c>
      <c r="I51" s="23" t="n">
        <v>39044.84651451563</v>
      </c>
      <c r="J51" s="23" t="n">
        <v>41731.46336277648</v>
      </c>
      <c r="K51" s="23" t="n">
        <v>44697.54291940934</v>
      </c>
      <c r="L51" s="23" t="n">
        <v>47806.10223543211</v>
      </c>
      <c r="M51" s="23" t="n">
        <v>50922.61144839232</v>
      </c>
      <c r="N51" s="23" t="n">
        <v>54047.03080880576</v>
      </c>
      <c r="O51" s="23" t="n">
        <v>11584.07138880573</v>
      </c>
      <c r="P51" s="23" t="n">
        <v>12888.21838889124</v>
      </c>
      <c r="Q51" s="23" t="n">
        <v>14526.91835210849</v>
      </c>
      <c r="R51" s="23" t="n">
        <v>16326.33610183941</v>
      </c>
      <c r="S51" s="23" t="n">
        <v>18356.81347718415</v>
      </c>
      <c r="T51" s="23" t="n">
        <v>20596.24498980392</v>
      </c>
      <c r="U51" s="23" t="n">
        <v>22989.48260028467</v>
      </c>
      <c r="V51" s="23" t="n">
        <v>25388.73399031489</v>
      </c>
      <c r="W51" s="23" t="n">
        <v>27835.74536521156</v>
      </c>
      <c r="X51" s="23" t="n">
        <v>30619.62594683522</v>
      </c>
      <c r="Y51" s="23" t="n">
        <v>33410.19623935912</v>
      </c>
      <c r="Z51" s="23" t="n">
        <v>36207.42279422816</v>
      </c>
      <c r="AA51" s="23" t="n">
        <v>39011.27233013092</v>
      </c>
      <c r="AB51" s="2" t="inlineStr">
        <is>
          <t>Surplus solar MWh sold</t>
        </is>
      </c>
    </row>
    <row r="52">
      <c r="A52" s="6" t="inlineStr">
        <is>
          <t>P12|4|1</t>
        </is>
      </c>
      <c r="B52" s="6" t="inlineStr">
        <is>
          <t>expRev</t>
        </is>
      </c>
      <c r="C52" s="21" t="n">
        <v>11.54457525722078</v>
      </c>
      <c r="D52" s="21" t="n">
        <v>12.48822802794893</v>
      </c>
      <c r="E52" s="21" t="n">
        <v>13.37645071372983</v>
      </c>
      <c r="F52" s="21" t="n">
        <v>14.30022677657099</v>
      </c>
      <c r="G52" s="21" t="n">
        <v>15.28007663539377</v>
      </c>
      <c r="H52" s="21" t="n">
        <v>16.21775827925823</v>
      </c>
      <c r="I52" s="21" t="n">
        <v>17.12587771632973</v>
      </c>
      <c r="J52" s="21" t="n">
        <v>18.00375073545262</v>
      </c>
      <c r="K52" s="21" t="n">
        <v>19.08375928409774</v>
      </c>
      <c r="L52" s="21" t="n">
        <v>20.24582239408797</v>
      </c>
      <c r="M52" s="21" t="n">
        <v>21.37562101681081</v>
      </c>
      <c r="N52" s="21" t="n">
        <v>22.48390331246454</v>
      </c>
      <c r="O52" s="21" t="n">
        <v>5.537157828449769</v>
      </c>
      <c r="P52" s="21" t="n">
        <v>6.189545265139057</v>
      </c>
      <c r="Q52" s="21" t="n">
        <v>7.027055024969324</v>
      </c>
      <c r="R52" s="21" t="n">
        <v>7.914059590818104</v>
      </c>
      <c r="S52" s="21" t="n">
        <v>8.91116489123141</v>
      </c>
      <c r="T52" s="21" t="n">
        <v>9.964501659706881</v>
      </c>
      <c r="U52" s="21" t="n">
        <v>10.99233449689819</v>
      </c>
      <c r="V52" s="21" t="n">
        <v>11.94859272825125</v>
      </c>
      <c r="W52" s="21" t="n">
        <v>12.87902938618915</v>
      </c>
      <c r="X52" s="21" t="n">
        <v>13.91456783268956</v>
      </c>
      <c r="Y52" s="21" t="n">
        <v>14.8983809429651</v>
      </c>
      <c r="Z52" s="21" t="n">
        <v>15.84652106016825</v>
      </c>
      <c r="AA52" s="21" t="n">
        <v>16.76003383809336</v>
      </c>
      <c r="AB52" s="2" t="inlineStr">
        <is>
          <t>Surplus solar revenue ₹ 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8" t="inlineStr">
        <is>
          <t>Solar + BESS model · selected scenario (all ₹ in Crore unless stated)</t>
        </is>
      </c>
    </row>
    <row r="2">
      <c r="A2" s="2" t="inlineStr">
        <is>
          <t>Driven by the Assumptions sheet. Change the plant, duration and charging case there; every figure below recalculates.</t>
        </is>
      </c>
    </row>
    <row r="4">
      <c r="A4" s="3" t="inlineStr">
        <is>
          <t>Scenario &amp; sizing from night connectivity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6" t="inlineStr">
        <is>
          <t>Night connectivity</t>
        </is>
      </c>
      <c r="B5" s="2" t="inlineStr">
        <is>
          <t>MW</t>
        </is>
      </c>
      <c r="C5" s="16">
        <f>INDEX(Assumptions!$B$102:$B$104,MATCH(Assumptions!$B$6,Assumptions!$A$102:$A$104,0))</f>
        <v>300.0</v>
      </c>
    </row>
    <row r="6">
      <c r="A6" s="6" t="inlineStr">
        <is>
          <t>Reference solar AC (plant table)</t>
        </is>
      </c>
      <c r="B6" s="2" t="inlineStr">
        <is>
          <t>MWac</t>
        </is>
      </c>
      <c r="C6" s="16">
        <f>INDEX(Assumptions!$C$102:$C$104,MATCH(Assumptions!$B$6,Assumptions!$A$102:$A$104,0))</f>
        <v>300.0</v>
      </c>
    </row>
    <row r="7">
      <c r="A7" s="6" t="inlineStr">
        <is>
          <t>Reference solar DC (plant table)</t>
        </is>
      </c>
      <c r="B7" s="2" t="inlineStr">
        <is>
          <t>MWp</t>
        </is>
      </c>
      <c r="C7" s="16">
        <f>INDEX(Assumptions!$E$102:$E$104,MATCH(Assumptions!$B$6,Assumptions!$A$102:$A$104,0))</f>
        <v>419.0</v>
      </c>
    </row>
    <row r="8">
      <c r="A8" s="6" t="inlineStr">
        <is>
          <t>Reference land (plant table)</t>
        </is>
      </c>
      <c r="B8" s="2" t="inlineStr">
        <is>
          <t>acres</t>
        </is>
      </c>
      <c r="C8" s="16">
        <f>INDEX(Assumptions!$F$102:$F$104,MATCH(Assumptions!$B$6,Assumptions!$A$102:$A$104,0))</f>
        <v>1200.0</v>
      </c>
    </row>
    <row r="9">
      <c r="A9" s="6" t="inlineStr">
        <is>
          <t>Duration</t>
        </is>
      </c>
      <c r="B9" s="2" t="inlineStr">
        <is>
          <t>hours</t>
        </is>
      </c>
      <c r="C9" s="29">
        <f>Assumptions!$B$7</f>
        <v>2.0</v>
      </c>
    </row>
    <row r="10">
      <c r="A10" s="6" t="inlineStr">
        <is>
          <t>Own-solar case (1 = yes)</t>
        </is>
      </c>
      <c r="B10" s="2" t="inlineStr">
        <is>
          <t>flag</t>
        </is>
      </c>
      <c r="C10" s="30">
        <f>IF(Assumptions!$B$8="Own solar",1,0)</f>
        <v>0.0</v>
      </c>
    </row>
    <row r="11">
      <c r="A11" s="6" t="inlineStr">
        <is>
          <t>GNA / LTA transmission (1 = yes)</t>
        </is>
      </c>
      <c r="B11" s="2" t="inlineStr">
        <is>
          <t>flag</t>
        </is>
      </c>
      <c r="C11" s="30">
        <f>IF(Assumptions!$B$8="IEX + GNA",1,0)</f>
        <v>0.0</v>
      </c>
    </row>
    <row r="12">
      <c r="A12" s="6" t="inlineStr">
        <is>
          <t>One-way efficiency = √RTE</t>
        </is>
      </c>
      <c r="B12" s="2" t="inlineStr">
        <is>
          <t>%</t>
        </is>
      </c>
      <c r="C12" s="31">
        <f>SQRT(Assumptions!$B$36)</f>
        <v>0.9486832980505138</v>
      </c>
    </row>
    <row r="13">
      <c r="A13" s="6" t="inlineStr">
        <is>
          <t>Year-1 average capacity = 1 − fade ÷ 2</t>
        </is>
      </c>
      <c r="B13" s="2" t="inlineStr">
        <is>
          <t>%</t>
        </is>
      </c>
      <c r="C13" s="32">
        <f>1-Assumptions!$B$37/2</f>
        <v>0.9925</v>
      </c>
    </row>
    <row r="14">
      <c r="A14" s="6" t="inlineStr">
        <is>
          <t>Discharge chain = η × (1 − HVAC) × (1 − line)</t>
        </is>
      </c>
      <c r="B14" s="2" t="inlineStr">
        <is>
          <t>%</t>
        </is>
      </c>
      <c r="C14" s="31">
        <f>$C$12*(1-Assumptions!$B$38)*(1-Assumptions!$B$39)</f>
        <v>0.9298045004193085</v>
      </c>
    </row>
    <row r="15">
      <c r="A15" s="5" t="inlineStr">
        <is>
          <t>Energy sold per cycle = connectivity × hours</t>
        </is>
      </c>
      <c r="B15" s="2" t="inlineStr">
        <is>
          <t>MWh</t>
        </is>
      </c>
      <c r="C15" s="33">
        <f>$C$5*$C$9</f>
        <v>600.0</v>
      </c>
    </row>
    <row r="16">
      <c r="A16" s="6" t="inlineStr">
        <is>
          <t>Stored energy needed</t>
        </is>
      </c>
      <c r="B16" s="2" t="inlineStr">
        <is>
          <t>MWh</t>
        </is>
      </c>
      <c r="C16" s="34">
        <f>$C$15/$C$14</f>
        <v>645.296941162816</v>
      </c>
    </row>
    <row r="17">
      <c r="A17" s="5" t="inlineStr">
        <is>
          <t>BESS nameplate = stored ÷ DoD ÷ yr-1 capacity</t>
        </is>
      </c>
      <c r="B17" s="2" t="inlineStr">
        <is>
          <t>MWh</t>
        </is>
      </c>
      <c r="C17" s="33">
        <f>$C$16/Assumptions!$B$35/$C$13</f>
        <v>722.414711629237</v>
      </c>
    </row>
    <row r="18">
      <c r="A18" s="6" t="inlineStr">
        <is>
          <t>Charging need, energy into PCS</t>
        </is>
      </c>
      <c r="B18" s="2" t="inlineStr">
        <is>
          <t>MWh / day</t>
        </is>
      </c>
      <c r="C18" s="34">
        <f>$C$16/$C$12</f>
        <v>680.2027004047208</v>
      </c>
    </row>
    <row r="19">
      <c r="A19" s="6" t="inlineStr">
        <is>
          <t>IEX purchase per cycle (after ISTS + line loss)</t>
        </is>
      </c>
      <c r="B19" s="2" t="inlineStr">
        <is>
          <t>MWh</t>
        </is>
      </c>
      <c r="C19" s="34">
        <f>$C$18/(1-Assumptions!$B$39)/(1-Assumptions!$B$40)</f>
        <v>708.32312861056</v>
      </c>
    </row>
    <row r="20">
      <c r="A20" s="6" t="inlineStr">
        <is>
          <t>Discharge window length</t>
        </is>
      </c>
      <c r="B20" s="2" t="inlineStr">
        <is>
          <t>blocks</t>
        </is>
      </c>
      <c r="C20" s="30">
        <f>$C$9*4</f>
        <v>8.0</v>
      </c>
    </row>
    <row r="21">
      <c r="A21" s="6" t="inlineStr">
        <is>
          <t>Charge window length at connectivity limit</t>
        </is>
      </c>
      <c r="B21" s="2" t="inlineStr">
        <is>
          <t>blocks</t>
        </is>
      </c>
      <c r="C21" s="30">
        <f>MIN(96-$C$20,ROUNDUP($C$19/($C$5*0.25)-0.000000001,0))</f>
        <v>10.0</v>
      </c>
    </row>
    <row r="22">
      <c r="A22" s="6" t="inlineStr">
        <is>
          <t>Solar AC capacity (own-solar case)</t>
        </is>
      </c>
      <c r="B22" s="2" t="inlineStr">
        <is>
          <t>MWac</t>
        </is>
      </c>
      <c r="C22" s="34">
        <f>$C$10*MIN($C$5,Assumptions!$B$16*$C$18/(Assumptions!$B$31*24))</f>
        <v>0.0</v>
      </c>
    </row>
    <row r="23">
      <c r="A23" s="6" t="inlineStr">
        <is>
          <t>Solar DC capacity = AC × plant DC/AC</t>
        </is>
      </c>
      <c r="B23" s="2" t="inlineStr">
        <is>
          <t>MWp</t>
        </is>
      </c>
      <c r="C23" s="34">
        <f>$C$22*$C$7/$C$6</f>
        <v>0.0</v>
      </c>
    </row>
    <row r="24">
      <c r="A24" s="6" t="inlineStr">
        <is>
          <t>Land = DC × plant acres per MWp</t>
        </is>
      </c>
      <c r="B24" s="2" t="inlineStr">
        <is>
          <t>acres</t>
        </is>
      </c>
      <c r="C24" s="27">
        <f>$C$23*$C$8/$C$7</f>
        <v>0.0</v>
      </c>
    </row>
    <row r="25">
      <c r="A25" s="6" t="inlineStr">
        <is>
          <t>Solar auxiliary load</t>
        </is>
      </c>
      <c r="B25" s="2" t="inlineStr">
        <is>
          <t>MW</t>
        </is>
      </c>
      <c r="C25" s="34">
        <f>Assumptions!$B$32*$C$22/300</f>
        <v>0.0</v>
      </c>
    </row>
    <row r="27">
      <c r="A27" s="3" t="inlineStr">
        <is>
          <t>IEX prices for the selected windows (live from the Prices sheet)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>
      <c r="A28" s="6" t="inlineStr">
        <is>
          <t>Discharge window start</t>
        </is>
      </c>
      <c r="B28" s="2" t="inlineStr">
        <is>
          <t>block</t>
        </is>
      </c>
      <c r="C28" s="29">
        <f>IF($C$9=2,Assumptions!$B$13,Assumptions!$B$15)</f>
        <v>76.0</v>
      </c>
    </row>
    <row r="29">
      <c r="A29" s="6" t="inlineStr">
        <is>
          <t>Charge window start (IEX cases)</t>
        </is>
      </c>
      <c r="B29" s="2" t="inlineStr">
        <is>
          <t>block</t>
        </is>
      </c>
      <c r="C29" s="29">
        <f>IF($C$9=2,Assumptions!$B$12,Assumptions!$B$14)</f>
        <v>44.0</v>
      </c>
    </row>
    <row r="30">
      <c r="A30" s="6" t="inlineStr">
        <is>
          <t>Sell market</t>
        </is>
      </c>
      <c r="B30" s="2" t="inlineStr">
        <is>
          <t>market</t>
        </is>
      </c>
      <c r="C30" s="10" t="str">
        <f>IF($C$10=1,Assumptions!$B$9,Assumptions!$B$11)</f>
        <v>GDAM</v>
      </c>
    </row>
    <row r="31">
      <c r="A31" s="6" t="inlineStr">
        <is>
          <t>Buy market</t>
        </is>
      </c>
      <c r="B31" s="2" t="inlineStr">
        <is>
          <t>market</t>
        </is>
      </c>
      <c r="C31" s="10" t="str">
        <f>Assumptions!$B$10</f>
        <v>RTM</v>
      </c>
    </row>
    <row r="32">
      <c r="A32" s="6" t="inlineStr">
        <is>
          <t>Average sale price in discharge window</t>
        </is>
      </c>
      <c r="B32" s="2" t="inlineStr">
        <is>
          <t>₹ / MWh</t>
        </is>
      </c>
      <c r="C32" s="27">
        <f>SUMPRODUCT((Prices!$A$5:$A$7=$C$30)*(Prices!$B$3:$GK$3&gt;=$C$28)*(Prices!$B$3:$GK$3&lt;($C$28)+($C$20))*Prices!$B$5:$GK$7)/($C$20)</f>
        <v>7862.139999999999</v>
      </c>
    </row>
    <row r="33">
      <c r="A33" s="6" t="inlineStr">
        <is>
          <t>Average purchase price in charge window</t>
        </is>
      </c>
      <c r="B33" s="2" t="inlineStr">
        <is>
          <t>₹ / MWh</t>
        </is>
      </c>
      <c r="C33" s="27">
        <f>SUMPRODUCT((Prices!$A$5:$A$7=$C$31)*(Prices!$B$3:$GK$3&gt;=$C$29)*(Prices!$B$3:$GK$3&lt;($C$29)+($C$21))*Prices!$B$5:$GK$7)/($C$21)</f>
        <v>1808.7129999999997</v>
      </c>
    </row>
    <row r="34">
      <c r="A34" s="6" t="inlineStr">
        <is>
          <t>All-day average of sell market (for solar aux)</t>
        </is>
      </c>
      <c r="B34" s="2" t="inlineStr">
        <is>
          <t>₹ / MWh</t>
        </is>
      </c>
      <c r="C34" s="27">
        <f>SUMPRODUCT((Prices!$A$5:$A$7=$C$30)*(Prices!$B$3:$GK$3&lt;96)*Prices!$B$5:$GK$7)/96</f>
        <v>4875.402604166667</v>
      </c>
    </row>
    <row r="35">
      <c r="A35" s="6" t="inlineStr">
        <is>
          <t>Booster days found in data</t>
        </is>
      </c>
      <c r="B35" s="2" t="inlineStr">
        <is>
          <t>days</t>
        </is>
      </c>
      <c r="C35" s="30">
        <f>SUMPRODUCT((SepDays!$A$4:$A$93=$C$30)*(SepDays!$B$4:$B$93&gt;=Assumptions!$B$18)*(SepDays!$B$4:$B$93&lt;Assumptions!$B$18+Assumptions!$B$19))</f>
        <v>20.0</v>
      </c>
    </row>
    <row r="36">
      <c r="A36" s="6" t="inlineStr">
        <is>
          <t>Sum of booster-day window averages (actual prices)</t>
        </is>
      </c>
      <c r="B36" s="2" t="inlineStr">
        <is>
          <t>₹ / MWh</t>
        </is>
      </c>
      <c r="C36" s="27">
        <f>SUMPRODUCT((SepDays!$A$4:$A$93=$C$30)*(SepDays!$B$4:$B$93&gt;=Assumptions!$B$18)*(SepDays!$B$4:$B$93&lt;Assumptions!$B$18+Assumptions!$B$19)*(SepDays!$C$3:$GL$3&gt;=$C$28)*(SepDays!$C$3:$GL$3&lt;$C$28+$C$20)*SepDays!$C$4:$GL$93)/$C$20</f>
        <v>200000.0</v>
      </c>
    </row>
    <row r="37">
      <c r="A37" s="5" t="inlineStr">
        <is>
          <t>Realised sale price, IEX cases (booster applied)</t>
        </is>
      </c>
      <c r="B37" s="2" t="inlineStr">
        <is>
          <t>₹ / MWh</t>
        </is>
      </c>
      <c r="C37" s="33">
        <f>IF(Assumptions!$B$17=1,(Assumptions!$B$62*$C$32-$C$36+$C$35*Assumptions!$B$20*1000)/Assumptions!$B$62,$C$32)</f>
        <v>7862.139999999999</v>
      </c>
    </row>
    <row r="38">
      <c r="A38" s="6" t="inlineStr">
        <is>
          <t>Window check (IEX cases)</t>
        </is>
      </c>
      <c r="B38" s="2" t="inlineStr"/>
      <c r="C38" s="35" t="str">
        <f>IF($C$10=1,"n/a",IF(OR(MOD($C$28-$C$29,96)&lt;$C$21,MOD($C$29-$C$28,96)&lt;$C$20),"Charge and discharge windows overlap","OK"))</f>
        <v>OK</v>
      </c>
    </row>
    <row r="39">
      <c r="A39" s="6" t="inlineStr">
        <is>
          <t>Own-solar dispatch key (plant|hours|booster)</t>
        </is>
      </c>
      <c r="B39" s="2" t="inlineStr"/>
      <c r="C39" s="35" t="str">
        <f>Assumptions!$B$6&amp;"|"&amp;$C$9&amp;"|"&amp;Assumptions!$B$17</f>
        <v>P7|2|0</v>
      </c>
    </row>
    <row r="41">
      <c r="A41" s="3" t="inlineStr">
        <is>
          <t>Capex &amp; financing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>
      <c r="A42" s="6" t="inlineStr">
        <is>
          <t>BESS capex = nameplate × ₹ Cr/MWh</t>
        </is>
      </c>
      <c r="B42" s="2" t="inlineStr">
        <is>
          <t>₹ Cr</t>
        </is>
      </c>
      <c r="C42" s="36">
        <f>$C$17*Assumptions!$B$27</f>
        <v>707.9664173966522</v>
      </c>
    </row>
    <row r="43">
      <c r="A43" s="6" t="inlineStr">
        <is>
          <t>Solar capex = MWp × ₹ Cr/MWp</t>
        </is>
      </c>
      <c r="B43" s="2" t="inlineStr">
        <is>
          <t>₹ Cr</t>
        </is>
      </c>
      <c r="C43" s="36">
        <f>$C$23*Assumptions!$B$26</f>
        <v>0.0</v>
      </c>
    </row>
    <row r="44">
      <c r="A44" s="6" t="inlineStr">
        <is>
          <t>Land value (acres × ₹/acre)</t>
        </is>
      </c>
      <c r="B44" s="2" t="inlineStr">
        <is>
          <t>₹ Cr</t>
        </is>
      </c>
      <c r="C44" s="36">
        <f>$C$24*Assumptions!$B$28/10000000</f>
        <v>0.0</v>
      </c>
    </row>
    <row r="45">
      <c r="A45" s="6" t="inlineStr">
        <is>
          <t>Land purchase in capex</t>
        </is>
      </c>
      <c r="B45" s="2" t="inlineStr">
        <is>
          <t>₹ Cr</t>
        </is>
      </c>
      <c r="C45" s="36">
        <f>IF(Assumptions!$B$29="Buy",$C$44,0)</f>
        <v>0.0</v>
      </c>
    </row>
    <row r="46">
      <c r="A46" s="5" t="inlineStr">
        <is>
          <t>Total capex</t>
        </is>
      </c>
      <c r="B46" s="2" t="inlineStr">
        <is>
          <t>₹ Cr</t>
        </is>
      </c>
      <c r="C46" s="37">
        <f>$C$42+$C$43+$C$45</f>
        <v>707.9664173966522</v>
      </c>
    </row>
    <row r="47">
      <c r="A47" s="6" t="inlineStr">
        <is>
          <t>Debt share (capped 0–95%)</t>
        </is>
      </c>
      <c r="B47" s="2" t="inlineStr">
        <is>
          <t>%</t>
        </is>
      </c>
      <c r="C47" s="31">
        <f>MIN(0.95,MAX(0,Assumptions!$B$58))</f>
        <v>0.7</v>
      </c>
    </row>
    <row r="48">
      <c r="A48" s="5" t="inlineStr">
        <is>
          <t>WACC = Ke × E + Kd × (1 − tax) × D</t>
        </is>
      </c>
      <c r="B48" s="2" t="inlineStr">
        <is>
          <t>%</t>
        </is>
      </c>
      <c r="C48" s="38">
        <f>(1-$C$47)*Assumptions!$B$61+$C$47*Assumptions!$B$59*(1-Assumptions!$B$52)</f>
        <v>0.09176195000000001</v>
      </c>
    </row>
    <row r="49">
      <c r="A49" s="6" t="inlineStr">
        <is>
          <t>Debt</t>
        </is>
      </c>
      <c r="B49" s="2" t="inlineStr">
        <is>
          <t>₹ Cr</t>
        </is>
      </c>
      <c r="C49" s="36">
        <f>$C$46*$C$47</f>
        <v>495.5764921776565</v>
      </c>
    </row>
    <row r="50">
      <c r="A50" s="6" t="inlineStr">
        <is>
          <t>Equity</t>
        </is>
      </c>
      <c r="B50" s="2" t="inlineStr">
        <is>
          <t>₹ Cr</t>
        </is>
      </c>
      <c r="C50" s="36">
        <f>$C$46-$C$49</f>
        <v>212.3899252189957</v>
      </c>
    </row>
    <row r="51">
      <c r="A51" s="6" t="inlineStr">
        <is>
          <t>Annual principal repayment</t>
        </is>
      </c>
      <c r="B51" s="2" t="inlineStr">
        <is>
          <t>₹ Cr</t>
        </is>
      </c>
      <c r="C51" s="36">
        <f>$C$49/MAX(1,Assumptions!$B$60)</f>
        <v>33.03843281184377</v>
      </c>
    </row>
    <row r="52">
      <c r="A52" s="3" t="inlineStr">
        <is>
          <t>Results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5" t="inlineStr">
        <is>
          <t>Project IRR, post-tax</t>
        </is>
      </c>
      <c r="C53" s="39">
        <f>IFERROR(IRR($D$91:$AC$91),"&lt; 0%")</f>
        <v>0.0898349655046069</v>
      </c>
    </row>
    <row r="54">
      <c r="A54" s="5" t="inlineStr">
        <is>
          <t>Project IRR, pre-tax</t>
        </is>
      </c>
      <c r="C54" s="39">
        <f>IFERROR(IRR($D$90:$AC$90),"&lt; 0%")</f>
        <v>0.11653066445422366</v>
      </c>
    </row>
    <row r="55">
      <c r="A55" s="5" t="inlineStr">
        <is>
          <t>Equity IRR, post-tax</t>
        </is>
      </c>
      <c r="C55" s="39">
        <f>IFERROR(IRR($D$97:$AC$97),"&lt; 0%")</f>
        <v>0.106234285110125</v>
      </c>
    </row>
    <row r="56">
      <c r="A56" s="5" t="inlineStr">
        <is>
          <t>NPV at WACC, post-tax</t>
        </is>
      </c>
      <c r="C56" s="37">
        <f>$D$91+NPV($C$48,$E$91:$AC$91)</f>
        <v>-10.66798206702083</v>
      </c>
    </row>
    <row r="57">
      <c r="A57" s="5" t="inlineStr">
        <is>
          <t>Payback, post-tax (years)</t>
        </is>
      </c>
      <c r="C57" s="40">
        <f>IF(SUM($E$104:$AC$104)&gt;0,SUM($E$104:$AC$104),"beyond life")</f>
        <v>9.195037254506332</v>
      </c>
    </row>
    <row r="58">
      <c r="A58" s="5" t="inlineStr">
        <is>
          <t>Minimum DSCR</t>
        </is>
      </c>
      <c r="C58" s="41">
        <f>MIN($E$98:$AC$98)</f>
        <v>1.2634267166754793</v>
      </c>
    </row>
    <row r="59">
      <c r="A59" s="5" t="inlineStr">
        <is>
          <t>Levelised cost per kWh sold (at WACC)</t>
        </is>
      </c>
      <c r="C59" s="42">
        <f>($C$46+SUM($E$100:$AC$100))*10000000/(SUM($E$101:$AC$101)*1000)</f>
        <v>7.1381589704861</v>
      </c>
    </row>
    <row r="60">
      <c r="A60" s="5" t="inlineStr">
        <is>
          <t>Levelised sale price per kWh (at WACC)</t>
        </is>
      </c>
      <c r="C60" s="42">
        <f>SUM($E$102:$AC$102)*10000000/(SUM($E$101:$AC$101)*1000)</f>
        <v>7.862139999999999</v>
      </c>
    </row>
    <row r="61">
      <c r="A61" s="5" t="inlineStr">
        <is>
          <t>Year-1 average BESS sale tariff</t>
        </is>
      </c>
      <c r="C61" s="43">
        <f>IFERROR($E$76*10000000/($E$73*1000),0)</f>
        <v>7.862139999999999</v>
      </c>
    </row>
    <row r="65">
      <c r="A65" s="3" t="inlineStr">
        <is>
          <t>Annual projection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>
      <c r="A66" s="5" t="inlineStr">
        <is>
          <t>Year</t>
        </is>
      </c>
      <c r="D66" s="44" t="n">
        <v>0</v>
      </c>
      <c r="E66" s="44" t="n">
        <v>1</v>
      </c>
      <c r="F66" s="44" t="n">
        <v>2</v>
      </c>
      <c r="G66" s="44" t="n">
        <v>3</v>
      </c>
      <c r="H66" s="44" t="n">
        <v>4</v>
      </c>
      <c r="I66" s="44" t="n">
        <v>5</v>
      </c>
      <c r="J66" s="44" t="n">
        <v>6</v>
      </c>
      <c r="K66" s="44" t="n">
        <v>7</v>
      </c>
      <c r="L66" s="44" t="n">
        <v>8</v>
      </c>
      <c r="M66" s="44" t="n">
        <v>9</v>
      </c>
      <c r="N66" s="44" t="n">
        <v>10</v>
      </c>
      <c r="O66" s="44" t="n">
        <v>11</v>
      </c>
      <c r="P66" s="44" t="n">
        <v>12</v>
      </c>
      <c r="Q66" s="44" t="n">
        <v>13</v>
      </c>
      <c r="R66" s="44" t="n">
        <v>14</v>
      </c>
      <c r="S66" s="44" t="n">
        <v>15</v>
      </c>
      <c r="T66" s="44" t="n">
        <v>16</v>
      </c>
      <c r="U66" s="44" t="n">
        <v>17</v>
      </c>
      <c r="V66" s="44" t="n">
        <v>18</v>
      </c>
      <c r="W66" s="44" t="n">
        <v>19</v>
      </c>
      <c r="X66" s="44" t="n">
        <v>20</v>
      </c>
      <c r="Y66" s="44" t="n">
        <v>21</v>
      </c>
      <c r="Z66" s="44" t="n">
        <v>22</v>
      </c>
      <c r="AA66" s="44" t="n">
        <v>23</v>
      </c>
      <c r="AB66" s="44" t="n">
        <v>24</v>
      </c>
      <c r="AC66" s="44" t="n">
        <v>25</v>
      </c>
    </row>
    <row r="67">
      <c r="A67" s="6" t="inlineStr">
        <is>
          <t>In project life (1/0)</t>
        </is>
      </c>
      <c r="B67" s="2" t="inlineStr">
        <is>
          <t>flag</t>
        </is>
      </c>
      <c r="E67" s="30">
        <f>IF(E$66&lt;=Assumptions!$B$51,1,0)</f>
        <v>1.0</v>
      </c>
      <c r="F67" s="30">
        <f>IF(F$66&lt;=Assumptions!$B$51,1,0)</f>
        <v>1.0</v>
      </c>
      <c r="G67" s="30">
        <f>IF(G$66&lt;=Assumptions!$B$51,1,0)</f>
        <v>1.0</v>
      </c>
      <c r="H67" s="30">
        <f>IF(H$66&lt;=Assumptions!$B$51,1,0)</f>
        <v>1.0</v>
      </c>
      <c r="I67" s="30">
        <f>IF(I$66&lt;=Assumptions!$B$51,1,0)</f>
        <v>1.0</v>
      </c>
      <c r="J67" s="30">
        <f>IF(J$66&lt;=Assumptions!$B$51,1,0)</f>
        <v>1.0</v>
      </c>
      <c r="K67" s="30">
        <f>IF(K$66&lt;=Assumptions!$B$51,1,0)</f>
        <v>1.0</v>
      </c>
      <c r="L67" s="30">
        <f>IF(L$66&lt;=Assumptions!$B$51,1,0)</f>
        <v>1.0</v>
      </c>
      <c r="M67" s="30">
        <f>IF(M$66&lt;=Assumptions!$B$51,1,0)</f>
        <v>1.0</v>
      </c>
      <c r="N67" s="30">
        <f>IF(N$66&lt;=Assumptions!$B$51,1,0)</f>
        <v>1.0</v>
      </c>
      <c r="O67" s="30">
        <f>IF(O$66&lt;=Assumptions!$B$51,1,0)</f>
        <v>1.0</v>
      </c>
      <c r="P67" s="30">
        <f>IF(P$66&lt;=Assumptions!$B$51,1,0)</f>
        <v>1.0</v>
      </c>
      <c r="Q67" s="30">
        <f>IF(Q$66&lt;=Assumptions!$B$51,1,0)</f>
        <v>1.0</v>
      </c>
      <c r="R67" s="30">
        <f>IF(R$66&lt;=Assumptions!$B$51,1,0)</f>
        <v>1.0</v>
      </c>
      <c r="S67" s="30">
        <f>IF(S$66&lt;=Assumptions!$B$51,1,0)</f>
        <v>1.0</v>
      </c>
      <c r="T67" s="30">
        <f>IF(T$66&lt;=Assumptions!$B$51,1,0)</f>
        <v>1.0</v>
      </c>
      <c r="U67" s="30">
        <f>IF(U$66&lt;=Assumptions!$B$51,1,0)</f>
        <v>1.0</v>
      </c>
      <c r="V67" s="30">
        <f>IF(V$66&lt;=Assumptions!$B$51,1,0)</f>
        <v>1.0</v>
      </c>
      <c r="W67" s="30">
        <f>IF(W$66&lt;=Assumptions!$B$51,1,0)</f>
        <v>1.0</v>
      </c>
      <c r="X67" s="30">
        <f>IF(X$66&lt;=Assumptions!$B$51,1,0)</f>
        <v>1.0</v>
      </c>
      <c r="Y67" s="30">
        <f>IF(Y$66&lt;=Assumptions!$B$51,1,0)</f>
        <v>1.0</v>
      </c>
      <c r="Z67" s="30">
        <f>IF(Z$66&lt;=Assumptions!$B$51,1,0)</f>
        <v>1.0</v>
      </c>
      <c r="AA67" s="30">
        <f>IF(AA$66&lt;=Assumptions!$B$51,1,0)</f>
        <v>1.0</v>
      </c>
      <c r="AB67" s="30">
        <f>IF(AB$66&lt;=Assumptions!$B$51,1,0)</f>
        <v>1.0</v>
      </c>
      <c r="AC67" s="30">
        <f>IF(AC$66&lt;=Assumptions!$B$51,1,0)</f>
        <v>1.0</v>
      </c>
    </row>
    <row r="68">
      <c r="A68" s="6" t="inlineStr">
        <is>
          <t>Years since augmentation (mid-year)</t>
        </is>
      </c>
      <c r="B68" s="2" t="inlineStr">
        <is>
          <t>years</t>
        </is>
      </c>
      <c r="E68" s="45">
        <f>IF(AND(Assumptions!$B$42&gt;0,E$66&gt;Assumptions!$B$42),E$66-Assumptions!$B$42-0.5,E$66-0.5)</f>
        <v>0.5</v>
      </c>
      <c r="F68" s="45">
        <f>IF(AND(Assumptions!$B$42&gt;0,F$66&gt;Assumptions!$B$42),F$66-Assumptions!$B$42-0.5,F$66-0.5)</f>
        <v>1.5</v>
      </c>
      <c r="G68" s="45">
        <f>IF(AND(Assumptions!$B$42&gt;0,G$66&gt;Assumptions!$B$42),G$66-Assumptions!$B$42-0.5,G$66-0.5)</f>
        <v>2.5</v>
      </c>
      <c r="H68" s="45">
        <f>IF(AND(Assumptions!$B$42&gt;0,H$66&gt;Assumptions!$B$42),H$66-Assumptions!$B$42-0.5,H$66-0.5)</f>
        <v>3.5</v>
      </c>
      <c r="I68" s="45">
        <f>IF(AND(Assumptions!$B$42&gt;0,I$66&gt;Assumptions!$B$42),I$66-Assumptions!$B$42-0.5,I$66-0.5)</f>
        <v>4.5</v>
      </c>
      <c r="J68" s="45">
        <f>IF(AND(Assumptions!$B$42&gt;0,J$66&gt;Assumptions!$B$42),J$66-Assumptions!$B$42-0.5,J$66-0.5)</f>
        <v>5.5</v>
      </c>
      <c r="K68" s="45">
        <f>IF(AND(Assumptions!$B$42&gt;0,K$66&gt;Assumptions!$B$42),K$66-Assumptions!$B$42-0.5,K$66-0.5)</f>
        <v>6.5</v>
      </c>
      <c r="L68" s="45">
        <f>IF(AND(Assumptions!$B$42&gt;0,L$66&gt;Assumptions!$B$42),L$66-Assumptions!$B$42-0.5,L$66-0.5)</f>
        <v>7.5</v>
      </c>
      <c r="M68" s="45">
        <f>IF(AND(Assumptions!$B$42&gt;0,M$66&gt;Assumptions!$B$42),M$66-Assumptions!$B$42-0.5,M$66-0.5)</f>
        <v>8.5</v>
      </c>
      <c r="N68" s="45">
        <f>IF(AND(Assumptions!$B$42&gt;0,N$66&gt;Assumptions!$B$42),N$66-Assumptions!$B$42-0.5,N$66-0.5)</f>
        <v>9.5</v>
      </c>
      <c r="O68" s="45">
        <f>IF(AND(Assumptions!$B$42&gt;0,O$66&gt;Assumptions!$B$42),O$66-Assumptions!$B$42-0.5,O$66-0.5)</f>
        <v>10.5</v>
      </c>
      <c r="P68" s="45">
        <f>IF(AND(Assumptions!$B$42&gt;0,P$66&gt;Assumptions!$B$42),P$66-Assumptions!$B$42-0.5,P$66-0.5)</f>
        <v>11.5</v>
      </c>
      <c r="Q68" s="45">
        <f>IF(AND(Assumptions!$B$42&gt;0,Q$66&gt;Assumptions!$B$42),Q$66-Assumptions!$B$42-0.5,Q$66-0.5)</f>
        <v>0.5</v>
      </c>
      <c r="R68" s="45">
        <f>IF(AND(Assumptions!$B$42&gt;0,R$66&gt;Assumptions!$B$42),R$66-Assumptions!$B$42-0.5,R$66-0.5)</f>
        <v>1.5</v>
      </c>
      <c r="S68" s="45">
        <f>IF(AND(Assumptions!$B$42&gt;0,S$66&gt;Assumptions!$B$42),S$66-Assumptions!$B$42-0.5,S$66-0.5)</f>
        <v>2.5</v>
      </c>
      <c r="T68" s="45">
        <f>IF(AND(Assumptions!$B$42&gt;0,T$66&gt;Assumptions!$B$42),T$66-Assumptions!$B$42-0.5,T$66-0.5)</f>
        <v>3.5</v>
      </c>
      <c r="U68" s="45">
        <f>IF(AND(Assumptions!$B$42&gt;0,U$66&gt;Assumptions!$B$42),U$66-Assumptions!$B$42-0.5,U$66-0.5)</f>
        <v>4.5</v>
      </c>
      <c r="V68" s="45">
        <f>IF(AND(Assumptions!$B$42&gt;0,V$66&gt;Assumptions!$B$42),V$66-Assumptions!$B$42-0.5,V$66-0.5)</f>
        <v>5.5</v>
      </c>
      <c r="W68" s="45">
        <f>IF(AND(Assumptions!$B$42&gt;0,W$66&gt;Assumptions!$B$42),W$66-Assumptions!$B$42-0.5,W$66-0.5)</f>
        <v>6.5</v>
      </c>
      <c r="X68" s="45">
        <f>IF(AND(Assumptions!$B$42&gt;0,X$66&gt;Assumptions!$B$42),X$66-Assumptions!$B$42-0.5,X$66-0.5)</f>
        <v>7.5</v>
      </c>
      <c r="Y68" s="45">
        <f>IF(AND(Assumptions!$B$42&gt;0,Y$66&gt;Assumptions!$B$42),Y$66-Assumptions!$B$42-0.5,Y$66-0.5)</f>
        <v>8.5</v>
      </c>
      <c r="Z68" s="45">
        <f>IF(AND(Assumptions!$B$42&gt;0,Z$66&gt;Assumptions!$B$42),Z$66-Assumptions!$B$42-0.5,Z$66-0.5)</f>
        <v>9.5</v>
      </c>
      <c r="AA68" s="45">
        <f>IF(AND(Assumptions!$B$42&gt;0,AA$66&gt;Assumptions!$B$42),AA$66-Assumptions!$B$42-0.5,AA$66-0.5)</f>
        <v>10.5</v>
      </c>
      <c r="AB68" s="45">
        <f>IF(AND(Assumptions!$B$42&gt;0,AB$66&gt;Assumptions!$B$42),AB$66-Assumptions!$B$42-0.5,AB$66-0.5)</f>
        <v>11.5</v>
      </c>
      <c r="AC68" s="45">
        <f>IF(AND(Assumptions!$B$42&gt;0,AC$66&gt;Assumptions!$B$42),AC$66-Assumptions!$B$42-0.5,AC$66-0.5)</f>
        <v>12.5</v>
      </c>
    </row>
    <row r="69">
      <c r="A69" s="6" t="inlineStr">
        <is>
          <t>BESS capacity, % of nameplate</t>
        </is>
      </c>
      <c r="B69" s="2" t="inlineStr">
        <is>
          <t>%</t>
        </is>
      </c>
      <c r="E69" s="31">
        <f>MAX(0.4,1-Assumptions!$B$37*E$68)</f>
        <v>0.9925</v>
      </c>
      <c r="F69" s="31">
        <f>MAX(0.4,1-Assumptions!$B$37*F$68)</f>
        <v>0.9775</v>
      </c>
      <c r="G69" s="31">
        <f>MAX(0.4,1-Assumptions!$B$37*G$68)</f>
        <v>0.9625</v>
      </c>
      <c r="H69" s="31">
        <f>MAX(0.4,1-Assumptions!$B$37*H$68)</f>
        <v>0.9475</v>
      </c>
      <c r="I69" s="31">
        <f>MAX(0.4,1-Assumptions!$B$37*I$68)</f>
        <v>0.9325</v>
      </c>
      <c r="J69" s="31">
        <f>MAX(0.4,1-Assumptions!$B$37*J$68)</f>
        <v>0.9175</v>
      </c>
      <c r="K69" s="31">
        <f>MAX(0.4,1-Assumptions!$B$37*K$68)</f>
        <v>0.9025</v>
      </c>
      <c r="L69" s="31">
        <f>MAX(0.4,1-Assumptions!$B$37*L$68)</f>
        <v>0.8875</v>
      </c>
      <c r="M69" s="31">
        <f>MAX(0.4,1-Assumptions!$B$37*M$68)</f>
        <v>0.8725</v>
      </c>
      <c r="N69" s="31">
        <f>MAX(0.4,1-Assumptions!$B$37*N$68)</f>
        <v>0.8575</v>
      </c>
      <c r="O69" s="31">
        <f>MAX(0.4,1-Assumptions!$B$37*O$68)</f>
        <v>0.8425</v>
      </c>
      <c r="P69" s="31">
        <f>MAX(0.4,1-Assumptions!$B$37*P$68)</f>
        <v>0.8275</v>
      </c>
      <c r="Q69" s="31">
        <f>MAX(0.4,1-Assumptions!$B$37*Q$68)</f>
        <v>0.9925</v>
      </c>
      <c r="R69" s="31">
        <f>MAX(0.4,1-Assumptions!$B$37*R$68)</f>
        <v>0.9775</v>
      </c>
      <c r="S69" s="31">
        <f>MAX(0.4,1-Assumptions!$B$37*S$68)</f>
        <v>0.9625</v>
      </c>
      <c r="T69" s="31">
        <f>MAX(0.4,1-Assumptions!$B$37*T$68)</f>
        <v>0.9475</v>
      </c>
      <c r="U69" s="31">
        <f>MAX(0.4,1-Assumptions!$B$37*U$68)</f>
        <v>0.9325</v>
      </c>
      <c r="V69" s="31">
        <f>MAX(0.4,1-Assumptions!$B$37*V$68)</f>
        <v>0.9175</v>
      </c>
      <c r="W69" s="31">
        <f>MAX(0.4,1-Assumptions!$B$37*W$68)</f>
        <v>0.9025</v>
      </c>
      <c r="X69" s="31">
        <f>MAX(0.4,1-Assumptions!$B$37*X$68)</f>
        <v>0.8875</v>
      </c>
      <c r="Y69" s="31">
        <f>MAX(0.4,1-Assumptions!$B$37*Y$68)</f>
        <v>0.8725</v>
      </c>
      <c r="Z69" s="31">
        <f>MAX(0.4,1-Assumptions!$B$37*Z$68)</f>
        <v>0.8575</v>
      </c>
      <c r="AA69" s="31">
        <f>MAX(0.4,1-Assumptions!$B$37*AA$68)</f>
        <v>0.8425</v>
      </c>
      <c r="AB69" s="31">
        <f>MAX(0.4,1-Assumptions!$B$37*AB$68)</f>
        <v>0.8275</v>
      </c>
      <c r="AC69" s="31">
        <f>MAX(0.4,1-Assumptions!$B$37*AC$68)</f>
        <v>0.8125</v>
      </c>
    </row>
    <row r="70">
      <c r="A70" s="6" t="inlineStr">
        <is>
          <t>Energy factor vs year 1</t>
        </is>
      </c>
      <c r="B70" s="2" t="inlineStr">
        <is>
          <t>x</t>
        </is>
      </c>
      <c r="E70" s="46">
        <f>E$69/$C$13</f>
        <v>1.0</v>
      </c>
      <c r="F70" s="46">
        <f>F$69/$C$13</f>
        <v>0.9848866498740554</v>
      </c>
      <c r="G70" s="46">
        <f>G$69/$C$13</f>
        <v>0.9697732997481108</v>
      </c>
      <c r="H70" s="46">
        <f>H$69/$C$13</f>
        <v>0.9546599496221662</v>
      </c>
      <c r="I70" s="46">
        <f>I$69/$C$13</f>
        <v>0.9395465994962217</v>
      </c>
      <c r="J70" s="46">
        <f>J$69/$C$13</f>
        <v>0.924433249370277</v>
      </c>
      <c r="K70" s="46">
        <f>K$69/$C$13</f>
        <v>0.9093198992443324</v>
      </c>
      <c r="L70" s="46">
        <f>L$69/$C$13</f>
        <v>0.8942065491183878</v>
      </c>
      <c r="M70" s="46">
        <f>M$69/$C$13</f>
        <v>0.8790931989924433</v>
      </c>
      <c r="N70" s="46">
        <f>N$69/$C$13</f>
        <v>0.8639798488664987</v>
      </c>
      <c r="O70" s="46">
        <f>O$69/$C$13</f>
        <v>0.8488664987405541</v>
      </c>
      <c r="P70" s="46">
        <f>P$69/$C$13</f>
        <v>0.8337531486146096</v>
      </c>
      <c r="Q70" s="46">
        <f>Q$69/$C$13</f>
        <v>1.0</v>
      </c>
      <c r="R70" s="46">
        <f>R$69/$C$13</f>
        <v>0.9848866498740554</v>
      </c>
      <c r="S70" s="46">
        <f>S$69/$C$13</f>
        <v>0.9697732997481108</v>
      </c>
      <c r="T70" s="46">
        <f>T$69/$C$13</f>
        <v>0.9546599496221662</v>
      </c>
      <c r="U70" s="46">
        <f>U$69/$C$13</f>
        <v>0.9395465994962217</v>
      </c>
      <c r="V70" s="46">
        <f>V$69/$C$13</f>
        <v>0.924433249370277</v>
      </c>
      <c r="W70" s="46">
        <f>W$69/$C$13</f>
        <v>0.9093198992443324</v>
      </c>
      <c r="X70" s="46">
        <f>X$69/$C$13</f>
        <v>0.8942065491183878</v>
      </c>
      <c r="Y70" s="46">
        <f>Y$69/$C$13</f>
        <v>0.8790931989924433</v>
      </c>
      <c r="Z70" s="46">
        <f>Z$69/$C$13</f>
        <v>0.8639798488664987</v>
      </c>
      <c r="AA70" s="46">
        <f>AA$69/$C$13</f>
        <v>0.8488664987405541</v>
      </c>
      <c r="AB70" s="46">
        <f>AB$69/$C$13</f>
        <v>0.8337531486146096</v>
      </c>
      <c r="AC70" s="46">
        <f>AC$69/$C$13</f>
        <v>0.818639798488665</v>
      </c>
    </row>
    <row r="71">
      <c r="A71" s="6" t="inlineStr">
        <is>
          <t>Price escalation index</t>
        </is>
      </c>
      <c r="B71" s="2" t="inlineStr">
        <is>
          <t>x</t>
        </is>
      </c>
      <c r="E71" s="46">
        <f>(1+Assumptions!$B$53)^(E$66-1)</f>
        <v>1.0</v>
      </c>
      <c r="F71" s="46">
        <f>(1+Assumptions!$B$53)^(F$66-1)</f>
        <v>1.0</v>
      </c>
      <c r="G71" s="46">
        <f>(1+Assumptions!$B$53)^(G$66-1)</f>
        <v>1.0</v>
      </c>
      <c r="H71" s="46">
        <f>(1+Assumptions!$B$53)^(H$66-1)</f>
        <v>1.0</v>
      </c>
      <c r="I71" s="46">
        <f>(1+Assumptions!$B$53)^(I$66-1)</f>
        <v>1.0</v>
      </c>
      <c r="J71" s="46">
        <f>(1+Assumptions!$B$53)^(J$66-1)</f>
        <v>1.0</v>
      </c>
      <c r="K71" s="46">
        <f>(1+Assumptions!$B$53)^(K$66-1)</f>
        <v>1.0</v>
      </c>
      <c r="L71" s="46">
        <f>(1+Assumptions!$B$53)^(L$66-1)</f>
        <v>1.0</v>
      </c>
      <c r="M71" s="46">
        <f>(1+Assumptions!$B$53)^(M$66-1)</f>
        <v>1.0</v>
      </c>
      <c r="N71" s="46">
        <f>(1+Assumptions!$B$53)^(N$66-1)</f>
        <v>1.0</v>
      </c>
      <c r="O71" s="46">
        <f>(1+Assumptions!$B$53)^(O$66-1)</f>
        <v>1.0</v>
      </c>
      <c r="P71" s="46">
        <f>(1+Assumptions!$B$53)^(P$66-1)</f>
        <v>1.0</v>
      </c>
      <c r="Q71" s="46">
        <f>(1+Assumptions!$B$53)^(Q$66-1)</f>
        <v>1.0</v>
      </c>
      <c r="R71" s="46">
        <f>(1+Assumptions!$B$53)^(R$66-1)</f>
        <v>1.0</v>
      </c>
      <c r="S71" s="46">
        <f>(1+Assumptions!$B$53)^(S$66-1)</f>
        <v>1.0</v>
      </c>
      <c r="T71" s="46">
        <f>(1+Assumptions!$B$53)^(T$66-1)</f>
        <v>1.0</v>
      </c>
      <c r="U71" s="46">
        <f>(1+Assumptions!$B$53)^(U$66-1)</f>
        <v>1.0</v>
      </c>
      <c r="V71" s="46">
        <f>(1+Assumptions!$B$53)^(V$66-1)</f>
        <v>1.0</v>
      </c>
      <c r="W71" s="46">
        <f>(1+Assumptions!$B$53)^(W$66-1)</f>
        <v>1.0</v>
      </c>
      <c r="X71" s="46">
        <f>(1+Assumptions!$B$53)^(X$66-1)</f>
        <v>1.0</v>
      </c>
      <c r="Y71" s="46">
        <f>(1+Assumptions!$B$53)^(Y$66-1)</f>
        <v>1.0</v>
      </c>
      <c r="Z71" s="46">
        <f>(1+Assumptions!$B$53)^(Z$66-1)</f>
        <v>1.0</v>
      </c>
      <c r="AA71" s="46">
        <f>(1+Assumptions!$B$53)^(AA$66-1)</f>
        <v>1.0</v>
      </c>
      <c r="AB71" s="46">
        <f>(1+Assumptions!$B$53)^(AB$66-1)</f>
        <v>1.0</v>
      </c>
      <c r="AC71" s="46">
        <f>(1+Assumptions!$B$53)^(AC$66-1)</f>
        <v>1.0</v>
      </c>
    </row>
    <row r="72">
      <c r="A72" s="6" t="inlineStr">
        <is>
          <t>O&amp;M escalation index</t>
        </is>
      </c>
      <c r="B72" s="2" t="inlineStr">
        <is>
          <t>x</t>
        </is>
      </c>
      <c r="E72" s="46">
        <f>(1+Assumptions!$B$56)^(E$66-1)</f>
        <v>1.0</v>
      </c>
      <c r="F72" s="46">
        <f>(1+Assumptions!$B$56)^(F$66-1)</f>
        <v>1.03</v>
      </c>
      <c r="G72" s="46">
        <f>(1+Assumptions!$B$56)^(G$66-1)</f>
        <v>1.0609</v>
      </c>
      <c r="H72" s="46">
        <f>(1+Assumptions!$B$56)^(H$66-1)</f>
        <v>1.092727</v>
      </c>
      <c r="I72" s="46">
        <f>(1+Assumptions!$B$56)^(I$66-1)</f>
        <v>1.1255088100000001</v>
      </c>
      <c r="J72" s="46">
        <f>(1+Assumptions!$B$56)^(J$66-1)</f>
        <v>1.1592740743</v>
      </c>
      <c r="K72" s="46">
        <f>(1+Assumptions!$B$56)^(K$66-1)</f>
        <v>1.1940522965290001</v>
      </c>
      <c r="L72" s="46">
        <f>(1+Assumptions!$B$56)^(L$66-1)</f>
        <v>1.2298738654248702</v>
      </c>
      <c r="M72" s="46">
        <f>(1+Assumptions!$B$56)^(M$66-1)</f>
        <v>1.2667700813876164</v>
      </c>
      <c r="N72" s="46">
        <f>(1+Assumptions!$B$56)^(N$66-1)</f>
        <v>1.304773183829245</v>
      </c>
      <c r="O72" s="46">
        <f>(1+Assumptions!$B$56)^(O$66-1)</f>
        <v>1.3439163793441222</v>
      </c>
      <c r="P72" s="46">
        <f>(1+Assumptions!$B$56)^(P$66-1)</f>
        <v>1.384233870724446</v>
      </c>
      <c r="Q72" s="46">
        <f>(1+Assumptions!$B$56)^(Q$66-1)</f>
        <v>1.4257608868461793</v>
      </c>
      <c r="R72" s="46">
        <f>(1+Assumptions!$B$56)^(R$66-1)</f>
        <v>1.4685337134515648</v>
      </c>
      <c r="S72" s="46">
        <f>(1+Assumptions!$B$56)^(S$66-1)</f>
        <v>1.512589724855112</v>
      </c>
      <c r="T72" s="46">
        <f>(1+Assumptions!$B$56)^(T$66-1)</f>
        <v>1.557967416600765</v>
      </c>
      <c r="U72" s="46">
        <f>(1+Assumptions!$B$56)^(U$66-1)</f>
        <v>1.6047064390987882</v>
      </c>
      <c r="V72" s="46">
        <f>(1+Assumptions!$B$56)^(V$66-1)</f>
        <v>1.6528476322717518</v>
      </c>
      <c r="W72" s="46">
        <f>(1+Assumptions!$B$56)^(W$66-1)</f>
        <v>1.7024330612399046</v>
      </c>
      <c r="X72" s="46">
        <f>(1+Assumptions!$B$56)^(X$66-1)</f>
        <v>1.7535060530771016</v>
      </c>
      <c r="Y72" s="46">
        <f>(1+Assumptions!$B$56)^(Y$66-1)</f>
        <v>1.8061112346694148</v>
      </c>
      <c r="Z72" s="46">
        <f>(1+Assumptions!$B$56)^(Z$66-1)</f>
        <v>1.8602945717094972</v>
      </c>
      <c r="AA72" s="46">
        <f>(1+Assumptions!$B$56)^(AA$66-1)</f>
        <v>1.9161034088607822</v>
      </c>
      <c r="AB72" s="46">
        <f>(1+Assumptions!$B$56)^(AB$66-1)</f>
        <v>1.9735865111266058</v>
      </c>
      <c r="AC72" s="46">
        <f>(1+Assumptions!$B$56)^(AC$66-1)</f>
        <v>2.032794106460404</v>
      </c>
    </row>
    <row r="73">
      <c r="A73" s="6" t="inlineStr">
        <is>
          <t>BESS energy sold</t>
        </is>
      </c>
      <c r="B73" s="2" t="inlineStr">
        <is>
          <t>MWh</t>
        </is>
      </c>
      <c r="E73" s="27">
        <f>E$67*IF($C$10=1,SUMPRODUCT((Dispatch!$A$5:$A$52=$C$39)*(Dispatch!$B$5:$B$52="bessMWh")*Dispatch!$C$5:$C$52),$C$15*Assumptions!$B$62*Assumptions!$B$41*E$70)</f>
        <v>216810.0</v>
      </c>
      <c r="F73" s="27">
        <f>F$67*IF($C$10=1,SUMPRODUCT((Dispatch!$A$5:$A$52=$C$39)*(Dispatch!$B$5:$B$52="bessMWh")*Dispatch!$D$5:$D$52),$C$15*Assumptions!$B$62*Assumptions!$B$41*F$70)</f>
        <v>213533.27455919396</v>
      </c>
      <c r="G73" s="27">
        <f>G$67*IF($C$10=1,SUMPRODUCT((Dispatch!$A$5:$A$52=$C$39)*(Dispatch!$B$5:$B$52="bessMWh")*Dispatch!$E$5:$E$52),$C$15*Assumptions!$B$62*Assumptions!$B$41*G$70)</f>
        <v>210256.5491183879</v>
      </c>
      <c r="H73" s="27">
        <f>H$67*IF($C$10=1,SUMPRODUCT((Dispatch!$A$5:$A$52=$C$39)*(Dispatch!$B$5:$B$52="bessMWh")*Dispatch!$F$5:$F$52),$C$15*Assumptions!$B$62*Assumptions!$B$41*H$70)</f>
        <v>206979.82367758185</v>
      </c>
      <c r="I73" s="27">
        <f>I$67*IF($C$10=1,SUMPRODUCT((Dispatch!$A$5:$A$52=$C$39)*(Dispatch!$B$5:$B$52="bessMWh")*Dispatch!$G$5:$G$52),$C$15*Assumptions!$B$62*Assumptions!$B$41*I$70)</f>
        <v>203703.0982367758</v>
      </c>
      <c r="J73" s="27">
        <f>J$67*IF($C$10=1,SUMPRODUCT((Dispatch!$A$5:$A$52=$C$39)*(Dispatch!$B$5:$B$52="bessMWh")*Dispatch!$H$5:$H$52),$C$15*Assumptions!$B$62*Assumptions!$B$41*J$70)</f>
        <v>200426.37279596977</v>
      </c>
      <c r="K73" s="27">
        <f>K$67*IF($C$10=1,SUMPRODUCT((Dispatch!$A$5:$A$52=$C$39)*(Dispatch!$B$5:$B$52="bessMWh")*Dispatch!$I$5:$I$52),$C$15*Assumptions!$B$62*Assumptions!$B$41*K$70)</f>
        <v>197149.6473551637</v>
      </c>
      <c r="L73" s="27">
        <f>L$67*IF($C$10=1,SUMPRODUCT((Dispatch!$A$5:$A$52=$C$39)*(Dispatch!$B$5:$B$52="bessMWh")*Dispatch!$J$5:$J$52),$C$15*Assumptions!$B$62*Assumptions!$B$41*L$70)</f>
        <v>193872.92191435766</v>
      </c>
      <c r="M73" s="27">
        <f>M$67*IF($C$10=1,SUMPRODUCT((Dispatch!$A$5:$A$52=$C$39)*(Dispatch!$B$5:$B$52="bessMWh")*Dispatch!$K$5:$K$52),$C$15*Assumptions!$B$62*Assumptions!$B$41*M$70)</f>
        <v>190596.19647355162</v>
      </c>
      <c r="N73" s="27">
        <f>N$67*IF($C$10=1,SUMPRODUCT((Dispatch!$A$5:$A$52=$C$39)*(Dispatch!$B$5:$B$52="bessMWh")*Dispatch!$L$5:$L$52),$C$15*Assumptions!$B$62*Assumptions!$B$41*N$70)</f>
        <v>187319.47103274558</v>
      </c>
      <c r="O73" s="27">
        <f>O$67*IF($C$10=1,SUMPRODUCT((Dispatch!$A$5:$A$52=$C$39)*(Dispatch!$B$5:$B$52="bessMWh")*Dispatch!$M$5:$M$52),$C$15*Assumptions!$B$62*Assumptions!$B$41*O$70)</f>
        <v>184042.74559193954</v>
      </c>
      <c r="P73" s="27">
        <f>P$67*IF($C$10=1,SUMPRODUCT((Dispatch!$A$5:$A$52=$C$39)*(Dispatch!$B$5:$B$52="bessMWh")*Dispatch!$N$5:$N$52),$C$15*Assumptions!$B$62*Assumptions!$B$41*P$70)</f>
        <v>180766.0201511335</v>
      </c>
      <c r="Q73" s="27">
        <f>Q$67*IF($C$10=1,SUMPRODUCT((Dispatch!$A$5:$A$52=$C$39)*(Dispatch!$B$5:$B$52="bessMWh")*Dispatch!$O$5:$O$52),$C$15*Assumptions!$B$62*Assumptions!$B$41*Q$70)</f>
        <v>216810.0</v>
      </c>
      <c r="R73" s="27">
        <f>R$67*IF($C$10=1,SUMPRODUCT((Dispatch!$A$5:$A$52=$C$39)*(Dispatch!$B$5:$B$52="bessMWh")*Dispatch!$P$5:$P$52),$C$15*Assumptions!$B$62*Assumptions!$B$41*R$70)</f>
        <v>213533.27455919396</v>
      </c>
      <c r="S73" s="27">
        <f>S$67*IF($C$10=1,SUMPRODUCT((Dispatch!$A$5:$A$52=$C$39)*(Dispatch!$B$5:$B$52="bessMWh")*Dispatch!$Q$5:$Q$52),$C$15*Assumptions!$B$62*Assumptions!$B$41*S$70)</f>
        <v>210256.5491183879</v>
      </c>
      <c r="T73" s="27">
        <f>T$67*IF($C$10=1,SUMPRODUCT((Dispatch!$A$5:$A$52=$C$39)*(Dispatch!$B$5:$B$52="bessMWh")*Dispatch!$R$5:$R$52),$C$15*Assumptions!$B$62*Assumptions!$B$41*T$70)</f>
        <v>206979.82367758185</v>
      </c>
      <c r="U73" s="27">
        <f>U$67*IF($C$10=1,SUMPRODUCT((Dispatch!$A$5:$A$52=$C$39)*(Dispatch!$B$5:$B$52="bessMWh")*Dispatch!$S$5:$S$52),$C$15*Assumptions!$B$62*Assumptions!$B$41*U$70)</f>
        <v>203703.0982367758</v>
      </c>
      <c r="V73" s="27">
        <f>V$67*IF($C$10=1,SUMPRODUCT((Dispatch!$A$5:$A$52=$C$39)*(Dispatch!$B$5:$B$52="bessMWh")*Dispatch!$T$5:$T$52),$C$15*Assumptions!$B$62*Assumptions!$B$41*V$70)</f>
        <v>200426.37279596977</v>
      </c>
      <c r="W73" s="27">
        <f>W$67*IF($C$10=1,SUMPRODUCT((Dispatch!$A$5:$A$52=$C$39)*(Dispatch!$B$5:$B$52="bessMWh")*Dispatch!$U$5:$U$52),$C$15*Assumptions!$B$62*Assumptions!$B$41*W$70)</f>
        <v>197149.6473551637</v>
      </c>
      <c r="X73" s="27">
        <f>X$67*IF($C$10=1,SUMPRODUCT((Dispatch!$A$5:$A$52=$C$39)*(Dispatch!$B$5:$B$52="bessMWh")*Dispatch!$V$5:$V$52),$C$15*Assumptions!$B$62*Assumptions!$B$41*X$70)</f>
        <v>193872.92191435766</v>
      </c>
      <c r="Y73" s="27">
        <f>Y$67*IF($C$10=1,SUMPRODUCT((Dispatch!$A$5:$A$52=$C$39)*(Dispatch!$B$5:$B$52="bessMWh")*Dispatch!$W$5:$W$52),$C$15*Assumptions!$B$62*Assumptions!$B$41*Y$70)</f>
        <v>190596.19647355162</v>
      </c>
      <c r="Z73" s="27">
        <f>Z$67*IF($C$10=1,SUMPRODUCT((Dispatch!$A$5:$A$52=$C$39)*(Dispatch!$B$5:$B$52="bessMWh")*Dispatch!$X$5:$X$52),$C$15*Assumptions!$B$62*Assumptions!$B$41*Z$70)</f>
        <v>187319.47103274558</v>
      </c>
      <c r="AA73" s="27">
        <f>AA$67*IF($C$10=1,SUMPRODUCT((Dispatch!$A$5:$A$52=$C$39)*(Dispatch!$B$5:$B$52="bessMWh")*Dispatch!$Y$5:$Y$52),$C$15*Assumptions!$B$62*Assumptions!$B$41*AA$70)</f>
        <v>184042.74559193954</v>
      </c>
      <c r="AB73" s="27">
        <f>AB$67*IF($C$10=1,SUMPRODUCT((Dispatch!$A$5:$A$52=$C$39)*(Dispatch!$B$5:$B$52="bessMWh")*Dispatch!$Z$5:$Z$52),$C$15*Assumptions!$B$62*Assumptions!$B$41*AB$70)</f>
        <v>180766.0201511335</v>
      </c>
      <c r="AC73" s="27">
        <f>AC$67*IF($C$10=1,SUMPRODUCT((Dispatch!$A$5:$A$52=$C$39)*(Dispatch!$B$5:$B$52="bessMWh")*Dispatch!$AA$5:$AA$52),$C$15*Assumptions!$B$62*Assumptions!$B$41*AC$70)</f>
        <v>177489.29471032746</v>
      </c>
    </row>
    <row r="74">
      <c r="A74" s="6" t="inlineStr">
        <is>
          <t>Surplus solar sold in the day</t>
        </is>
      </c>
      <c r="B74" s="2" t="inlineStr">
        <is>
          <t>MWh</t>
        </is>
      </c>
      <c r="E74" s="27">
        <f>E$67*$C$10*SUMPRODUCT((Dispatch!$A$5:$A$52=$C$39)*(Dispatch!$B$5:$B$52="expMWh")*Dispatch!$C$5:$C$52)</f>
        <v>0.0</v>
      </c>
      <c r="F74" s="27">
        <f>F$67*$C$10*SUMPRODUCT((Dispatch!$A$5:$A$52=$C$39)*(Dispatch!$B$5:$B$52="expMWh")*Dispatch!$D$5:$D$52)</f>
        <v>0.0</v>
      </c>
      <c r="G74" s="27">
        <f>G$67*$C$10*SUMPRODUCT((Dispatch!$A$5:$A$52=$C$39)*(Dispatch!$B$5:$B$52="expMWh")*Dispatch!$E$5:$E$52)</f>
        <v>0.0</v>
      </c>
      <c r="H74" s="27">
        <f>H$67*$C$10*SUMPRODUCT((Dispatch!$A$5:$A$52=$C$39)*(Dispatch!$B$5:$B$52="expMWh")*Dispatch!$F$5:$F$52)</f>
        <v>0.0</v>
      </c>
      <c r="I74" s="27">
        <f>I$67*$C$10*SUMPRODUCT((Dispatch!$A$5:$A$52=$C$39)*(Dispatch!$B$5:$B$52="expMWh")*Dispatch!$G$5:$G$52)</f>
        <v>0.0</v>
      </c>
      <c r="J74" s="27">
        <f>J$67*$C$10*SUMPRODUCT((Dispatch!$A$5:$A$52=$C$39)*(Dispatch!$B$5:$B$52="expMWh")*Dispatch!$H$5:$H$52)</f>
        <v>0.0</v>
      </c>
      <c r="K74" s="27">
        <f>K$67*$C$10*SUMPRODUCT((Dispatch!$A$5:$A$52=$C$39)*(Dispatch!$B$5:$B$52="expMWh")*Dispatch!$I$5:$I$52)</f>
        <v>0.0</v>
      </c>
      <c r="L74" s="27">
        <f>L$67*$C$10*SUMPRODUCT((Dispatch!$A$5:$A$52=$C$39)*(Dispatch!$B$5:$B$52="expMWh")*Dispatch!$J$5:$J$52)</f>
        <v>0.0</v>
      </c>
      <c r="M74" s="27">
        <f>M$67*$C$10*SUMPRODUCT((Dispatch!$A$5:$A$52=$C$39)*(Dispatch!$B$5:$B$52="expMWh")*Dispatch!$K$5:$K$52)</f>
        <v>0.0</v>
      </c>
      <c r="N74" s="27">
        <f>N$67*$C$10*SUMPRODUCT((Dispatch!$A$5:$A$52=$C$39)*(Dispatch!$B$5:$B$52="expMWh")*Dispatch!$L$5:$L$52)</f>
        <v>0.0</v>
      </c>
      <c r="O74" s="27">
        <f>O$67*$C$10*SUMPRODUCT((Dispatch!$A$5:$A$52=$C$39)*(Dispatch!$B$5:$B$52="expMWh")*Dispatch!$M$5:$M$52)</f>
        <v>0.0</v>
      </c>
      <c r="P74" s="27">
        <f>P$67*$C$10*SUMPRODUCT((Dispatch!$A$5:$A$52=$C$39)*(Dispatch!$B$5:$B$52="expMWh")*Dispatch!$N$5:$N$52)</f>
        <v>0.0</v>
      </c>
      <c r="Q74" s="27">
        <f>Q$67*$C$10*SUMPRODUCT((Dispatch!$A$5:$A$52=$C$39)*(Dispatch!$B$5:$B$52="expMWh")*Dispatch!$O$5:$O$52)</f>
        <v>0.0</v>
      </c>
      <c r="R74" s="27">
        <f>R$67*$C$10*SUMPRODUCT((Dispatch!$A$5:$A$52=$C$39)*(Dispatch!$B$5:$B$52="expMWh")*Dispatch!$P$5:$P$52)</f>
        <v>0.0</v>
      </c>
      <c r="S74" s="27">
        <f>S$67*$C$10*SUMPRODUCT((Dispatch!$A$5:$A$52=$C$39)*(Dispatch!$B$5:$B$52="expMWh")*Dispatch!$Q$5:$Q$52)</f>
        <v>0.0</v>
      </c>
      <c r="T74" s="27">
        <f>T$67*$C$10*SUMPRODUCT((Dispatch!$A$5:$A$52=$C$39)*(Dispatch!$B$5:$B$52="expMWh")*Dispatch!$R$5:$R$52)</f>
        <v>0.0</v>
      </c>
      <c r="U74" s="27">
        <f>U$67*$C$10*SUMPRODUCT((Dispatch!$A$5:$A$52=$C$39)*(Dispatch!$B$5:$B$52="expMWh")*Dispatch!$S$5:$S$52)</f>
        <v>0.0</v>
      </c>
      <c r="V74" s="27">
        <f>V$67*$C$10*SUMPRODUCT((Dispatch!$A$5:$A$52=$C$39)*(Dispatch!$B$5:$B$52="expMWh")*Dispatch!$T$5:$T$52)</f>
        <v>0.0</v>
      </c>
      <c r="W74" s="27">
        <f>W$67*$C$10*SUMPRODUCT((Dispatch!$A$5:$A$52=$C$39)*(Dispatch!$B$5:$B$52="expMWh")*Dispatch!$U$5:$U$52)</f>
        <v>0.0</v>
      </c>
      <c r="X74" s="27">
        <f>X$67*$C$10*SUMPRODUCT((Dispatch!$A$5:$A$52=$C$39)*(Dispatch!$B$5:$B$52="expMWh")*Dispatch!$V$5:$V$52)</f>
        <v>0.0</v>
      </c>
      <c r="Y74" s="27">
        <f>Y$67*$C$10*SUMPRODUCT((Dispatch!$A$5:$A$52=$C$39)*(Dispatch!$B$5:$B$52="expMWh")*Dispatch!$W$5:$W$52)</f>
        <v>0.0</v>
      </c>
      <c r="Z74" s="27">
        <f>Z$67*$C$10*SUMPRODUCT((Dispatch!$A$5:$A$52=$C$39)*(Dispatch!$B$5:$B$52="expMWh")*Dispatch!$X$5:$X$52)</f>
        <v>0.0</v>
      </c>
      <c r="AA74" s="27">
        <f>AA$67*$C$10*SUMPRODUCT((Dispatch!$A$5:$A$52=$C$39)*(Dispatch!$B$5:$B$52="expMWh")*Dispatch!$Y$5:$Y$52)</f>
        <v>0.0</v>
      </c>
      <c r="AB74" s="27">
        <f>AB$67*$C$10*SUMPRODUCT((Dispatch!$A$5:$A$52=$C$39)*(Dispatch!$B$5:$B$52="expMWh")*Dispatch!$Z$5:$Z$52)</f>
        <v>0.0</v>
      </c>
      <c r="AC74" s="27">
        <f>AC$67*$C$10*SUMPRODUCT((Dispatch!$A$5:$A$52=$C$39)*(Dispatch!$B$5:$B$52="expMWh")*Dispatch!$AA$5:$AA$52)</f>
        <v>0.0</v>
      </c>
    </row>
    <row r="75">
      <c r="A75" s="6" t="inlineStr">
        <is>
          <t>IEX energy bought</t>
        </is>
      </c>
      <c r="B75" s="2" t="inlineStr">
        <is>
          <t>MWh</t>
        </is>
      </c>
      <c r="E75" s="27">
        <f>E$67*(1-$C$10)*$C$19*Assumptions!$B$62*Assumptions!$B$41*E$70</f>
        <v>255952.56252342585</v>
      </c>
      <c r="F75" s="27">
        <f>F$67*(1-$C$10)*$C$19*Assumptions!$B$62*Assumptions!$B$41*F$70</f>
        <v>252084.26183037658</v>
      </c>
      <c r="G75" s="27">
        <f>G$67*(1-$C$10)*$C$19*Assumptions!$B$62*Assumptions!$B$41*G$70</f>
        <v>248215.9611373273</v>
      </c>
      <c r="H75" s="27">
        <f>H$67*(1-$C$10)*$C$19*Assumptions!$B$62*Assumptions!$B$41*H$70</f>
        <v>244347.66044427807</v>
      </c>
      <c r="I75" s="27">
        <f>I$67*(1-$C$10)*$C$19*Assumptions!$B$62*Assumptions!$B$41*I$70</f>
        <v>240479.35975122883</v>
      </c>
      <c r="J75" s="27">
        <f>J$67*(1-$C$10)*$C$19*Assumptions!$B$62*Assumptions!$B$41*J$70</f>
        <v>236611.05905817955</v>
      </c>
      <c r="K75" s="27">
        <f>K$67*(1-$C$10)*$C$19*Assumptions!$B$62*Assumptions!$B$41*K$70</f>
        <v>232742.75836513028</v>
      </c>
      <c r="L75" s="27">
        <f>L$67*(1-$C$10)*$C$19*Assumptions!$B$62*Assumptions!$B$41*L$70</f>
        <v>228874.45767208101</v>
      </c>
      <c r="M75" s="27">
        <f>M$67*(1-$C$10)*$C$19*Assumptions!$B$62*Assumptions!$B$41*M$70</f>
        <v>225006.15697903177</v>
      </c>
      <c r="N75" s="27">
        <f>N$67*(1-$C$10)*$C$19*Assumptions!$B$62*Assumptions!$B$41*N$70</f>
        <v>221137.85628598253</v>
      </c>
      <c r="O75" s="27">
        <f>O$67*(1-$C$10)*$C$19*Assumptions!$B$62*Assumptions!$B$41*O$70</f>
        <v>217269.55559293326</v>
      </c>
      <c r="P75" s="27">
        <f>P$67*(1-$C$10)*$C$19*Assumptions!$B$62*Assumptions!$B$41*P$70</f>
        <v>213401.25489988402</v>
      </c>
      <c r="Q75" s="27">
        <f>Q$67*(1-$C$10)*$C$19*Assumptions!$B$62*Assumptions!$B$41*Q$70</f>
        <v>255952.56252342585</v>
      </c>
      <c r="R75" s="27">
        <f>R$67*(1-$C$10)*$C$19*Assumptions!$B$62*Assumptions!$B$41*R$70</f>
        <v>252084.26183037658</v>
      </c>
      <c r="S75" s="27">
        <f>S$67*(1-$C$10)*$C$19*Assumptions!$B$62*Assumptions!$B$41*S$70</f>
        <v>248215.9611373273</v>
      </c>
      <c r="T75" s="27">
        <f>T$67*(1-$C$10)*$C$19*Assumptions!$B$62*Assumptions!$B$41*T$70</f>
        <v>244347.66044427807</v>
      </c>
      <c r="U75" s="27">
        <f>U$67*(1-$C$10)*$C$19*Assumptions!$B$62*Assumptions!$B$41*U$70</f>
        <v>240479.35975122883</v>
      </c>
      <c r="V75" s="27">
        <f>V$67*(1-$C$10)*$C$19*Assumptions!$B$62*Assumptions!$B$41*V$70</f>
        <v>236611.05905817955</v>
      </c>
      <c r="W75" s="27">
        <f>W$67*(1-$C$10)*$C$19*Assumptions!$B$62*Assumptions!$B$41*W$70</f>
        <v>232742.75836513028</v>
      </c>
      <c r="X75" s="27">
        <f>X$67*(1-$C$10)*$C$19*Assumptions!$B$62*Assumptions!$B$41*X$70</f>
        <v>228874.45767208101</v>
      </c>
      <c r="Y75" s="27">
        <f>Y$67*(1-$C$10)*$C$19*Assumptions!$B$62*Assumptions!$B$41*Y$70</f>
        <v>225006.15697903177</v>
      </c>
      <c r="Z75" s="27">
        <f>Z$67*(1-$C$10)*$C$19*Assumptions!$B$62*Assumptions!$B$41*Z$70</f>
        <v>221137.85628598253</v>
      </c>
      <c r="AA75" s="27">
        <f>AA$67*(1-$C$10)*$C$19*Assumptions!$B$62*Assumptions!$B$41*AA$70</f>
        <v>217269.55559293326</v>
      </c>
      <c r="AB75" s="27">
        <f>AB$67*(1-$C$10)*$C$19*Assumptions!$B$62*Assumptions!$B$41*AB$70</f>
        <v>213401.25489988402</v>
      </c>
      <c r="AC75" s="27">
        <f>AC$67*(1-$C$10)*$C$19*Assumptions!$B$62*Assumptions!$B$41*AC$70</f>
        <v>209532.95420683475</v>
      </c>
    </row>
    <row r="76">
      <c r="A76" s="6" t="inlineStr">
        <is>
          <t>BESS evening sales</t>
        </is>
      </c>
      <c r="B76" s="2" t="inlineStr">
        <is>
          <t>₹ Cr</t>
        </is>
      </c>
      <c r="E76" s="36">
        <f>E$67*E$71*IF($C$10=1,SUMPRODUCT((Dispatch!$A$5:$A$52=$C$39)*(Dispatch!$B$5:$B$52="bessRev")*Dispatch!$C$5:$C$52),$C$15*Assumptions!$B$62*Assumptions!$B$41*E$70*$C$37/10000000)</f>
        <v>170.45905734</v>
      </c>
      <c r="F76" s="36">
        <f>F$67*F$71*IF($C$10=1,SUMPRODUCT((Dispatch!$A$5:$A$52=$C$39)*(Dispatch!$B$5:$B$52="bessRev")*Dispatch!$D$5:$D$52),$C$15*Assumptions!$B$62*Assumptions!$B$41*F$70*$C$37/10000000)</f>
        <v>167.88284992428208</v>
      </c>
      <c r="G76" s="36">
        <f>G$67*G$71*IF($C$10=1,SUMPRODUCT((Dispatch!$A$5:$A$52=$C$39)*(Dispatch!$B$5:$B$52="bessRev")*Dispatch!$E$5:$E$52),$C$15*Assumptions!$B$62*Assumptions!$B$41*G$70*$C$37/10000000)</f>
        <v>165.3066425085642</v>
      </c>
      <c r="H76" s="36">
        <f>H$67*H$71*IF($C$10=1,SUMPRODUCT((Dispatch!$A$5:$A$52=$C$39)*(Dispatch!$B$5:$B$52="bessRev")*Dispatch!$F$5:$F$52),$C$15*Assumptions!$B$62*Assumptions!$B$41*H$70*$C$37/10000000)</f>
        <v>162.73043509284634</v>
      </c>
      <c r="I76" s="36">
        <f>I$67*I$71*IF($C$10=1,SUMPRODUCT((Dispatch!$A$5:$A$52=$C$39)*(Dispatch!$B$5:$B$52="bessRev")*Dispatch!$G$5:$G$52),$C$15*Assumptions!$B$62*Assumptions!$B$41*I$70*$C$37/10000000)</f>
        <v>160.15422767712843</v>
      </c>
      <c r="J76" s="36">
        <f>J$67*J$71*IF($C$10=1,SUMPRODUCT((Dispatch!$A$5:$A$52=$C$39)*(Dispatch!$B$5:$B$52="bessRev")*Dispatch!$H$5:$H$52),$C$15*Assumptions!$B$62*Assumptions!$B$41*J$70*$C$37/10000000)</f>
        <v>157.57802026141056</v>
      </c>
      <c r="K76" s="36">
        <f>K$67*K$71*IF($C$10=1,SUMPRODUCT((Dispatch!$A$5:$A$52=$C$39)*(Dispatch!$B$5:$B$52="bessRev")*Dispatch!$I$5:$I$52),$C$15*Assumptions!$B$62*Assumptions!$B$41*K$70*$C$37/10000000)</f>
        <v>155.00181284569265</v>
      </c>
      <c r="L76" s="36">
        <f>L$67*L$71*IF($C$10=1,SUMPRODUCT((Dispatch!$A$5:$A$52=$C$39)*(Dispatch!$B$5:$B$52="bessRev")*Dispatch!$J$5:$J$52),$C$15*Assumptions!$B$62*Assumptions!$B$41*L$70*$C$37/10000000)</f>
        <v>152.42560542997478</v>
      </c>
      <c r="M76" s="36">
        <f>M$67*M$71*IF($C$10=1,SUMPRODUCT((Dispatch!$A$5:$A$52=$C$39)*(Dispatch!$B$5:$B$52="bessRev")*Dispatch!$K$5:$K$52),$C$15*Assumptions!$B$62*Assumptions!$B$41*M$70*$C$37/10000000)</f>
        <v>149.8493980142569</v>
      </c>
      <c r="N76" s="36">
        <f>N$67*N$71*IF($C$10=1,SUMPRODUCT((Dispatch!$A$5:$A$52=$C$39)*(Dispatch!$B$5:$B$52="bessRev")*Dispatch!$L$5:$L$52),$C$15*Assumptions!$B$62*Assumptions!$B$41*N$70*$C$37/10000000)</f>
        <v>147.27319059853903</v>
      </c>
      <c r="O76" s="36">
        <f>O$67*O$71*IF($C$10=1,SUMPRODUCT((Dispatch!$A$5:$A$52=$C$39)*(Dispatch!$B$5:$B$52="bessRev")*Dispatch!$M$5:$M$52),$C$15*Assumptions!$B$62*Assumptions!$B$41*O$70*$C$37/10000000)</f>
        <v>144.69698318282116</v>
      </c>
      <c r="P76" s="36">
        <f>P$67*P$71*IF($C$10=1,SUMPRODUCT((Dispatch!$A$5:$A$52=$C$39)*(Dispatch!$B$5:$B$52="bessRev")*Dispatch!$N$5:$N$52),$C$15*Assumptions!$B$62*Assumptions!$B$41*P$70*$C$37/10000000)</f>
        <v>142.12077576710325</v>
      </c>
      <c r="Q76" s="36">
        <f>Q$67*Q$71*IF($C$10=1,SUMPRODUCT((Dispatch!$A$5:$A$52=$C$39)*(Dispatch!$B$5:$B$52="bessRev")*Dispatch!$O$5:$O$52),$C$15*Assumptions!$B$62*Assumptions!$B$41*Q$70*$C$37/10000000)</f>
        <v>170.45905734</v>
      </c>
      <c r="R76" s="36">
        <f>R$67*R$71*IF($C$10=1,SUMPRODUCT((Dispatch!$A$5:$A$52=$C$39)*(Dispatch!$B$5:$B$52="bessRev")*Dispatch!$P$5:$P$52),$C$15*Assumptions!$B$62*Assumptions!$B$41*R$70*$C$37/10000000)</f>
        <v>167.88284992428208</v>
      </c>
      <c r="S76" s="36">
        <f>S$67*S$71*IF($C$10=1,SUMPRODUCT((Dispatch!$A$5:$A$52=$C$39)*(Dispatch!$B$5:$B$52="bessRev")*Dispatch!$Q$5:$Q$52),$C$15*Assumptions!$B$62*Assumptions!$B$41*S$70*$C$37/10000000)</f>
        <v>165.3066425085642</v>
      </c>
      <c r="T76" s="36">
        <f>T$67*T$71*IF($C$10=1,SUMPRODUCT((Dispatch!$A$5:$A$52=$C$39)*(Dispatch!$B$5:$B$52="bessRev")*Dispatch!$R$5:$R$52),$C$15*Assumptions!$B$62*Assumptions!$B$41*T$70*$C$37/10000000)</f>
        <v>162.73043509284634</v>
      </c>
      <c r="U76" s="36">
        <f>U$67*U$71*IF($C$10=1,SUMPRODUCT((Dispatch!$A$5:$A$52=$C$39)*(Dispatch!$B$5:$B$52="bessRev")*Dispatch!$S$5:$S$52),$C$15*Assumptions!$B$62*Assumptions!$B$41*U$70*$C$37/10000000)</f>
        <v>160.15422767712843</v>
      </c>
      <c r="V76" s="36">
        <f>V$67*V$71*IF($C$10=1,SUMPRODUCT((Dispatch!$A$5:$A$52=$C$39)*(Dispatch!$B$5:$B$52="bessRev")*Dispatch!$T$5:$T$52),$C$15*Assumptions!$B$62*Assumptions!$B$41*V$70*$C$37/10000000)</f>
        <v>157.57802026141056</v>
      </c>
      <c r="W76" s="36">
        <f>W$67*W$71*IF($C$10=1,SUMPRODUCT((Dispatch!$A$5:$A$52=$C$39)*(Dispatch!$B$5:$B$52="bessRev")*Dispatch!$U$5:$U$52),$C$15*Assumptions!$B$62*Assumptions!$B$41*W$70*$C$37/10000000)</f>
        <v>155.00181284569265</v>
      </c>
      <c r="X76" s="36">
        <f>X$67*X$71*IF($C$10=1,SUMPRODUCT((Dispatch!$A$5:$A$52=$C$39)*(Dispatch!$B$5:$B$52="bessRev")*Dispatch!$V$5:$V$52),$C$15*Assumptions!$B$62*Assumptions!$B$41*X$70*$C$37/10000000)</f>
        <v>152.42560542997478</v>
      </c>
      <c r="Y76" s="36">
        <f>Y$67*Y$71*IF($C$10=1,SUMPRODUCT((Dispatch!$A$5:$A$52=$C$39)*(Dispatch!$B$5:$B$52="bessRev")*Dispatch!$W$5:$W$52),$C$15*Assumptions!$B$62*Assumptions!$B$41*Y$70*$C$37/10000000)</f>
        <v>149.8493980142569</v>
      </c>
      <c r="Z76" s="36">
        <f>Z$67*Z$71*IF($C$10=1,SUMPRODUCT((Dispatch!$A$5:$A$52=$C$39)*(Dispatch!$B$5:$B$52="bessRev")*Dispatch!$X$5:$X$52),$C$15*Assumptions!$B$62*Assumptions!$B$41*Z$70*$C$37/10000000)</f>
        <v>147.27319059853903</v>
      </c>
      <c r="AA76" s="36">
        <f>AA$67*AA$71*IF($C$10=1,SUMPRODUCT((Dispatch!$A$5:$A$52=$C$39)*(Dispatch!$B$5:$B$52="bessRev")*Dispatch!$Y$5:$Y$52),$C$15*Assumptions!$B$62*Assumptions!$B$41*AA$70*$C$37/10000000)</f>
        <v>144.69698318282116</v>
      </c>
      <c r="AB76" s="36">
        <f>AB$67*AB$71*IF($C$10=1,SUMPRODUCT((Dispatch!$A$5:$A$52=$C$39)*(Dispatch!$B$5:$B$52="bessRev")*Dispatch!$Z$5:$Z$52),$C$15*Assumptions!$B$62*Assumptions!$B$41*AB$70*$C$37/10000000)</f>
        <v>142.12077576710325</v>
      </c>
      <c r="AC76" s="36">
        <f>AC$67*AC$71*IF($C$10=1,SUMPRODUCT((Dispatch!$A$5:$A$52=$C$39)*(Dispatch!$B$5:$B$52="bessRev")*Dispatch!$AA$5:$AA$52),$C$15*Assumptions!$B$62*Assumptions!$B$41*AC$70*$C$37/10000000)</f>
        <v>139.54456835138538</v>
      </c>
    </row>
    <row r="77">
      <c r="A77" s="6" t="inlineStr">
        <is>
          <t>Surplus solar sales</t>
        </is>
      </c>
      <c r="B77" s="2" t="inlineStr">
        <is>
          <t>₹ Cr</t>
        </is>
      </c>
      <c r="E77" s="36">
        <f>E$67*E$71*$C$10*SUMPRODUCT((Dispatch!$A$5:$A$52=$C$39)*(Dispatch!$B$5:$B$52="expRev")*Dispatch!$C$5:$C$52)</f>
        <v>0.0</v>
      </c>
      <c r="F77" s="36">
        <f>F$67*F$71*$C$10*SUMPRODUCT((Dispatch!$A$5:$A$52=$C$39)*(Dispatch!$B$5:$B$52="expRev")*Dispatch!$D$5:$D$52)</f>
        <v>0.0</v>
      </c>
      <c r="G77" s="36">
        <f>G$67*G$71*$C$10*SUMPRODUCT((Dispatch!$A$5:$A$52=$C$39)*(Dispatch!$B$5:$B$52="expRev")*Dispatch!$E$5:$E$52)</f>
        <v>0.0</v>
      </c>
      <c r="H77" s="36">
        <f>H$67*H$71*$C$10*SUMPRODUCT((Dispatch!$A$5:$A$52=$C$39)*(Dispatch!$B$5:$B$52="expRev")*Dispatch!$F$5:$F$52)</f>
        <v>0.0</v>
      </c>
      <c r="I77" s="36">
        <f>I$67*I$71*$C$10*SUMPRODUCT((Dispatch!$A$5:$A$52=$C$39)*(Dispatch!$B$5:$B$52="expRev")*Dispatch!$G$5:$G$52)</f>
        <v>0.0</v>
      </c>
      <c r="J77" s="36">
        <f>J$67*J$71*$C$10*SUMPRODUCT((Dispatch!$A$5:$A$52=$C$39)*(Dispatch!$B$5:$B$52="expRev")*Dispatch!$H$5:$H$52)</f>
        <v>0.0</v>
      </c>
      <c r="K77" s="36">
        <f>K$67*K$71*$C$10*SUMPRODUCT((Dispatch!$A$5:$A$52=$C$39)*(Dispatch!$B$5:$B$52="expRev")*Dispatch!$I$5:$I$52)</f>
        <v>0.0</v>
      </c>
      <c r="L77" s="36">
        <f>L$67*L$71*$C$10*SUMPRODUCT((Dispatch!$A$5:$A$52=$C$39)*(Dispatch!$B$5:$B$52="expRev")*Dispatch!$J$5:$J$52)</f>
        <v>0.0</v>
      </c>
      <c r="M77" s="36">
        <f>M$67*M$71*$C$10*SUMPRODUCT((Dispatch!$A$5:$A$52=$C$39)*(Dispatch!$B$5:$B$52="expRev")*Dispatch!$K$5:$K$52)</f>
        <v>0.0</v>
      </c>
      <c r="N77" s="36">
        <f>N$67*N$71*$C$10*SUMPRODUCT((Dispatch!$A$5:$A$52=$C$39)*(Dispatch!$B$5:$B$52="expRev")*Dispatch!$L$5:$L$52)</f>
        <v>0.0</v>
      </c>
      <c r="O77" s="36">
        <f>O$67*O$71*$C$10*SUMPRODUCT((Dispatch!$A$5:$A$52=$C$39)*(Dispatch!$B$5:$B$52="expRev")*Dispatch!$M$5:$M$52)</f>
        <v>0.0</v>
      </c>
      <c r="P77" s="36">
        <f>P$67*P$71*$C$10*SUMPRODUCT((Dispatch!$A$5:$A$52=$C$39)*(Dispatch!$B$5:$B$52="expRev")*Dispatch!$N$5:$N$52)</f>
        <v>0.0</v>
      </c>
      <c r="Q77" s="36">
        <f>Q$67*Q$71*$C$10*SUMPRODUCT((Dispatch!$A$5:$A$52=$C$39)*(Dispatch!$B$5:$B$52="expRev")*Dispatch!$O$5:$O$52)</f>
        <v>0.0</v>
      </c>
      <c r="R77" s="36">
        <f>R$67*R$71*$C$10*SUMPRODUCT((Dispatch!$A$5:$A$52=$C$39)*(Dispatch!$B$5:$B$52="expRev")*Dispatch!$P$5:$P$52)</f>
        <v>0.0</v>
      </c>
      <c r="S77" s="36">
        <f>S$67*S$71*$C$10*SUMPRODUCT((Dispatch!$A$5:$A$52=$C$39)*(Dispatch!$B$5:$B$52="expRev")*Dispatch!$Q$5:$Q$52)</f>
        <v>0.0</v>
      </c>
      <c r="T77" s="36">
        <f>T$67*T$71*$C$10*SUMPRODUCT((Dispatch!$A$5:$A$52=$C$39)*(Dispatch!$B$5:$B$52="expRev")*Dispatch!$R$5:$R$52)</f>
        <v>0.0</v>
      </c>
      <c r="U77" s="36">
        <f>U$67*U$71*$C$10*SUMPRODUCT((Dispatch!$A$5:$A$52=$C$39)*(Dispatch!$B$5:$B$52="expRev")*Dispatch!$S$5:$S$52)</f>
        <v>0.0</v>
      </c>
      <c r="V77" s="36">
        <f>V$67*V$71*$C$10*SUMPRODUCT((Dispatch!$A$5:$A$52=$C$39)*(Dispatch!$B$5:$B$52="expRev")*Dispatch!$T$5:$T$52)</f>
        <v>0.0</v>
      </c>
      <c r="W77" s="36">
        <f>W$67*W$71*$C$10*SUMPRODUCT((Dispatch!$A$5:$A$52=$C$39)*(Dispatch!$B$5:$B$52="expRev")*Dispatch!$U$5:$U$52)</f>
        <v>0.0</v>
      </c>
      <c r="X77" s="36">
        <f>X$67*X$71*$C$10*SUMPRODUCT((Dispatch!$A$5:$A$52=$C$39)*(Dispatch!$B$5:$B$52="expRev")*Dispatch!$V$5:$V$52)</f>
        <v>0.0</v>
      </c>
      <c r="Y77" s="36">
        <f>Y$67*Y$71*$C$10*SUMPRODUCT((Dispatch!$A$5:$A$52=$C$39)*(Dispatch!$B$5:$B$52="expRev")*Dispatch!$W$5:$W$52)</f>
        <v>0.0</v>
      </c>
      <c r="Z77" s="36">
        <f>Z$67*Z$71*$C$10*SUMPRODUCT((Dispatch!$A$5:$A$52=$C$39)*(Dispatch!$B$5:$B$52="expRev")*Dispatch!$X$5:$X$52)</f>
        <v>0.0</v>
      </c>
      <c r="AA77" s="36">
        <f>AA$67*AA$71*$C$10*SUMPRODUCT((Dispatch!$A$5:$A$52=$C$39)*(Dispatch!$B$5:$B$52="expRev")*Dispatch!$Y$5:$Y$52)</f>
        <v>0.0</v>
      </c>
      <c r="AB77" s="36">
        <f>AB$67*AB$71*$C$10*SUMPRODUCT((Dispatch!$A$5:$A$52=$C$39)*(Dispatch!$B$5:$B$52="expRev")*Dispatch!$Z$5:$Z$52)</f>
        <v>0.0</v>
      </c>
      <c r="AC77" s="36">
        <f>AC$67*AC$71*$C$10*SUMPRODUCT((Dispatch!$A$5:$A$52=$C$39)*(Dispatch!$B$5:$B$52="expRev")*Dispatch!$AA$5:$AA$52)</f>
        <v>0.0</v>
      </c>
    </row>
    <row r="78">
      <c r="A78" s="5" t="inlineStr">
        <is>
          <t>Revenue</t>
        </is>
      </c>
      <c r="B78" s="2" t="inlineStr">
        <is>
          <t>₹ Cr</t>
        </is>
      </c>
      <c r="E78" s="47">
        <f>E$76+E$77</f>
        <v>170.45905734</v>
      </c>
      <c r="F78" s="47">
        <f>F$76+F$77</f>
        <v>167.88284992428208</v>
      </c>
      <c r="G78" s="47">
        <f>G$76+G$77</f>
        <v>165.3066425085642</v>
      </c>
      <c r="H78" s="47">
        <f>H$76+H$77</f>
        <v>162.73043509284634</v>
      </c>
      <c r="I78" s="47">
        <f>I$76+I$77</f>
        <v>160.15422767712843</v>
      </c>
      <c r="J78" s="47">
        <f>J$76+J$77</f>
        <v>157.57802026141056</v>
      </c>
      <c r="K78" s="47">
        <f>K$76+K$77</f>
        <v>155.00181284569265</v>
      </c>
      <c r="L78" s="47">
        <f>L$76+L$77</f>
        <v>152.42560542997478</v>
      </c>
      <c r="M78" s="47">
        <f>M$76+M$77</f>
        <v>149.8493980142569</v>
      </c>
      <c r="N78" s="47">
        <f>N$76+N$77</f>
        <v>147.27319059853903</v>
      </c>
      <c r="O78" s="47">
        <f>O$76+O$77</f>
        <v>144.69698318282116</v>
      </c>
      <c r="P78" s="47">
        <f>P$76+P$77</f>
        <v>142.12077576710325</v>
      </c>
      <c r="Q78" s="47">
        <f>Q$76+Q$77</f>
        <v>170.45905734</v>
      </c>
      <c r="R78" s="47">
        <f>R$76+R$77</f>
        <v>167.88284992428208</v>
      </c>
      <c r="S78" s="47">
        <f>S$76+S$77</f>
        <v>165.3066425085642</v>
      </c>
      <c r="T78" s="47">
        <f>T$76+T$77</f>
        <v>162.73043509284634</v>
      </c>
      <c r="U78" s="47">
        <f>U$76+U$77</f>
        <v>160.15422767712843</v>
      </c>
      <c r="V78" s="47">
        <f>V$76+V$77</f>
        <v>157.57802026141056</v>
      </c>
      <c r="W78" s="47">
        <f>W$76+W$77</f>
        <v>155.00181284569265</v>
      </c>
      <c r="X78" s="47">
        <f>X$76+X$77</f>
        <v>152.42560542997478</v>
      </c>
      <c r="Y78" s="47">
        <f>Y$76+Y$77</f>
        <v>149.8493980142569</v>
      </c>
      <c r="Z78" s="47">
        <f>Z$76+Z$77</f>
        <v>147.27319059853903</v>
      </c>
      <c r="AA78" s="47">
        <f>AA$76+AA$77</f>
        <v>144.69698318282116</v>
      </c>
      <c r="AB78" s="47">
        <f>AB$76+AB$77</f>
        <v>142.12077576710325</v>
      </c>
      <c r="AC78" s="47">
        <f>AC$76+AC$77</f>
        <v>139.54456835138538</v>
      </c>
    </row>
    <row r="79">
      <c r="A79" s="6" t="inlineStr">
        <is>
          <t>IEX purchase</t>
        </is>
      </c>
      <c r="B79" s="2" t="inlineStr">
        <is>
          <t>₹ Cr</t>
        </is>
      </c>
      <c r="E79" s="36">
        <f>E$75*$C$33/10000000*E$71</f>
        <v>46.29447272194331</v>
      </c>
      <c r="F79" s="36">
        <f>F$75*$C$33/10000000*F$71</f>
        <v>45.59480814680058</v>
      </c>
      <c r="G79" s="36">
        <f>G$75*$C$33/10000000*G$71</f>
        <v>44.89514357165786</v>
      </c>
      <c r="H79" s="36">
        <f>H$75*$C$33/10000000*H$71</f>
        <v>44.19547899651514</v>
      </c>
      <c r="I79" s="36">
        <f>I$75*$C$33/10000000*I$71</f>
        <v>43.49581442137242</v>
      </c>
      <c r="J79" s="36">
        <f>J$75*$C$33/10000000*J$71</f>
        <v>42.79614984622971</v>
      </c>
      <c r="K79" s="36">
        <f>K$75*$C$33/10000000*K$71</f>
        <v>42.09648527108698</v>
      </c>
      <c r="L79" s="36">
        <f>L$75*$C$33/10000000*L$71</f>
        <v>41.396820695944264</v>
      </c>
      <c r="M79" s="36">
        <f>M$75*$C$33/10000000*M$71</f>
        <v>40.697156120801544</v>
      </c>
      <c r="N79" s="36">
        <f>N$75*$C$33/10000000*N$71</f>
        <v>39.997491545658825</v>
      </c>
      <c r="O79" s="36">
        <f>O$75*$C$33/10000000*O$71</f>
        <v>39.297826970516105</v>
      </c>
      <c r="P79" s="36">
        <f>P$75*$C$33/10000000*P$71</f>
        <v>38.598162395373386</v>
      </c>
      <c r="Q79" s="36">
        <f>Q$75*$C$33/10000000*Q$71</f>
        <v>46.29447272194331</v>
      </c>
      <c r="R79" s="36">
        <f>R$75*$C$33/10000000*R$71</f>
        <v>45.59480814680058</v>
      </c>
      <c r="S79" s="36">
        <f>S$75*$C$33/10000000*S$71</f>
        <v>44.89514357165786</v>
      </c>
      <c r="T79" s="36">
        <f>T$75*$C$33/10000000*T$71</f>
        <v>44.19547899651514</v>
      </c>
      <c r="U79" s="36">
        <f>U$75*$C$33/10000000*U$71</f>
        <v>43.49581442137242</v>
      </c>
      <c r="V79" s="36">
        <f>V$75*$C$33/10000000*V$71</f>
        <v>42.79614984622971</v>
      </c>
      <c r="W79" s="36">
        <f>W$75*$C$33/10000000*W$71</f>
        <v>42.09648527108698</v>
      </c>
      <c r="X79" s="36">
        <f>X$75*$C$33/10000000*X$71</f>
        <v>41.396820695944264</v>
      </c>
      <c r="Y79" s="36">
        <f>Y$75*$C$33/10000000*Y$71</f>
        <v>40.697156120801544</v>
      </c>
      <c r="Z79" s="36">
        <f>Z$75*$C$33/10000000*Z$71</f>
        <v>39.997491545658825</v>
      </c>
      <c r="AA79" s="36">
        <f>AA$75*$C$33/10000000*AA$71</f>
        <v>39.297826970516105</v>
      </c>
      <c r="AB79" s="36">
        <f>AB$75*$C$33/10000000*AB$71</f>
        <v>38.598162395373386</v>
      </c>
      <c r="AC79" s="36">
        <f>AC$75*$C$33/10000000*AC$71</f>
        <v>37.89849782023066</v>
      </c>
    </row>
    <row r="80">
      <c r="A80" s="6" t="inlineStr">
        <is>
          <t>CTU charges (T-GNA per MWh drawn, or GNA fixed)</t>
        </is>
      </c>
      <c r="B80" s="2" t="inlineStr">
        <is>
          <t>₹ Cr</t>
        </is>
      </c>
      <c r="E80" s="36">
        <f>E$67*(1-$C$10)*IF($C$11=1,$C$5*Assumptions!$B$47*100000*12/10000000,E$75*Assumptions!$B$46/10000000)</f>
        <v>14.998820163872754</v>
      </c>
      <c r="F80" s="36">
        <f>F$67*(1-$C$10)*IF($C$11=1,$C$5*Assumptions!$B$47*100000*12/10000000,F$75*Assumptions!$B$46/10000000)</f>
        <v>14.772137743260068</v>
      </c>
      <c r="G80" s="36">
        <f>G$67*(1-$C$10)*IF($C$11=1,$C$5*Assumptions!$B$47*100000*12/10000000,G$75*Assumptions!$B$46/10000000)</f>
        <v>14.545455322647381</v>
      </c>
      <c r="H80" s="36">
        <f>H$67*(1-$C$10)*IF($C$11=1,$C$5*Assumptions!$B$47*100000*12/10000000,H$75*Assumptions!$B$46/10000000)</f>
        <v>14.318772902034693</v>
      </c>
      <c r="I80" s="36">
        <f>I$67*(1-$C$10)*IF($C$11=1,$C$5*Assumptions!$B$47*100000*12/10000000,I$75*Assumptions!$B$46/10000000)</f>
        <v>14.09209048142201</v>
      </c>
      <c r="J80" s="36">
        <f>J$67*(1-$C$10)*IF($C$11=1,$C$5*Assumptions!$B$47*100000*12/10000000,J$75*Assumptions!$B$46/10000000)</f>
        <v>13.865408060809322</v>
      </c>
      <c r="K80" s="36">
        <f>K$67*(1-$C$10)*IF($C$11=1,$C$5*Assumptions!$B$47*100000*12/10000000,K$75*Assumptions!$B$46/10000000)</f>
        <v>13.638725640196633</v>
      </c>
      <c r="L80" s="36">
        <f>L$67*(1-$C$10)*IF($C$11=1,$C$5*Assumptions!$B$47*100000*12/10000000,L$75*Assumptions!$B$46/10000000)</f>
        <v>13.412043219583948</v>
      </c>
      <c r="M80" s="36">
        <f>M$67*(1-$C$10)*IF($C$11=1,$C$5*Assumptions!$B$47*100000*12/10000000,M$75*Assumptions!$B$46/10000000)</f>
        <v>13.185360798971262</v>
      </c>
      <c r="N80" s="36">
        <f>N$67*(1-$C$10)*IF($C$11=1,$C$5*Assumptions!$B$47*100000*12/10000000,N$75*Assumptions!$B$46/10000000)</f>
        <v>12.958678378358576</v>
      </c>
      <c r="O80" s="36">
        <f>O$67*(1-$C$10)*IF($C$11=1,$C$5*Assumptions!$B$47*100000*12/10000000,O$75*Assumptions!$B$46/10000000)</f>
        <v>12.73199595774589</v>
      </c>
      <c r="P80" s="36">
        <f>P$67*(1-$C$10)*IF($C$11=1,$C$5*Assumptions!$B$47*100000*12/10000000,P$75*Assumptions!$B$46/10000000)</f>
        <v>12.505313537133203</v>
      </c>
      <c r="Q80" s="36">
        <f>Q$67*(1-$C$10)*IF($C$11=1,$C$5*Assumptions!$B$47*100000*12/10000000,Q$75*Assumptions!$B$46/10000000)</f>
        <v>14.998820163872754</v>
      </c>
      <c r="R80" s="36">
        <f>R$67*(1-$C$10)*IF($C$11=1,$C$5*Assumptions!$B$47*100000*12/10000000,R$75*Assumptions!$B$46/10000000)</f>
        <v>14.772137743260068</v>
      </c>
      <c r="S80" s="36">
        <f>S$67*(1-$C$10)*IF($C$11=1,$C$5*Assumptions!$B$47*100000*12/10000000,S$75*Assumptions!$B$46/10000000)</f>
        <v>14.545455322647381</v>
      </c>
      <c r="T80" s="36">
        <f>T$67*(1-$C$10)*IF($C$11=1,$C$5*Assumptions!$B$47*100000*12/10000000,T$75*Assumptions!$B$46/10000000)</f>
        <v>14.318772902034693</v>
      </c>
      <c r="U80" s="36">
        <f>U$67*(1-$C$10)*IF($C$11=1,$C$5*Assumptions!$B$47*100000*12/10000000,U$75*Assumptions!$B$46/10000000)</f>
        <v>14.09209048142201</v>
      </c>
      <c r="V80" s="36">
        <f>V$67*(1-$C$10)*IF($C$11=1,$C$5*Assumptions!$B$47*100000*12/10000000,V$75*Assumptions!$B$46/10000000)</f>
        <v>13.865408060809322</v>
      </c>
      <c r="W80" s="36">
        <f>W$67*(1-$C$10)*IF($C$11=1,$C$5*Assumptions!$B$47*100000*12/10000000,W$75*Assumptions!$B$46/10000000)</f>
        <v>13.638725640196633</v>
      </c>
      <c r="X80" s="36">
        <f>X$67*(1-$C$10)*IF($C$11=1,$C$5*Assumptions!$B$47*100000*12/10000000,X$75*Assumptions!$B$46/10000000)</f>
        <v>13.412043219583948</v>
      </c>
      <c r="Y80" s="36">
        <f>Y$67*(1-$C$10)*IF($C$11=1,$C$5*Assumptions!$B$47*100000*12/10000000,Y$75*Assumptions!$B$46/10000000)</f>
        <v>13.185360798971262</v>
      </c>
      <c r="Z80" s="36">
        <f>Z$67*(1-$C$10)*IF($C$11=1,$C$5*Assumptions!$B$47*100000*12/10000000,Z$75*Assumptions!$B$46/10000000)</f>
        <v>12.958678378358576</v>
      </c>
      <c r="AA80" s="36">
        <f>AA$67*(1-$C$10)*IF($C$11=1,$C$5*Assumptions!$B$47*100000*12/10000000,AA$75*Assumptions!$B$46/10000000)</f>
        <v>12.73199595774589</v>
      </c>
      <c r="AB80" s="36">
        <f>AB$67*(1-$C$10)*IF($C$11=1,$C$5*Assumptions!$B$47*100000*12/10000000,AB$75*Assumptions!$B$46/10000000)</f>
        <v>12.505313537133203</v>
      </c>
      <c r="AC80" s="36">
        <f>AC$67*(1-$C$10)*IF($C$11=1,$C$5*Assumptions!$B$47*100000*12/10000000,AC$75*Assumptions!$B$46/10000000)</f>
        <v>12.278631116520517</v>
      </c>
    </row>
    <row r="81">
      <c r="A81" s="6" t="inlineStr">
        <is>
          <t>IEX transaction fees</t>
        </is>
      </c>
      <c r="B81" s="2" t="inlineStr">
        <is>
          <t>₹ Cr</t>
        </is>
      </c>
      <c r="E81" s="36">
        <f>(E$75+E$73+E$74)*Assumptions!$B$48/10000000</f>
        <v>0.7091438437851388</v>
      </c>
      <c r="F81" s="36">
        <f>(F$75+F$73+F$74)*Assumptions!$B$48/10000000</f>
        <v>0.6984263045843558</v>
      </c>
      <c r="G81" s="36">
        <f>(G$75+G$73+G$74)*Assumptions!$B$48/10000000</f>
        <v>0.6877087653835728</v>
      </c>
      <c r="H81" s="36">
        <f>(H$75+H$73+H$74)*Assumptions!$B$48/10000000</f>
        <v>0.6769912261827898</v>
      </c>
      <c r="I81" s="36">
        <f>(I$75+I$73+I$74)*Assumptions!$B$48/10000000</f>
        <v>0.666273686982007</v>
      </c>
      <c r="J81" s="36">
        <f>(J$75+J$73+J$74)*Assumptions!$B$48/10000000</f>
        <v>0.655556147781224</v>
      </c>
      <c r="K81" s="36">
        <f>(K$75+K$73+K$74)*Assumptions!$B$48/10000000</f>
        <v>0.6448386085804411</v>
      </c>
      <c r="L81" s="36">
        <f>(L$75+L$73+L$74)*Assumptions!$B$48/10000000</f>
        <v>0.634121069379658</v>
      </c>
      <c r="M81" s="36">
        <f>(M$75+M$73+M$74)*Assumptions!$B$48/10000000</f>
        <v>0.6234035301788751</v>
      </c>
      <c r="N81" s="36">
        <f>(N$75+N$73+N$74)*Assumptions!$B$48/10000000</f>
        <v>0.6126859909780922</v>
      </c>
      <c r="O81" s="36">
        <f>(O$75+O$73+O$74)*Assumptions!$B$48/10000000</f>
        <v>0.6019684517773092</v>
      </c>
      <c r="P81" s="36">
        <f>(P$75+P$73+P$74)*Assumptions!$B$48/10000000</f>
        <v>0.5912509125765263</v>
      </c>
      <c r="Q81" s="36">
        <f>(Q$75+Q$73+Q$74)*Assumptions!$B$48/10000000</f>
        <v>0.7091438437851388</v>
      </c>
      <c r="R81" s="36">
        <f>(R$75+R$73+R$74)*Assumptions!$B$48/10000000</f>
        <v>0.6984263045843558</v>
      </c>
      <c r="S81" s="36">
        <f>(S$75+S$73+S$74)*Assumptions!$B$48/10000000</f>
        <v>0.6877087653835728</v>
      </c>
      <c r="T81" s="36">
        <f>(T$75+T$73+T$74)*Assumptions!$B$48/10000000</f>
        <v>0.6769912261827898</v>
      </c>
      <c r="U81" s="36">
        <f>(U$75+U$73+U$74)*Assumptions!$B$48/10000000</f>
        <v>0.666273686982007</v>
      </c>
      <c r="V81" s="36">
        <f>(V$75+V$73+V$74)*Assumptions!$B$48/10000000</f>
        <v>0.655556147781224</v>
      </c>
      <c r="W81" s="36">
        <f>(W$75+W$73+W$74)*Assumptions!$B$48/10000000</f>
        <v>0.6448386085804411</v>
      </c>
      <c r="X81" s="36">
        <f>(X$75+X$73+X$74)*Assumptions!$B$48/10000000</f>
        <v>0.634121069379658</v>
      </c>
      <c r="Y81" s="36">
        <f>(Y$75+Y$73+Y$74)*Assumptions!$B$48/10000000</f>
        <v>0.6234035301788751</v>
      </c>
      <c r="Z81" s="36">
        <f>(Z$75+Z$73+Z$74)*Assumptions!$B$48/10000000</f>
        <v>0.6126859909780922</v>
      </c>
      <c r="AA81" s="36">
        <f>(AA$75+AA$73+AA$74)*Assumptions!$B$48/10000000</f>
        <v>0.6019684517773092</v>
      </c>
      <c r="AB81" s="36">
        <f>(AB$75+AB$73+AB$74)*Assumptions!$B$48/10000000</f>
        <v>0.5912509125765263</v>
      </c>
      <c r="AC81" s="36">
        <f>(AC$75+AC$73+AC$74)*Assumptions!$B$48/10000000</f>
        <v>0.5805333733757433</v>
      </c>
    </row>
    <row r="82">
      <c r="A82" s="6" t="inlineStr">
        <is>
          <t>Solar auxiliary consumption</t>
        </is>
      </c>
      <c r="B82" s="2" t="inlineStr">
        <is>
          <t>₹ Cr</t>
        </is>
      </c>
      <c r="E82" s="36">
        <f>E$67*$C$10*$C$25*24*Assumptions!$B$62*$C$34/10000000*E$71</f>
        <v>0.0</v>
      </c>
      <c r="F82" s="36">
        <f>F$67*$C$10*$C$25*24*Assumptions!$B$62*$C$34/10000000*F$71</f>
        <v>0.0</v>
      </c>
      <c r="G82" s="36">
        <f>G$67*$C$10*$C$25*24*Assumptions!$B$62*$C$34/10000000*G$71</f>
        <v>0.0</v>
      </c>
      <c r="H82" s="36">
        <f>H$67*$C$10*$C$25*24*Assumptions!$B$62*$C$34/10000000*H$71</f>
        <v>0.0</v>
      </c>
      <c r="I82" s="36">
        <f>I$67*$C$10*$C$25*24*Assumptions!$B$62*$C$34/10000000*I$71</f>
        <v>0.0</v>
      </c>
      <c r="J82" s="36">
        <f>J$67*$C$10*$C$25*24*Assumptions!$B$62*$C$34/10000000*J$71</f>
        <v>0.0</v>
      </c>
      <c r="K82" s="36">
        <f>K$67*$C$10*$C$25*24*Assumptions!$B$62*$C$34/10000000*K$71</f>
        <v>0.0</v>
      </c>
      <c r="L82" s="36">
        <f>L$67*$C$10*$C$25*24*Assumptions!$B$62*$C$34/10000000*L$71</f>
        <v>0.0</v>
      </c>
      <c r="M82" s="36">
        <f>M$67*$C$10*$C$25*24*Assumptions!$B$62*$C$34/10000000*M$71</f>
        <v>0.0</v>
      </c>
      <c r="N82" s="36">
        <f>N$67*$C$10*$C$25*24*Assumptions!$B$62*$C$34/10000000*N$71</f>
        <v>0.0</v>
      </c>
      <c r="O82" s="36">
        <f>O$67*$C$10*$C$25*24*Assumptions!$B$62*$C$34/10000000*O$71</f>
        <v>0.0</v>
      </c>
      <c r="P82" s="36">
        <f>P$67*$C$10*$C$25*24*Assumptions!$B$62*$C$34/10000000*P$71</f>
        <v>0.0</v>
      </c>
      <c r="Q82" s="36">
        <f>Q$67*$C$10*$C$25*24*Assumptions!$B$62*$C$34/10000000*Q$71</f>
        <v>0.0</v>
      </c>
      <c r="R82" s="36">
        <f>R$67*$C$10*$C$25*24*Assumptions!$B$62*$C$34/10000000*R$71</f>
        <v>0.0</v>
      </c>
      <c r="S82" s="36">
        <f>S$67*$C$10*$C$25*24*Assumptions!$B$62*$C$34/10000000*S$71</f>
        <v>0.0</v>
      </c>
      <c r="T82" s="36">
        <f>T$67*$C$10*$C$25*24*Assumptions!$B$62*$C$34/10000000*T$71</f>
        <v>0.0</v>
      </c>
      <c r="U82" s="36">
        <f>U$67*$C$10*$C$25*24*Assumptions!$B$62*$C$34/10000000*U$71</f>
        <v>0.0</v>
      </c>
      <c r="V82" s="36">
        <f>V$67*$C$10*$C$25*24*Assumptions!$B$62*$C$34/10000000*V$71</f>
        <v>0.0</v>
      </c>
      <c r="W82" s="36">
        <f>W$67*$C$10*$C$25*24*Assumptions!$B$62*$C$34/10000000*W$71</f>
        <v>0.0</v>
      </c>
      <c r="X82" s="36">
        <f>X$67*$C$10*$C$25*24*Assumptions!$B$62*$C$34/10000000*X$71</f>
        <v>0.0</v>
      </c>
      <c r="Y82" s="36">
        <f>Y$67*$C$10*$C$25*24*Assumptions!$B$62*$C$34/10000000*Y$71</f>
        <v>0.0</v>
      </c>
      <c r="Z82" s="36">
        <f>Z$67*$C$10*$C$25*24*Assumptions!$B$62*$C$34/10000000*Z$71</f>
        <v>0.0</v>
      </c>
      <c r="AA82" s="36">
        <f>AA$67*$C$10*$C$25*24*Assumptions!$B$62*$C$34/10000000*AA$71</f>
        <v>0.0</v>
      </c>
      <c r="AB82" s="36">
        <f>AB$67*$C$10*$C$25*24*Assumptions!$B$62*$C$34/10000000*AB$71</f>
        <v>0.0</v>
      </c>
      <c r="AC82" s="36">
        <f>AC$67*$C$10*$C$25*24*Assumptions!$B$62*$C$34/10000000*AC$71</f>
        <v>0.0</v>
      </c>
    </row>
    <row r="83">
      <c r="A83" s="6" t="inlineStr">
        <is>
          <t>O&amp;M</t>
        </is>
      </c>
      <c r="B83" s="2" t="inlineStr">
        <is>
          <t>₹ Cr</t>
        </is>
      </c>
      <c r="E83" s="36">
        <f>E$67*($C$42*Assumptions!$B$55+$C$10*$C$22*Assumptions!$B$54*100000/10000000)*E$72</f>
        <v>3.539832086983261</v>
      </c>
      <c r="F83" s="36">
        <f>F$67*($C$42*Assumptions!$B$55+$C$10*$C$22*Assumptions!$B$54*100000/10000000)*F$72</f>
        <v>3.646027049592759</v>
      </c>
      <c r="G83" s="36">
        <f>G$67*($C$42*Assumptions!$B$55+$C$10*$C$22*Assumptions!$B$54*100000/10000000)*G$72</f>
        <v>3.7554078610805415</v>
      </c>
      <c r="H83" s="36">
        <f>H$67*($C$42*Assumptions!$B$55+$C$10*$C$22*Assumptions!$B$54*100000/10000000)*H$72</f>
        <v>3.868070096912958</v>
      </c>
      <c r="I83" s="36">
        <f>I$67*($C$42*Assumptions!$B$55+$C$10*$C$22*Assumptions!$B$54*100000/10000000)*I$72</f>
        <v>3.984112199820347</v>
      </c>
      <c r="J83" s="36">
        <f>J$67*($C$42*Assumptions!$B$55+$C$10*$C$22*Assumptions!$B$54*100000/10000000)*J$72</f>
        <v>4.103635565814957</v>
      </c>
      <c r="K83" s="36">
        <f>K$67*($C$42*Assumptions!$B$55+$C$10*$C$22*Assumptions!$B$54*100000/10000000)*K$72</f>
        <v>4.226744632789407</v>
      </c>
      <c r="L83" s="36">
        <f>L$67*($C$42*Assumptions!$B$55+$C$10*$C$22*Assumptions!$B$54*100000/10000000)*L$72</f>
        <v>4.353546971773088</v>
      </c>
      <c r="M83" s="36">
        <f>M$67*($C$42*Assumptions!$B$55+$C$10*$C$22*Assumptions!$B$54*100000/10000000)*M$72</f>
        <v>4.484153380926282</v>
      </c>
      <c r="N83" s="36">
        <f>N$67*($C$42*Assumptions!$B$55+$C$10*$C$22*Assumptions!$B$54*100000/10000000)*N$72</f>
        <v>4.61867798235407</v>
      </c>
      <c r="O83" s="36">
        <f>O$67*($C$42*Assumptions!$B$55+$C$10*$C$22*Assumptions!$B$54*100000/10000000)*O$72</f>
        <v>4.757238321824692</v>
      </c>
      <c r="P83" s="36">
        <f>P$67*($C$42*Assumptions!$B$55+$C$10*$C$22*Assumptions!$B$54*100000/10000000)*P$72</f>
        <v>4.899955471479433</v>
      </c>
      <c r="Q83" s="36">
        <f>Q$67*($C$42*Assumptions!$B$55+$C$10*$C$22*Assumptions!$B$54*100000/10000000)*Q$72</f>
        <v>5.046954135623816</v>
      </c>
      <c r="R83" s="36">
        <f>R$67*($C$42*Assumptions!$B$55+$C$10*$C$22*Assumptions!$B$54*100000/10000000)*R$72</f>
        <v>5.198362759692531</v>
      </c>
      <c r="S83" s="36">
        <f>S$67*($C$42*Assumptions!$B$55+$C$10*$C$22*Assumptions!$B$54*100000/10000000)*S$72</f>
        <v>5.354313642483308</v>
      </c>
      <c r="T83" s="36">
        <f>T$67*($C$42*Assumptions!$B$55+$C$10*$C$22*Assumptions!$B$54*100000/10000000)*T$72</f>
        <v>5.514943051757806</v>
      </c>
      <c r="U83" s="36">
        <f>U$67*($C$42*Assumptions!$B$55+$C$10*$C$22*Assumptions!$B$54*100000/10000000)*U$72</f>
        <v>5.680391343310541</v>
      </c>
      <c r="V83" s="36">
        <f>V$67*($C$42*Assumptions!$B$55+$C$10*$C$22*Assumptions!$B$54*100000/10000000)*V$72</f>
        <v>5.850803083609857</v>
      </c>
      <c r="W83" s="36">
        <f>W$67*($C$42*Assumptions!$B$55+$C$10*$C$22*Assumptions!$B$54*100000/10000000)*W$72</f>
        <v>6.026327176118153</v>
      </c>
      <c r="X83" s="36">
        <f>X$67*($C$42*Assumptions!$B$55+$C$10*$C$22*Assumptions!$B$54*100000/10000000)*X$72</f>
        <v>6.207116991401698</v>
      </c>
      <c r="Y83" s="36">
        <f>Y$67*($C$42*Assumptions!$B$55+$C$10*$C$22*Assumptions!$B$54*100000/10000000)*Y$72</f>
        <v>6.393330501143749</v>
      </c>
      <c r="Z83" s="36">
        <f>Z$67*($C$42*Assumptions!$B$55+$C$10*$C$22*Assumptions!$B$54*100000/10000000)*Z$72</f>
        <v>6.585130416178061</v>
      </c>
      <c r="AA83" s="36">
        <f>AA$67*($C$42*Assumptions!$B$55+$C$10*$C$22*Assumptions!$B$54*100000/10000000)*AA$72</f>
        <v>6.782684328663404</v>
      </c>
      <c r="AB83" s="36">
        <f>AB$67*($C$42*Assumptions!$B$55+$C$10*$C$22*Assumptions!$B$54*100000/10000000)*AB$72</f>
        <v>6.986164858523306</v>
      </c>
      <c r="AC83" s="36">
        <f>AC$67*($C$42*Assumptions!$B$55+$C$10*$C$22*Assumptions!$B$54*100000/10000000)*AC$72</f>
        <v>7.195749804279005</v>
      </c>
    </row>
    <row r="84">
      <c r="A84" s="6" t="inlineStr">
        <is>
          <t>Land lease</t>
        </is>
      </c>
      <c r="B84" s="2" t="inlineStr">
        <is>
          <t>₹ Cr</t>
        </is>
      </c>
      <c r="E84" s="36">
        <f>E$67*IF(AND($C$10=1,Assumptions!$B$29="Lease"),$C$44*(1+Assumptions!$B$30)^(E$66-1),0)</f>
        <v>0.0</v>
      </c>
      <c r="F84" s="36">
        <f>F$67*IF(AND($C$10=1,Assumptions!$B$29="Lease"),$C$44*(1+Assumptions!$B$30)^(F$66-1),0)</f>
        <v>0.0</v>
      </c>
      <c r="G84" s="36">
        <f>G$67*IF(AND($C$10=1,Assumptions!$B$29="Lease"),$C$44*(1+Assumptions!$B$30)^(G$66-1),0)</f>
        <v>0.0</v>
      </c>
      <c r="H84" s="36">
        <f>H$67*IF(AND($C$10=1,Assumptions!$B$29="Lease"),$C$44*(1+Assumptions!$B$30)^(H$66-1),0)</f>
        <v>0.0</v>
      </c>
      <c r="I84" s="36">
        <f>I$67*IF(AND($C$10=1,Assumptions!$B$29="Lease"),$C$44*(1+Assumptions!$B$30)^(I$66-1),0)</f>
        <v>0.0</v>
      </c>
      <c r="J84" s="36">
        <f>J$67*IF(AND($C$10=1,Assumptions!$B$29="Lease"),$C$44*(1+Assumptions!$B$30)^(J$66-1),0)</f>
        <v>0.0</v>
      </c>
      <c r="K84" s="36">
        <f>K$67*IF(AND($C$10=1,Assumptions!$B$29="Lease"),$C$44*(1+Assumptions!$B$30)^(K$66-1),0)</f>
        <v>0.0</v>
      </c>
      <c r="L84" s="36">
        <f>L$67*IF(AND($C$10=1,Assumptions!$B$29="Lease"),$C$44*(1+Assumptions!$B$30)^(L$66-1),0)</f>
        <v>0.0</v>
      </c>
      <c r="M84" s="36">
        <f>M$67*IF(AND($C$10=1,Assumptions!$B$29="Lease"),$C$44*(1+Assumptions!$B$30)^(M$66-1),0)</f>
        <v>0.0</v>
      </c>
      <c r="N84" s="36">
        <f>N$67*IF(AND($C$10=1,Assumptions!$B$29="Lease"),$C$44*(1+Assumptions!$B$30)^(N$66-1),0)</f>
        <v>0.0</v>
      </c>
      <c r="O84" s="36">
        <f>O$67*IF(AND($C$10=1,Assumptions!$B$29="Lease"),$C$44*(1+Assumptions!$B$30)^(O$66-1),0)</f>
        <v>0.0</v>
      </c>
      <c r="P84" s="36">
        <f>P$67*IF(AND($C$10=1,Assumptions!$B$29="Lease"),$C$44*(1+Assumptions!$B$30)^(P$66-1),0)</f>
        <v>0.0</v>
      </c>
      <c r="Q84" s="36">
        <f>Q$67*IF(AND($C$10=1,Assumptions!$B$29="Lease"),$C$44*(1+Assumptions!$B$30)^(Q$66-1),0)</f>
        <v>0.0</v>
      </c>
      <c r="R84" s="36">
        <f>R$67*IF(AND($C$10=1,Assumptions!$B$29="Lease"),$C$44*(1+Assumptions!$B$30)^(R$66-1),0)</f>
        <v>0.0</v>
      </c>
      <c r="S84" s="36">
        <f>S$67*IF(AND($C$10=1,Assumptions!$B$29="Lease"),$C$44*(1+Assumptions!$B$30)^(S$66-1),0)</f>
        <v>0.0</v>
      </c>
      <c r="T84" s="36">
        <f>T$67*IF(AND($C$10=1,Assumptions!$B$29="Lease"),$C$44*(1+Assumptions!$B$30)^(T$66-1),0)</f>
        <v>0.0</v>
      </c>
      <c r="U84" s="36">
        <f>U$67*IF(AND($C$10=1,Assumptions!$B$29="Lease"),$C$44*(1+Assumptions!$B$30)^(U$66-1),0)</f>
        <v>0.0</v>
      </c>
      <c r="V84" s="36">
        <f>V$67*IF(AND($C$10=1,Assumptions!$B$29="Lease"),$C$44*(1+Assumptions!$B$30)^(V$66-1),0)</f>
        <v>0.0</v>
      </c>
      <c r="W84" s="36">
        <f>W$67*IF(AND($C$10=1,Assumptions!$B$29="Lease"),$C$44*(1+Assumptions!$B$30)^(W$66-1),0)</f>
        <v>0.0</v>
      </c>
      <c r="X84" s="36">
        <f>X$67*IF(AND($C$10=1,Assumptions!$B$29="Lease"),$C$44*(1+Assumptions!$B$30)^(X$66-1),0)</f>
        <v>0.0</v>
      </c>
      <c r="Y84" s="36">
        <f>Y$67*IF(AND($C$10=1,Assumptions!$B$29="Lease"),$C$44*(1+Assumptions!$B$30)^(Y$66-1),0)</f>
        <v>0.0</v>
      </c>
      <c r="Z84" s="36">
        <f>Z$67*IF(AND($C$10=1,Assumptions!$B$29="Lease"),$C$44*(1+Assumptions!$B$30)^(Z$66-1),0)</f>
        <v>0.0</v>
      </c>
      <c r="AA84" s="36">
        <f>AA$67*IF(AND($C$10=1,Assumptions!$B$29="Lease"),$C$44*(1+Assumptions!$B$30)^(AA$66-1),0)</f>
        <v>0.0</v>
      </c>
      <c r="AB84" s="36">
        <f>AB$67*IF(AND($C$10=1,Assumptions!$B$29="Lease"),$C$44*(1+Assumptions!$B$30)^(AB$66-1),0)</f>
        <v>0.0</v>
      </c>
      <c r="AC84" s="36">
        <f>AC$67*IF(AND($C$10=1,Assumptions!$B$29="Lease"),$C$44*(1+Assumptions!$B$30)^(AC$66-1),0)</f>
        <v>0.0</v>
      </c>
    </row>
    <row r="85">
      <c r="A85" s="6" t="inlineStr">
        <is>
          <t>Equity-funded cost</t>
        </is>
      </c>
      <c r="B85" s="2" t="inlineStr">
        <is>
          <t>₹ Cr</t>
        </is>
      </c>
      <c r="E85" s="36">
        <f>E$67*IF(AND(Assumptions!$B$21=1,E$66&lt;=Assumptions!$B$23),Assumptions!$B$22,0)</f>
        <v>20.0</v>
      </c>
      <c r="F85" s="36">
        <f>F$67*IF(AND(Assumptions!$B$21=1,F$66&lt;=Assumptions!$B$23),Assumptions!$B$22,0)</f>
        <v>20.0</v>
      </c>
      <c r="G85" s="36">
        <f>G$67*IF(AND(Assumptions!$B$21=1,G$66&lt;=Assumptions!$B$23),Assumptions!$B$22,0)</f>
        <v>0.0</v>
      </c>
      <c r="H85" s="36">
        <f>H$67*IF(AND(Assumptions!$B$21=1,H$66&lt;=Assumptions!$B$23),Assumptions!$B$22,0)</f>
        <v>0.0</v>
      </c>
      <c r="I85" s="36">
        <f>I$67*IF(AND(Assumptions!$B$21=1,I$66&lt;=Assumptions!$B$23),Assumptions!$B$22,0)</f>
        <v>0.0</v>
      </c>
      <c r="J85" s="36">
        <f>J$67*IF(AND(Assumptions!$B$21=1,J$66&lt;=Assumptions!$B$23),Assumptions!$B$22,0)</f>
        <v>0.0</v>
      </c>
      <c r="K85" s="36">
        <f>K$67*IF(AND(Assumptions!$B$21=1,K$66&lt;=Assumptions!$B$23),Assumptions!$B$22,0)</f>
        <v>0.0</v>
      </c>
      <c r="L85" s="36">
        <f>L$67*IF(AND(Assumptions!$B$21=1,L$66&lt;=Assumptions!$B$23),Assumptions!$B$22,0)</f>
        <v>0.0</v>
      </c>
      <c r="M85" s="36">
        <f>M$67*IF(AND(Assumptions!$B$21=1,M$66&lt;=Assumptions!$B$23),Assumptions!$B$22,0)</f>
        <v>0.0</v>
      </c>
      <c r="N85" s="36">
        <f>N$67*IF(AND(Assumptions!$B$21=1,N$66&lt;=Assumptions!$B$23),Assumptions!$B$22,0)</f>
        <v>0.0</v>
      </c>
      <c r="O85" s="36">
        <f>O$67*IF(AND(Assumptions!$B$21=1,O$66&lt;=Assumptions!$B$23),Assumptions!$B$22,0)</f>
        <v>0.0</v>
      </c>
      <c r="P85" s="36">
        <f>P$67*IF(AND(Assumptions!$B$21=1,P$66&lt;=Assumptions!$B$23),Assumptions!$B$22,0)</f>
        <v>0.0</v>
      </c>
      <c r="Q85" s="36">
        <f>Q$67*IF(AND(Assumptions!$B$21=1,Q$66&lt;=Assumptions!$B$23),Assumptions!$B$22,0)</f>
        <v>0.0</v>
      </c>
      <c r="R85" s="36">
        <f>R$67*IF(AND(Assumptions!$B$21=1,R$66&lt;=Assumptions!$B$23),Assumptions!$B$22,0)</f>
        <v>0.0</v>
      </c>
      <c r="S85" s="36">
        <f>S$67*IF(AND(Assumptions!$B$21=1,S$66&lt;=Assumptions!$B$23),Assumptions!$B$22,0)</f>
        <v>0.0</v>
      </c>
      <c r="T85" s="36">
        <f>T$67*IF(AND(Assumptions!$B$21=1,T$66&lt;=Assumptions!$B$23),Assumptions!$B$22,0)</f>
        <v>0.0</v>
      </c>
      <c r="U85" s="36">
        <f>U$67*IF(AND(Assumptions!$B$21=1,U$66&lt;=Assumptions!$B$23),Assumptions!$B$22,0)</f>
        <v>0.0</v>
      </c>
      <c r="V85" s="36">
        <f>V$67*IF(AND(Assumptions!$B$21=1,V$66&lt;=Assumptions!$B$23),Assumptions!$B$22,0)</f>
        <v>0.0</v>
      </c>
      <c r="W85" s="36">
        <f>W$67*IF(AND(Assumptions!$B$21=1,W$66&lt;=Assumptions!$B$23),Assumptions!$B$22,0)</f>
        <v>0.0</v>
      </c>
      <c r="X85" s="36">
        <f>X$67*IF(AND(Assumptions!$B$21=1,X$66&lt;=Assumptions!$B$23),Assumptions!$B$22,0)</f>
        <v>0.0</v>
      </c>
      <c r="Y85" s="36">
        <f>Y$67*IF(AND(Assumptions!$B$21=1,Y$66&lt;=Assumptions!$B$23),Assumptions!$B$22,0)</f>
        <v>0.0</v>
      </c>
      <c r="Z85" s="36">
        <f>Z$67*IF(AND(Assumptions!$B$21=1,Z$66&lt;=Assumptions!$B$23),Assumptions!$B$22,0)</f>
        <v>0.0</v>
      </c>
      <c r="AA85" s="36">
        <f>AA$67*IF(AND(Assumptions!$B$21=1,AA$66&lt;=Assumptions!$B$23),Assumptions!$B$22,0)</f>
        <v>0.0</v>
      </c>
      <c r="AB85" s="36">
        <f>AB$67*IF(AND(Assumptions!$B$21=1,AB$66&lt;=Assumptions!$B$23),Assumptions!$B$22,0)</f>
        <v>0.0</v>
      </c>
      <c r="AC85" s="36">
        <f>AC$67*IF(AND(Assumptions!$B$21=1,AC$66&lt;=Assumptions!$B$23),Assumptions!$B$22,0)</f>
        <v>0.0</v>
      </c>
    </row>
    <row r="86">
      <c r="A86" s="5" t="inlineStr">
        <is>
          <t>EBITDA</t>
        </is>
      </c>
      <c r="B86" s="2" t="inlineStr">
        <is>
          <t>₹ Cr</t>
        </is>
      </c>
      <c r="E86" s="47">
        <f>E$78-E$79-E$80-E$81-E$82-E$83-E$84-E$85</f>
        <v>84.91678852341552</v>
      </c>
      <c r="F86" s="47">
        <f>F$78-F$79-F$80-F$81-F$82-F$83-F$84-F$85</f>
        <v>83.17145068004433</v>
      </c>
      <c r="G86" s="47">
        <f>G$78-G$79-G$80-G$81-G$82-G$83-G$84-G$85</f>
        <v>101.42292698779485</v>
      </c>
      <c r="H86" s="47">
        <f>H$78-H$79-H$80-H$81-H$82-H$83-H$84-H$85</f>
        <v>99.67112187120075</v>
      </c>
      <c r="I86" s="47">
        <f>I$78-I$79-I$80-I$81-I$82-I$83-I$84-I$85</f>
        <v>97.91593688753166</v>
      </c>
      <c r="J86" s="47">
        <f>J$78-J$79-J$80-J$81-J$82-J$83-J$84-J$85</f>
        <v>96.15727064077535</v>
      </c>
      <c r="K86" s="47">
        <f>K$78-K$79-K$80-K$81-K$82-K$83-K$84-K$85</f>
        <v>94.39501869303919</v>
      </c>
      <c r="L86" s="47">
        <f>L$78-L$79-L$80-L$81-L$82-L$83-L$84-L$85</f>
        <v>92.62907347329383</v>
      </c>
      <c r="M86" s="47">
        <f>M$78-M$79-M$80-M$81-M$82-M$83-M$84-M$85</f>
        <v>90.85932418337894</v>
      </c>
      <c r="N86" s="47">
        <f>N$78-N$79-N$80-N$81-N$82-N$83-N$84-N$85</f>
        <v>89.08565670118948</v>
      </c>
      <c r="O86" s="47">
        <f>O$78-O$79-O$80-O$81-O$82-O$83-O$84-O$85</f>
        <v>87.30795348095717</v>
      </c>
      <c r="P86" s="47">
        <f>P$78-P$79-P$80-P$81-P$82-P$83-P$84-P$85</f>
        <v>85.52609345054071</v>
      </c>
      <c r="Q86" s="47">
        <f>Q$78-Q$79-Q$80-Q$81-Q$82-Q$83-Q$84-Q$85</f>
        <v>103.40966647477497</v>
      </c>
      <c r="R86" s="47">
        <f>R$78-R$79-R$80-R$81-R$82-R$83-R$84-R$85</f>
        <v>101.61911496994456</v>
      </c>
      <c r="S86" s="47">
        <f>S$78-S$79-S$80-S$81-S$82-S$83-S$84-S$85</f>
        <v>99.82402120639209</v>
      </c>
      <c r="T86" s="47">
        <f>T$78-T$79-T$80-T$81-T$82-T$83-T$84-T$85</f>
        <v>98.0242489163559</v>
      </c>
      <c r="U86" s="47">
        <f>U$78-U$79-U$80-U$81-U$82-U$83-U$84-U$85</f>
        <v>96.21965774404146</v>
      </c>
      <c r="V86" s="47">
        <f>V$78-V$79-V$80-V$81-V$82-V$83-V$84-V$85</f>
        <v>94.41010312298044</v>
      </c>
      <c r="W86" s="47">
        <f>W$78-W$79-W$80-W$81-W$82-W$83-W$84-W$85</f>
        <v>92.59543614971044</v>
      </c>
      <c r="X86" s="47">
        <f>X$78-X$79-X$80-X$81-X$82-X$83-X$84-X$85</f>
        <v>90.77550345366521</v>
      </c>
      <c r="Y86" s="47">
        <f>Y$78-Y$79-Y$80-Y$81-Y$82-Y$83-Y$84-Y$85</f>
        <v>88.95014706316148</v>
      </c>
      <c r="Z86" s="47">
        <f>Z$78-Z$79-Z$80-Z$81-Z$82-Z$83-Z$84-Z$85</f>
        <v>87.11920426736549</v>
      </c>
      <c r="AA86" s="47">
        <f>AA$78-AA$79-AA$80-AA$81-AA$82-AA$83-AA$84-AA$85</f>
        <v>85.28250747411845</v>
      </c>
      <c r="AB86" s="47">
        <f>AB$78-AB$79-AB$80-AB$81-AB$82-AB$83-AB$84-AB$85</f>
        <v>83.43988406349683</v>
      </c>
      <c r="AC86" s="47">
        <f>AC$78-AC$79-AC$80-AC$81-AC$82-AC$83-AC$84-AC$85</f>
        <v>81.59115623697946</v>
      </c>
    </row>
    <row r="87">
      <c r="A87" s="6" t="inlineStr">
        <is>
          <t>Augmentation capex</t>
        </is>
      </c>
      <c r="B87" s="2" t="inlineStr">
        <is>
          <t>₹ Cr</t>
        </is>
      </c>
      <c r="E87" s="36">
        <f>E$67*IF(AND(Assumptions!$B$42&gt;0,E$66=Assumptions!$B$42),$C$42*Assumptions!$B$43,0)</f>
        <v>0.0</v>
      </c>
      <c r="F87" s="36">
        <f>F$67*IF(AND(Assumptions!$B$42&gt;0,F$66=Assumptions!$B$42),$C$42*Assumptions!$B$43,0)</f>
        <v>0.0</v>
      </c>
      <c r="G87" s="36">
        <f>G$67*IF(AND(Assumptions!$B$42&gt;0,G$66=Assumptions!$B$42),$C$42*Assumptions!$B$43,0)</f>
        <v>0.0</v>
      </c>
      <c r="H87" s="36">
        <f>H$67*IF(AND(Assumptions!$B$42&gt;0,H$66=Assumptions!$B$42),$C$42*Assumptions!$B$43,0)</f>
        <v>0.0</v>
      </c>
      <c r="I87" s="36">
        <f>I$67*IF(AND(Assumptions!$B$42&gt;0,I$66=Assumptions!$B$42),$C$42*Assumptions!$B$43,0)</f>
        <v>0.0</v>
      </c>
      <c r="J87" s="36">
        <f>J$67*IF(AND(Assumptions!$B$42&gt;0,J$66=Assumptions!$B$42),$C$42*Assumptions!$B$43,0)</f>
        <v>0.0</v>
      </c>
      <c r="K87" s="36">
        <f>K$67*IF(AND(Assumptions!$B$42&gt;0,K$66=Assumptions!$B$42),$C$42*Assumptions!$B$43,0)</f>
        <v>0.0</v>
      </c>
      <c r="L87" s="36">
        <f>L$67*IF(AND(Assumptions!$B$42&gt;0,L$66=Assumptions!$B$42),$C$42*Assumptions!$B$43,0)</f>
        <v>0.0</v>
      </c>
      <c r="M87" s="36">
        <f>M$67*IF(AND(Assumptions!$B$42&gt;0,M$66=Assumptions!$B$42),$C$42*Assumptions!$B$43,0)</f>
        <v>0.0</v>
      </c>
      <c r="N87" s="36">
        <f>N$67*IF(AND(Assumptions!$B$42&gt;0,N$66=Assumptions!$B$42),$C$42*Assumptions!$B$43,0)</f>
        <v>0.0</v>
      </c>
      <c r="O87" s="36">
        <f>O$67*IF(AND(Assumptions!$B$42&gt;0,O$66=Assumptions!$B$42),$C$42*Assumptions!$B$43,0)</f>
        <v>0.0</v>
      </c>
      <c r="P87" s="36">
        <f>P$67*IF(AND(Assumptions!$B$42&gt;0,P$66=Assumptions!$B$42),$C$42*Assumptions!$B$43,0)</f>
        <v>141.59328347933044</v>
      </c>
      <c r="Q87" s="36">
        <f>Q$67*IF(AND(Assumptions!$B$42&gt;0,Q$66=Assumptions!$B$42),$C$42*Assumptions!$B$43,0)</f>
        <v>0.0</v>
      </c>
      <c r="R87" s="36">
        <f>R$67*IF(AND(Assumptions!$B$42&gt;0,R$66=Assumptions!$B$42),$C$42*Assumptions!$B$43,0)</f>
        <v>0.0</v>
      </c>
      <c r="S87" s="36">
        <f>S$67*IF(AND(Assumptions!$B$42&gt;0,S$66=Assumptions!$B$42),$C$42*Assumptions!$B$43,0)</f>
        <v>0.0</v>
      </c>
      <c r="T87" s="36">
        <f>T$67*IF(AND(Assumptions!$B$42&gt;0,T$66=Assumptions!$B$42),$C$42*Assumptions!$B$43,0)</f>
        <v>0.0</v>
      </c>
      <c r="U87" s="36">
        <f>U$67*IF(AND(Assumptions!$B$42&gt;0,U$66=Assumptions!$B$42),$C$42*Assumptions!$B$43,0)</f>
        <v>0.0</v>
      </c>
      <c r="V87" s="36">
        <f>V$67*IF(AND(Assumptions!$B$42&gt;0,V$66=Assumptions!$B$42),$C$42*Assumptions!$B$43,0)</f>
        <v>0.0</v>
      </c>
      <c r="W87" s="36">
        <f>W$67*IF(AND(Assumptions!$B$42&gt;0,W$66=Assumptions!$B$42),$C$42*Assumptions!$B$43,0)</f>
        <v>0.0</v>
      </c>
      <c r="X87" s="36">
        <f>X$67*IF(AND(Assumptions!$B$42&gt;0,X$66=Assumptions!$B$42),$C$42*Assumptions!$B$43,0)</f>
        <v>0.0</v>
      </c>
      <c r="Y87" s="36">
        <f>Y$67*IF(AND(Assumptions!$B$42&gt;0,Y$66=Assumptions!$B$42),$C$42*Assumptions!$B$43,0)</f>
        <v>0.0</v>
      </c>
      <c r="Z87" s="36">
        <f>Z$67*IF(AND(Assumptions!$B$42&gt;0,Z$66=Assumptions!$B$42),$C$42*Assumptions!$B$43,0)</f>
        <v>0.0</v>
      </c>
      <c r="AA87" s="36">
        <f>AA$67*IF(AND(Assumptions!$B$42&gt;0,AA$66=Assumptions!$B$42),$C$42*Assumptions!$B$43,0)</f>
        <v>0.0</v>
      </c>
      <c r="AB87" s="36">
        <f>AB$67*IF(AND(Assumptions!$B$42&gt;0,AB$66=Assumptions!$B$42),$C$42*Assumptions!$B$43,0)</f>
        <v>0.0</v>
      </c>
      <c r="AC87" s="36">
        <f>AC$67*IF(AND(Assumptions!$B$42&gt;0,AC$66=Assumptions!$B$42),$C$42*Assumptions!$B$43,0)</f>
        <v>0.0</v>
      </c>
    </row>
    <row r="88">
      <c r="A88" s="6" t="inlineStr">
        <is>
          <t>Depreciation (straight line)</t>
        </is>
      </c>
      <c r="B88" s="2" t="inlineStr">
        <is>
          <t>₹ Cr</t>
        </is>
      </c>
      <c r="E88" s="36">
        <f>E$67*$C$46/Assumptions!$B$51</f>
        <v>28.31865669586609</v>
      </c>
      <c r="F88" s="36">
        <f>F$67*$C$46/Assumptions!$B$51</f>
        <v>28.31865669586609</v>
      </c>
      <c r="G88" s="36">
        <f>G$67*$C$46/Assumptions!$B$51</f>
        <v>28.31865669586609</v>
      </c>
      <c r="H88" s="36">
        <f>H$67*$C$46/Assumptions!$B$51</f>
        <v>28.31865669586609</v>
      </c>
      <c r="I88" s="36">
        <f>I$67*$C$46/Assumptions!$B$51</f>
        <v>28.31865669586609</v>
      </c>
      <c r="J88" s="36">
        <f>J$67*$C$46/Assumptions!$B$51</f>
        <v>28.31865669586609</v>
      </c>
      <c r="K88" s="36">
        <f>K$67*$C$46/Assumptions!$B$51</f>
        <v>28.31865669586609</v>
      </c>
      <c r="L88" s="36">
        <f>L$67*$C$46/Assumptions!$B$51</f>
        <v>28.31865669586609</v>
      </c>
      <c r="M88" s="36">
        <f>M$67*$C$46/Assumptions!$B$51</f>
        <v>28.31865669586609</v>
      </c>
      <c r="N88" s="36">
        <f>N$67*$C$46/Assumptions!$B$51</f>
        <v>28.31865669586609</v>
      </c>
      <c r="O88" s="36">
        <f>O$67*$C$46/Assumptions!$B$51</f>
        <v>28.31865669586609</v>
      </c>
      <c r="P88" s="36">
        <f>P$67*$C$46/Assumptions!$B$51</f>
        <v>28.31865669586609</v>
      </c>
      <c r="Q88" s="36">
        <f>Q$67*$C$46/Assumptions!$B$51</f>
        <v>28.31865669586609</v>
      </c>
      <c r="R88" s="36">
        <f>R$67*$C$46/Assumptions!$B$51</f>
        <v>28.31865669586609</v>
      </c>
      <c r="S88" s="36">
        <f>S$67*$C$46/Assumptions!$B$51</f>
        <v>28.31865669586609</v>
      </c>
      <c r="T88" s="36">
        <f>T$67*$C$46/Assumptions!$B$51</f>
        <v>28.31865669586609</v>
      </c>
      <c r="U88" s="36">
        <f>U$67*$C$46/Assumptions!$B$51</f>
        <v>28.31865669586609</v>
      </c>
      <c r="V88" s="36">
        <f>V$67*$C$46/Assumptions!$B$51</f>
        <v>28.31865669586609</v>
      </c>
      <c r="W88" s="36">
        <f>W$67*$C$46/Assumptions!$B$51</f>
        <v>28.31865669586609</v>
      </c>
      <c r="X88" s="36">
        <f>X$67*$C$46/Assumptions!$B$51</f>
        <v>28.31865669586609</v>
      </c>
      <c r="Y88" s="36">
        <f>Y$67*$C$46/Assumptions!$B$51</f>
        <v>28.31865669586609</v>
      </c>
      <c r="Z88" s="36">
        <f>Z$67*$C$46/Assumptions!$B$51</f>
        <v>28.31865669586609</v>
      </c>
      <c r="AA88" s="36">
        <f>AA$67*$C$46/Assumptions!$B$51</f>
        <v>28.31865669586609</v>
      </c>
      <c r="AB88" s="36">
        <f>AB$67*$C$46/Assumptions!$B$51</f>
        <v>28.31865669586609</v>
      </c>
      <c r="AC88" s="36">
        <f>AC$67*$C$46/Assumptions!$B$51</f>
        <v>28.31865669586609</v>
      </c>
    </row>
    <row r="89">
      <c r="A89" s="6" t="inlineStr">
        <is>
          <t>Tax, project basis</t>
        </is>
      </c>
      <c r="B89" s="2" t="inlineStr">
        <is>
          <t>₹ Cr</t>
        </is>
      </c>
      <c r="E89" s="36">
        <f>MAX(0,E$86-E$88-E$87)*Assumptions!$B$52</f>
        <v>14.24574978099419</v>
      </c>
      <c r="F89" s="36">
        <f>MAX(0,F$86-F$88-F$87)*Assumptions!$B$52</f>
        <v>13.806448245817663</v>
      </c>
      <c r="G89" s="36">
        <f>MAX(0,G$86-G$88-G$87)*Assumptions!$B$52</f>
        <v>18.40034483247847</v>
      </c>
      <c r="H89" s="36">
        <f>MAX(0,H$86-H$88-H$87)*Assumptions!$B$52</f>
        <v>17.95941548463173</v>
      </c>
      <c r="I89" s="36">
        <f>MAX(0,I$86-I$88-I$87)*Assumptions!$B$52</f>
        <v>17.517635424242222</v>
      </c>
      <c r="J89" s="36">
        <f>MAX(0,J$86-J$88-J$87)*Assumptions!$B$52</f>
        <v>17.074979129933663</v>
      </c>
      <c r="K89" s="36">
        <f>MAX(0,K$86-K$88-K$87)*Assumptions!$B$52</f>
        <v>16.63142031468847</v>
      </c>
      <c r="L89" s="36">
        <f>MAX(0,L$86-L$88-L$87)*Assumptions!$B$52</f>
        <v>16.186931902878563</v>
      </c>
      <c r="M89" s="36">
        <f>MAX(0,M$86-M$88-M$87)*Assumptions!$B$52</f>
        <v>15.741486006606985</v>
      </c>
      <c r="N89" s="36">
        <f>MAX(0,N$86-N$88-N$87)*Assumptions!$B$52</f>
        <v>15.295053901339896</v>
      </c>
      <c r="O89" s="36">
        <f>MAX(0,O$86-O$88-O$87)*Assumptions!$B$52</f>
        <v>14.847606000807422</v>
      </c>
      <c r="P89" s="36">
        <f>MAX(0,P$86-P$88-P$87)*Assumptions!$B$52</f>
        <v>0.0</v>
      </c>
      <c r="Q89" s="36">
        <f>MAX(0,Q$86-Q$88-Q$87)*Assumptions!$B$52</f>
        <v>18.90040716135136</v>
      </c>
      <c r="R89" s="36">
        <f>MAX(0,R$86-R$88-R$87)*Assumptions!$B$52</f>
        <v>18.44972534758555</v>
      </c>
      <c r="S89" s="36">
        <f>MAX(0,S$86-S$88-S$87)*Assumptions!$B$52</f>
        <v>17.99790024729939</v>
      </c>
      <c r="T89" s="36">
        <f>MAX(0,T$86-T$88-T$87)*Assumptions!$B$52</f>
        <v>17.544897561897287</v>
      </c>
      <c r="U89" s="36">
        <f>MAX(0,U$86-U$88-U$87)*Assumptions!$B$52</f>
        <v>17.09068196382574</v>
      </c>
      <c r="V89" s="36">
        <f>MAX(0,V$86-V$88-V$87)*Assumptions!$B$52</f>
        <v>16.635217065704683</v>
      </c>
      <c r="W89" s="36">
        <f>MAX(0,W$86-W$88-W$87)*Assumptions!$B$52</f>
        <v>16.17846538853262</v>
      </c>
      <c r="X89" s="36">
        <f>MAX(0,X$86-X$88-X$87)*Assumptions!$B$52</f>
        <v>15.720388328938038</v>
      </c>
      <c r="Y89" s="36">
        <f>MAX(0,Y$86-Y$88-Y$87)*Assumptions!$B$52</f>
        <v>15.26094612544825</v>
      </c>
      <c r="Z89" s="36">
        <f>MAX(0,Z$86-Z$88-Z$87)*Assumptions!$B$52</f>
        <v>14.800097823746398</v>
      </c>
      <c r="AA89" s="36">
        <f>MAX(0,AA$86-AA$88-AA$87)*Assumptions!$B$52</f>
        <v>14.337801240886117</v>
      </c>
      <c r="AB89" s="36">
        <f>MAX(0,AB$86-AB$88-AB$87)*Assumptions!$B$52</f>
        <v>13.874012928432657</v>
      </c>
      <c r="AC89" s="36">
        <f>MAX(0,AC$86-AC$88-AC$87)*Assumptions!$B$52</f>
        <v>13.408688134498234</v>
      </c>
    </row>
    <row r="90">
      <c r="A90" s="6" t="inlineStr">
        <is>
          <t>Project cash flow, pre-tax</t>
        </is>
      </c>
      <c r="B90" s="2" t="inlineStr">
        <is>
          <t>₹ Cr</t>
        </is>
      </c>
      <c r="D90" s="36">
        <f>-$C$46</f>
        <v>-707.9664173966522</v>
      </c>
      <c r="E90" s="36">
        <f>E$86-E$87</f>
        <v>84.91678852341552</v>
      </c>
      <c r="F90" s="36">
        <f>F$86-F$87</f>
        <v>83.17145068004433</v>
      </c>
      <c r="G90" s="36">
        <f>G$86-G$87</f>
        <v>101.42292698779485</v>
      </c>
      <c r="H90" s="36">
        <f>H$86-H$87</f>
        <v>99.67112187120075</v>
      </c>
      <c r="I90" s="36">
        <f>I$86-I$87</f>
        <v>97.91593688753166</v>
      </c>
      <c r="J90" s="36">
        <f>J$86-J$87</f>
        <v>96.15727064077535</v>
      </c>
      <c r="K90" s="36">
        <f>K$86-K$87</f>
        <v>94.39501869303919</v>
      </c>
      <c r="L90" s="36">
        <f>L$86-L$87</f>
        <v>92.62907347329383</v>
      </c>
      <c r="M90" s="36">
        <f>M$86-M$87</f>
        <v>90.85932418337894</v>
      </c>
      <c r="N90" s="36">
        <f>N$86-N$87</f>
        <v>89.08565670118948</v>
      </c>
      <c r="O90" s="36">
        <f>O$86-O$87</f>
        <v>87.30795348095717</v>
      </c>
      <c r="P90" s="36">
        <f>P$86-P$87</f>
        <v>-56.067190028789724</v>
      </c>
      <c r="Q90" s="36">
        <f>Q$86-Q$87</f>
        <v>103.40966647477497</v>
      </c>
      <c r="R90" s="36">
        <f>R$86-R$87</f>
        <v>101.61911496994456</v>
      </c>
      <c r="S90" s="36">
        <f>S$86-S$87</f>
        <v>99.82402120639209</v>
      </c>
      <c r="T90" s="36">
        <f>T$86-T$87</f>
        <v>98.0242489163559</v>
      </c>
      <c r="U90" s="36">
        <f>U$86-U$87</f>
        <v>96.21965774404146</v>
      </c>
      <c r="V90" s="36">
        <f>V$86-V$87</f>
        <v>94.41010312298044</v>
      </c>
      <c r="W90" s="36">
        <f>W$86-W$87</f>
        <v>92.59543614971044</v>
      </c>
      <c r="X90" s="36">
        <f>X$86-X$87</f>
        <v>90.77550345366521</v>
      </c>
      <c r="Y90" s="36">
        <f>Y$86-Y$87</f>
        <v>88.95014706316148</v>
      </c>
      <c r="Z90" s="36">
        <f>Z$86-Z$87</f>
        <v>87.11920426736549</v>
      </c>
      <c r="AA90" s="36">
        <f>AA$86-AA$87</f>
        <v>85.28250747411845</v>
      </c>
      <c r="AB90" s="36">
        <f>AB$86-AB$87</f>
        <v>83.43988406349683</v>
      </c>
      <c r="AC90" s="36">
        <f>AC$86-AC$87</f>
        <v>81.59115623697946</v>
      </c>
    </row>
    <row r="91">
      <c r="A91" s="5" t="inlineStr">
        <is>
          <t>Project cash flow, post-tax</t>
        </is>
      </c>
      <c r="B91" s="2" t="inlineStr">
        <is>
          <t>₹ Cr</t>
        </is>
      </c>
      <c r="D91" s="47">
        <f>-$C$46</f>
        <v>-707.9664173966522</v>
      </c>
      <c r="E91" s="47">
        <f>E$86-E$87-E$89</f>
        <v>70.67103874242133</v>
      </c>
      <c r="F91" s="47">
        <f>F$86-F$87-F$89</f>
        <v>69.36500243422667</v>
      </c>
      <c r="G91" s="47">
        <f>G$86-G$87-G$89</f>
        <v>83.02258215531639</v>
      </c>
      <c r="H91" s="47">
        <f>H$86-H$87-H$89</f>
        <v>81.71170638656902</v>
      </c>
      <c r="I91" s="47">
        <f>I$86-I$87-I$89</f>
        <v>80.39830146328944</v>
      </c>
      <c r="J91" s="47">
        <f>J$86-J$87-J$89</f>
        <v>79.08229151084169</v>
      </c>
      <c r="K91" s="47">
        <f>K$86-K$87-K$89</f>
        <v>77.76359837835072</v>
      </c>
      <c r="L91" s="47">
        <f>L$86-L$87-L$89</f>
        <v>76.44214157041526</v>
      </c>
      <c r="M91" s="47">
        <f>M$86-M$87-M$89</f>
        <v>75.11783817677195</v>
      </c>
      <c r="N91" s="47">
        <f>N$86-N$87-N$89</f>
        <v>73.79060279984958</v>
      </c>
      <c r="O91" s="47">
        <f>O$86-O$87-O$89</f>
        <v>72.46034748014975</v>
      </c>
      <c r="P91" s="47">
        <f>P$86-P$87-P$89</f>
        <v>-56.067190028789724</v>
      </c>
      <c r="Q91" s="47">
        <f>Q$86-Q$87-Q$89</f>
        <v>84.5092593134236</v>
      </c>
      <c r="R91" s="47">
        <f>R$86-R$87-R$89</f>
        <v>83.169389622359</v>
      </c>
      <c r="S91" s="47">
        <f>S$86-S$87-S$89</f>
        <v>81.82612095909269</v>
      </c>
      <c r="T91" s="47">
        <f>T$86-T$87-T$89</f>
        <v>80.47935135445861</v>
      </c>
      <c r="U91" s="47">
        <f>U$86-U$87-U$89</f>
        <v>79.12897578021571</v>
      </c>
      <c r="V91" s="47">
        <f>V$86-V$87-V$89</f>
        <v>77.77488605727576</v>
      </c>
      <c r="W91" s="47">
        <f>W$86-W$87-W$89</f>
        <v>76.41697076117782</v>
      </c>
      <c r="X91" s="47">
        <f>X$86-X$87-X$89</f>
        <v>75.05511512472717</v>
      </c>
      <c r="Y91" s="47">
        <f>Y$86-Y$87-Y$89</f>
        <v>73.68920093771322</v>
      </c>
      <c r="Z91" s="47">
        <f>Z$86-Z$87-Z$89</f>
        <v>72.31910644361909</v>
      </c>
      <c r="AA91" s="47">
        <f>AA$86-AA$87-AA$89</f>
        <v>70.94470623323232</v>
      </c>
      <c r="AB91" s="47">
        <f>AB$86-AB$87-AB$89</f>
        <v>69.56587113506417</v>
      </c>
      <c r="AC91" s="47">
        <f>AC$86-AC$87-AC$89</f>
        <v>68.18246810248122</v>
      </c>
    </row>
    <row r="92">
      <c r="A92" s="6" t="inlineStr">
        <is>
          <t>Debt opening balance</t>
        </is>
      </c>
      <c r="B92" s="2" t="inlineStr">
        <is>
          <t>₹ Cr</t>
        </is>
      </c>
      <c r="E92" s="36">
        <f>$C$49</f>
        <v>495.5764921776565</v>
      </c>
      <c r="F92" s="36">
        <f>E$95</f>
        <v>462.5380593658127</v>
      </c>
      <c r="G92" s="36">
        <f>F$95</f>
        <v>429.49962655396894</v>
      </c>
      <c r="H92" s="36">
        <f>G$95</f>
        <v>396.46119374212515</v>
      </c>
      <c r="I92" s="36">
        <f>H$95</f>
        <v>363.42276093028136</v>
      </c>
      <c r="J92" s="36">
        <f>I$95</f>
        <v>330.38432811843757</v>
      </c>
      <c r="K92" s="36">
        <f>J$95</f>
        <v>297.3458953065938</v>
      </c>
      <c r="L92" s="36">
        <f>K$95</f>
        <v>264.30746249475</v>
      </c>
      <c r="M92" s="36">
        <f>L$95</f>
        <v>231.26902968290622</v>
      </c>
      <c r="N92" s="36">
        <f>M$95</f>
        <v>198.23059687106246</v>
      </c>
      <c r="O92" s="36">
        <f>N$95</f>
        <v>165.1921640592187</v>
      </c>
      <c r="P92" s="36">
        <f>O$95</f>
        <v>132.15373124737494</v>
      </c>
      <c r="Q92" s="36">
        <f>P$95</f>
        <v>99.11529843553117</v>
      </c>
      <c r="R92" s="36">
        <f>Q$95</f>
        <v>66.07686562368741</v>
      </c>
      <c r="S92" s="36">
        <f>R$95</f>
        <v>33.03843281184364</v>
      </c>
      <c r="T92" s="36">
        <f>S$95</f>
        <v>0.0</v>
      </c>
      <c r="U92" s="36">
        <f>T$95</f>
        <v>0.0</v>
      </c>
      <c r="V92" s="36">
        <f>U$95</f>
        <v>0.0</v>
      </c>
      <c r="W92" s="36">
        <f>V$95</f>
        <v>0.0</v>
      </c>
      <c r="X92" s="36">
        <f>W$95</f>
        <v>0.0</v>
      </c>
      <c r="Y92" s="36">
        <f>X$95</f>
        <v>0.0</v>
      </c>
      <c r="Z92" s="36">
        <f>Y$95</f>
        <v>0.0</v>
      </c>
      <c r="AA92" s="36">
        <f>Z$95</f>
        <v>0.0</v>
      </c>
      <c r="AB92" s="36">
        <f>AA$95</f>
        <v>0.0</v>
      </c>
      <c r="AC92" s="36">
        <f>AB$95</f>
        <v>0.0</v>
      </c>
    </row>
    <row r="93">
      <c r="A93" s="6" t="inlineStr">
        <is>
          <t>Interest</t>
        </is>
      </c>
      <c r="B93" s="2" t="inlineStr">
        <is>
          <t>₹ Cr</t>
        </is>
      </c>
      <c r="E93" s="36">
        <f>E$92*Assumptions!$B$59</f>
        <v>47.07976675687737</v>
      </c>
      <c r="F93" s="36">
        <f>F$92*Assumptions!$B$59</f>
        <v>43.94111563975221</v>
      </c>
      <c r="G93" s="36">
        <f>G$92*Assumptions!$B$59</f>
        <v>40.80246452262705</v>
      </c>
      <c r="H93" s="36">
        <f>H$92*Assumptions!$B$59</f>
        <v>37.66381340550189</v>
      </c>
      <c r="I93" s="36">
        <f>I$92*Assumptions!$B$59</f>
        <v>34.52516228837673</v>
      </c>
      <c r="J93" s="36">
        <f>J$92*Assumptions!$B$59</f>
        <v>31.38651117125157</v>
      </c>
      <c r="K93" s="36">
        <f>K$92*Assumptions!$B$59</f>
        <v>28.24786005412641</v>
      </c>
      <c r="L93" s="36">
        <f>L$92*Assumptions!$B$59</f>
        <v>25.10920893700125</v>
      </c>
      <c r="M93" s="36">
        <f>M$92*Assumptions!$B$59</f>
        <v>21.970557819876092</v>
      </c>
      <c r="N93" s="36">
        <f>N$92*Assumptions!$B$59</f>
        <v>18.831906702750935</v>
      </c>
      <c r="O93" s="36">
        <f>O$92*Assumptions!$B$59</f>
        <v>15.693255585625776</v>
      </c>
      <c r="P93" s="36">
        <f>P$92*Assumptions!$B$59</f>
        <v>12.554604468500619</v>
      </c>
      <c r="Q93" s="36">
        <f>Q$92*Assumptions!$B$59</f>
        <v>9.415953351375462</v>
      </c>
      <c r="R93" s="36">
        <f>R$92*Assumptions!$B$59</f>
        <v>6.277302234250304</v>
      </c>
      <c r="S93" s="36">
        <f>S$92*Assumptions!$B$59</f>
        <v>3.138651117125146</v>
      </c>
      <c r="T93" s="36">
        <f>T$92*Assumptions!$B$59</f>
        <v>0.0</v>
      </c>
      <c r="U93" s="36">
        <f>U$92*Assumptions!$B$59</f>
        <v>0.0</v>
      </c>
      <c r="V93" s="36">
        <f>V$92*Assumptions!$B$59</f>
        <v>0.0</v>
      </c>
      <c r="W93" s="36">
        <f>W$92*Assumptions!$B$59</f>
        <v>0.0</v>
      </c>
      <c r="X93" s="36">
        <f>X$92*Assumptions!$B$59</f>
        <v>0.0</v>
      </c>
      <c r="Y93" s="36">
        <f>Y$92*Assumptions!$B$59</f>
        <v>0.0</v>
      </c>
      <c r="Z93" s="36">
        <f>Z$92*Assumptions!$B$59</f>
        <v>0.0</v>
      </c>
      <c r="AA93" s="36">
        <f>AA$92*Assumptions!$B$59</f>
        <v>0.0</v>
      </c>
      <c r="AB93" s="36">
        <f>AB$92*Assumptions!$B$59</f>
        <v>0.0</v>
      </c>
      <c r="AC93" s="36">
        <f>AC$92*Assumptions!$B$59</f>
        <v>0.0</v>
      </c>
    </row>
    <row r="94">
      <c r="A94" s="6" t="inlineStr">
        <is>
          <t>Principal repayment</t>
        </is>
      </c>
      <c r="B94" s="2" t="inlineStr">
        <is>
          <t>₹ Cr</t>
        </is>
      </c>
      <c r="E94" s="36">
        <f>IF(E$66&lt;=Assumptions!$B$60,MIN(E$92,$C$51),0)</f>
        <v>33.03843281184377</v>
      </c>
      <c r="F94" s="36">
        <f>IF(F$66&lt;=Assumptions!$B$60,MIN(F$92,$C$51),0)</f>
        <v>33.03843281184377</v>
      </c>
      <c r="G94" s="36">
        <f>IF(G$66&lt;=Assumptions!$B$60,MIN(G$92,$C$51),0)</f>
        <v>33.03843281184377</v>
      </c>
      <c r="H94" s="36">
        <f>IF(H$66&lt;=Assumptions!$B$60,MIN(H$92,$C$51),0)</f>
        <v>33.03843281184377</v>
      </c>
      <c r="I94" s="36">
        <f>IF(I$66&lt;=Assumptions!$B$60,MIN(I$92,$C$51),0)</f>
        <v>33.03843281184377</v>
      </c>
      <c r="J94" s="36">
        <f>IF(J$66&lt;=Assumptions!$B$60,MIN(J$92,$C$51),0)</f>
        <v>33.03843281184377</v>
      </c>
      <c r="K94" s="36">
        <f>IF(K$66&lt;=Assumptions!$B$60,MIN(K$92,$C$51),0)</f>
        <v>33.03843281184377</v>
      </c>
      <c r="L94" s="36">
        <f>IF(L$66&lt;=Assumptions!$B$60,MIN(L$92,$C$51),0)</f>
        <v>33.03843281184377</v>
      </c>
      <c r="M94" s="36">
        <f>IF(M$66&lt;=Assumptions!$B$60,MIN(M$92,$C$51),0)</f>
        <v>33.03843281184377</v>
      </c>
      <c r="N94" s="36">
        <f>IF(N$66&lt;=Assumptions!$B$60,MIN(N$92,$C$51),0)</f>
        <v>33.03843281184377</v>
      </c>
      <c r="O94" s="36">
        <f>IF(O$66&lt;=Assumptions!$B$60,MIN(O$92,$C$51),0)</f>
        <v>33.03843281184377</v>
      </c>
      <c r="P94" s="36">
        <f>IF(P$66&lt;=Assumptions!$B$60,MIN(P$92,$C$51),0)</f>
        <v>33.03843281184377</v>
      </c>
      <c r="Q94" s="36">
        <f>IF(Q$66&lt;=Assumptions!$B$60,MIN(Q$92,$C$51),0)</f>
        <v>33.03843281184377</v>
      </c>
      <c r="R94" s="36">
        <f>IF(R$66&lt;=Assumptions!$B$60,MIN(R$92,$C$51),0)</f>
        <v>33.03843281184377</v>
      </c>
      <c r="S94" s="36">
        <f>IF(S$66&lt;=Assumptions!$B$60,MIN(S$92,$C$51),0)</f>
        <v>33.03843281184364</v>
      </c>
      <c r="T94" s="36">
        <f>IF(T$66&lt;=Assumptions!$B$60,MIN(T$92,$C$51),0)</f>
        <v>0.0</v>
      </c>
      <c r="U94" s="36">
        <f>IF(U$66&lt;=Assumptions!$B$60,MIN(U$92,$C$51),0)</f>
        <v>0.0</v>
      </c>
      <c r="V94" s="36">
        <f>IF(V$66&lt;=Assumptions!$B$60,MIN(V$92,$C$51),0)</f>
        <v>0.0</v>
      </c>
      <c r="W94" s="36">
        <f>IF(W$66&lt;=Assumptions!$B$60,MIN(W$92,$C$51),0)</f>
        <v>0.0</v>
      </c>
      <c r="X94" s="36">
        <f>IF(X$66&lt;=Assumptions!$B$60,MIN(X$92,$C$51),0)</f>
        <v>0.0</v>
      </c>
      <c r="Y94" s="36">
        <f>IF(Y$66&lt;=Assumptions!$B$60,MIN(Y$92,$C$51),0)</f>
        <v>0.0</v>
      </c>
      <c r="Z94" s="36">
        <f>IF(Z$66&lt;=Assumptions!$B$60,MIN(Z$92,$C$51),0)</f>
        <v>0.0</v>
      </c>
      <c r="AA94" s="36">
        <f>IF(AA$66&lt;=Assumptions!$B$60,MIN(AA$92,$C$51),0)</f>
        <v>0.0</v>
      </c>
      <c r="AB94" s="36">
        <f>IF(AB$66&lt;=Assumptions!$B$60,MIN(AB$92,$C$51),0)</f>
        <v>0.0</v>
      </c>
      <c r="AC94" s="36">
        <f>IF(AC$66&lt;=Assumptions!$B$60,MIN(AC$92,$C$51),0)</f>
        <v>0.0</v>
      </c>
    </row>
    <row r="95">
      <c r="A95" s="6" t="inlineStr">
        <is>
          <t>Debt closing balance</t>
        </is>
      </c>
      <c r="B95" s="2" t="inlineStr">
        <is>
          <t>₹ Cr</t>
        </is>
      </c>
      <c r="E95" s="36">
        <f>E$92-E$94</f>
        <v>462.5380593658127</v>
      </c>
      <c r="F95" s="36">
        <f>F$92-F$94</f>
        <v>429.49962655396894</v>
      </c>
      <c r="G95" s="36">
        <f>G$92-G$94</f>
        <v>396.46119374212515</v>
      </c>
      <c r="H95" s="36">
        <f>H$92-H$94</f>
        <v>363.42276093028136</v>
      </c>
      <c r="I95" s="36">
        <f>I$92-I$94</f>
        <v>330.38432811843757</v>
      </c>
      <c r="J95" s="36">
        <f>J$92-J$94</f>
        <v>297.3458953065938</v>
      </c>
      <c r="K95" s="36">
        <f>K$92-K$94</f>
        <v>264.30746249475</v>
      </c>
      <c r="L95" s="36">
        <f>L$92-L$94</f>
        <v>231.26902968290622</v>
      </c>
      <c r="M95" s="36">
        <f>M$92-M$94</f>
        <v>198.23059687106246</v>
      </c>
      <c r="N95" s="36">
        <f>N$92-N$94</f>
        <v>165.1921640592187</v>
      </c>
      <c r="O95" s="36">
        <f>O$92-O$94</f>
        <v>132.15373124737494</v>
      </c>
      <c r="P95" s="36">
        <f>P$92-P$94</f>
        <v>99.11529843553117</v>
      </c>
      <c r="Q95" s="36">
        <f>Q$92-Q$94</f>
        <v>66.07686562368741</v>
      </c>
      <c r="R95" s="36">
        <f>R$92-R$94</f>
        <v>33.03843281184364</v>
      </c>
      <c r="S95" s="36">
        <f>S$92-S$94</f>
        <v>0.0</v>
      </c>
      <c r="T95" s="36">
        <f>T$92-T$94</f>
        <v>0.0</v>
      </c>
      <c r="U95" s="36">
        <f>U$92-U$94</f>
        <v>0.0</v>
      </c>
      <c r="V95" s="36">
        <f>V$92-V$94</f>
        <v>0.0</v>
      </c>
      <c r="W95" s="36">
        <f>W$92-W$94</f>
        <v>0.0</v>
      </c>
      <c r="X95" s="36">
        <f>X$92-X$94</f>
        <v>0.0</v>
      </c>
      <c r="Y95" s="36">
        <f>Y$92-Y$94</f>
        <v>0.0</v>
      </c>
      <c r="Z95" s="36">
        <f>Z$92-Z$94</f>
        <v>0.0</v>
      </c>
      <c r="AA95" s="36">
        <f>AA$92-AA$94</f>
        <v>0.0</v>
      </c>
      <c r="AB95" s="36">
        <f>AB$92-AB$94</f>
        <v>0.0</v>
      </c>
      <c r="AC95" s="36">
        <f>AC$92-AC$94</f>
        <v>0.0</v>
      </c>
    </row>
    <row r="96">
      <c r="A96" s="6" t="inlineStr">
        <is>
          <t>Tax, after interest</t>
        </is>
      </c>
      <c r="B96" s="2" t="inlineStr">
        <is>
          <t>₹ Cr</t>
        </is>
      </c>
      <c r="E96" s="36">
        <f>MAX(0,E$86-E$88-E$87-E$93)*Assumptions!$B$52</f>
        <v>2.3957724882881575</v>
      </c>
      <c r="F96" s="36">
        <f>MAX(0,F$86-F$88-F$87-F$93)*Assumptions!$B$52</f>
        <v>2.7464694392920315</v>
      </c>
      <c r="G96" s="36">
        <f>MAX(0,G$86-G$88-G$87-G$93)*Assumptions!$B$52</f>
        <v>8.130364512133243</v>
      </c>
      <c r="H96" s="36">
        <f>MAX(0,H$86-H$88-H$87-H$93)*Assumptions!$B$52</f>
        <v>8.479433650466907</v>
      </c>
      <c r="I96" s="36">
        <f>MAX(0,I$86-I$88-I$87-I$93)*Assumptions!$B$52</f>
        <v>8.827652076257799</v>
      </c>
      <c r="J96" s="36">
        <f>MAX(0,J$86-J$88-J$87-J$93)*Assumptions!$B$52</f>
        <v>9.174994268129643</v>
      </c>
      <c r="K96" s="36">
        <f>MAX(0,K$86-K$88-K$87-K$93)*Assumptions!$B$52</f>
        <v>9.521433939064854</v>
      </c>
      <c r="L96" s="36">
        <f>MAX(0,L$86-L$88-L$87-L$93)*Assumptions!$B$52</f>
        <v>9.866944013435349</v>
      </c>
      <c r="M96" s="36">
        <f>MAX(0,M$86-M$88-M$87-M$93)*Assumptions!$B$52</f>
        <v>10.211496603344173</v>
      </c>
      <c r="N96" s="36">
        <f>MAX(0,N$86-N$88-N$87-N$93)*Assumptions!$B$52</f>
        <v>10.555062984257486</v>
      </c>
      <c r="O96" s="36">
        <f>MAX(0,O$86-O$88-O$87-O$93)*Assumptions!$B$52</f>
        <v>10.897613569905415</v>
      </c>
      <c r="P96" s="36">
        <f>MAX(0,P$86-P$88-P$87-P$93)*Assumptions!$B$52</f>
        <v>0.0</v>
      </c>
      <c r="Q96" s="36">
        <f>MAX(0,Q$86-Q$88-Q$87-Q$93)*Assumptions!$B$52</f>
        <v>16.530411702810156</v>
      </c>
      <c r="R96" s="36">
        <f>MAX(0,R$86-R$88-R$87-R$93)*Assumptions!$B$52</f>
        <v>16.86972837522475</v>
      </c>
      <c r="S96" s="36">
        <f>MAX(0,S$86-S$88-S$87-S$93)*Assumptions!$B$52</f>
        <v>17.20790176111899</v>
      </c>
      <c r="T96" s="36">
        <f>MAX(0,T$86-T$88-T$87-T$93)*Assumptions!$B$52</f>
        <v>17.544897561897287</v>
      </c>
      <c r="U96" s="36">
        <f>MAX(0,U$86-U$88-U$87-U$93)*Assumptions!$B$52</f>
        <v>17.09068196382574</v>
      </c>
      <c r="V96" s="36">
        <f>MAX(0,V$86-V$88-V$87-V$93)*Assumptions!$B$52</f>
        <v>16.635217065704683</v>
      </c>
      <c r="W96" s="36">
        <f>MAX(0,W$86-W$88-W$87-W$93)*Assumptions!$B$52</f>
        <v>16.17846538853262</v>
      </c>
      <c r="X96" s="36">
        <f>MAX(0,X$86-X$88-X$87-X$93)*Assumptions!$B$52</f>
        <v>15.720388328938038</v>
      </c>
      <c r="Y96" s="36">
        <f>MAX(0,Y$86-Y$88-Y$87-Y$93)*Assumptions!$B$52</f>
        <v>15.26094612544825</v>
      </c>
      <c r="Z96" s="36">
        <f>MAX(0,Z$86-Z$88-Z$87-Z$93)*Assumptions!$B$52</f>
        <v>14.800097823746398</v>
      </c>
      <c r="AA96" s="36">
        <f>MAX(0,AA$86-AA$88-AA$87-AA$93)*Assumptions!$B$52</f>
        <v>14.337801240886117</v>
      </c>
      <c r="AB96" s="36">
        <f>MAX(0,AB$86-AB$88-AB$87-AB$93)*Assumptions!$B$52</f>
        <v>13.874012928432657</v>
      </c>
      <c r="AC96" s="36">
        <f>MAX(0,AC$86-AC$88-AC$87-AC$93)*Assumptions!$B$52</f>
        <v>13.408688134498234</v>
      </c>
    </row>
    <row r="97">
      <c r="A97" s="5" t="inlineStr">
        <is>
          <t>Equity cash flow</t>
        </is>
      </c>
      <c r="B97" s="2" t="inlineStr">
        <is>
          <t>₹ Cr</t>
        </is>
      </c>
      <c r="D97" s="47">
        <f>-$C$50</f>
        <v>-212.3899252189957</v>
      </c>
      <c r="E97" s="47">
        <f>E$86-E$87-E$96-E$93-E$94</f>
        <v>2.4028164664062217</v>
      </c>
      <c r="F97" s="47">
        <f>F$86-F$87-F$96-F$93-F$94</f>
        <v>3.445432789156321</v>
      </c>
      <c r="G97" s="47">
        <f>G$86-G$87-G$96-G$93-G$94</f>
        <v>19.451665141190794</v>
      </c>
      <c r="H97" s="47">
        <f>H$86-H$87-H$96-H$93-H$94</f>
        <v>20.48944200338819</v>
      </c>
      <c r="I97" s="47">
        <f>I$86-I$87-I$96-I$93-I$94</f>
        <v>21.52468971105337</v>
      </c>
      <c r="J97" s="47">
        <f>J$86-J$87-J$96-J$93-J$94</f>
        <v>22.557332389550375</v>
      </c>
      <c r="K97" s="47">
        <f>K$86-K$87-K$96-K$93-K$94</f>
        <v>23.587291888004167</v>
      </c>
      <c r="L97" s="47">
        <f>L$86-L$87-L$96-L$93-L$94</f>
        <v>24.614487711013467</v>
      </c>
      <c r="M97" s="47">
        <f>M$86-M$87-M$96-M$93-M$94</f>
        <v>25.63883694831491</v>
      </c>
      <c r="N97" s="47">
        <f>N$86-N$87-N$96-N$93-N$94</f>
        <v>26.660254202337285</v>
      </c>
      <c r="O97" s="47">
        <f>O$86-O$87-O$96-O$93-O$94</f>
        <v>27.678651513582203</v>
      </c>
      <c r="P97" s="47">
        <f>P$86-P$87-P$96-P$93-P$94</f>
        <v>-101.66022730913411</v>
      </c>
      <c r="Q97" s="47">
        <f>Q$86-Q$87-Q$96-Q$93-Q$94</f>
        <v>44.42486860874558</v>
      </c>
      <c r="R97" s="47">
        <f>R$86-R$87-R$96-R$93-R$94</f>
        <v>45.43365154862574</v>
      </c>
      <c r="S97" s="47">
        <f>S$86-S$87-S$96-S$93-S$94</f>
        <v>46.43903551630431</v>
      </c>
      <c r="T97" s="47">
        <f>T$86-T$87-T$96-T$93-T$94</f>
        <v>80.47935135445861</v>
      </c>
      <c r="U97" s="47">
        <f>U$86-U$87-U$96-U$93-U$94</f>
        <v>79.12897578021571</v>
      </c>
      <c r="V97" s="47">
        <f>V$86-V$87-V$96-V$93-V$94</f>
        <v>77.77488605727576</v>
      </c>
      <c r="W97" s="47">
        <f>W$86-W$87-W$96-W$93-W$94</f>
        <v>76.41697076117782</v>
      </c>
      <c r="X97" s="47">
        <f>X$86-X$87-X$96-X$93-X$94</f>
        <v>75.05511512472717</v>
      </c>
      <c r="Y97" s="47">
        <f>Y$86-Y$87-Y$96-Y$93-Y$94</f>
        <v>73.68920093771322</v>
      </c>
      <c r="Z97" s="47">
        <f>Z$86-Z$87-Z$96-Z$93-Z$94</f>
        <v>72.31910644361909</v>
      </c>
      <c r="AA97" s="47">
        <f>AA$86-AA$87-AA$96-AA$93-AA$94</f>
        <v>70.94470623323232</v>
      </c>
      <c r="AB97" s="47">
        <f>AB$86-AB$87-AB$96-AB$93-AB$94</f>
        <v>69.56587113506417</v>
      </c>
      <c r="AC97" s="47">
        <f>AC$86-AC$87-AC$96-AC$93-AC$94</f>
        <v>68.18246810248122</v>
      </c>
    </row>
    <row r="98">
      <c r="A98" s="6" t="inlineStr">
        <is>
          <t>DSCR (excl. augmentation and equity-funded cost)</t>
        </is>
      </c>
      <c r="B98" s="2" t="inlineStr">
        <is>
          <t>x</t>
        </is>
      </c>
      <c r="E98" s="48">
        <f>IF(E$93+E$94&gt;0,(E$86+E$85-E$96)/(E$93+E$94),"")</f>
        <v>1.2796220657353923</v>
      </c>
      <c r="F98" s="48">
        <f>IF(F$93+F$94&gt;0,(F$86+F$85-F$96)/(F$93+F$94),"")</f>
        <v>1.3045670345013598</v>
      </c>
      <c r="G98" s="48">
        <f>IF(G$93+G$94&gt;0,(G$86+G$85-G$96)/(G$93+G$94),"")</f>
        <v>1.2634267166754793</v>
      </c>
      <c r="H98" s="48">
        <f>IF(H$93+H$94&gt;0,(H$86+H$85-H$96)/(H$93+H$94),"")</f>
        <v>1.2897990247778215</v>
      </c>
      <c r="I98" s="48">
        <f>IF(I$93+I$94&gt;0,(I$86+I$85-I$96)/(I$93+I$94),"")</f>
        <v>1.3185841380868604</v>
      </c>
      <c r="J98" s="48">
        <f>IF(J$93+J$94&gt;0,(J$86+J$85-J$96)/(J$93+J$94),"")</f>
        <v>1.350133519642163</v>
      </c>
      <c r="K98" s="48">
        <f>IF(K$93+K$94&gt;0,(K$86+K$85-K$96)/(K$93+K$94),"")</f>
        <v>1.3848705931616438</v>
      </c>
      <c r="L98" s="48">
        <f>IF(L$93+L$94&gt;0,(L$86+L$85-L$96)/(L$93+L$94),"")</f>
        <v>1.4233101630729914</v>
      </c>
      <c r="M98" s="48">
        <f>IF(M$93+M$94&gt;0,(M$86+M$85-M$96)/(M$93+M$94),"")</f>
        <v>1.4660844828069028</v>
      </c>
      <c r="N98" s="48">
        <f>IF(N$93+N$94&gt;0,(N$86+N$85-N$96)/(N$93+N$94),"")</f>
        <v>1.5139787873344441</v>
      </c>
      <c r="O98" s="48">
        <f>IF(O$93+O$94&gt;0,(O$86+O$85-O$96)/(O$93+O$94),"")</f>
        <v>1.5679805568776364</v>
      </c>
      <c r="P98" s="48">
        <f>IF(P$93+P$94&gt;0,(P$86+P$85-P$96)/(P$93+P$94),"")</f>
        <v>1.875858651939643</v>
      </c>
      <c r="Q98" s="48">
        <f>IF(Q$93+Q$94&gt;0,(Q$86+Q$85-Q$96)/(Q$93+Q$94),"")</f>
        <v>2.0464141075541797</v>
      </c>
      <c r="R98" s="48">
        <f>IF(R$93+R$94&gt;0,(R$86+R$85-R$96)/(R$93+R$94),"")</f>
        <v>2.1556098721125005</v>
      </c>
      <c r="S98" s="48">
        <f>IF(S$93+S$94&gt;0,(S$86+S$85-S$96)/(S$93+S$94),"")</f>
        <v>2.2836588932232393</v>
      </c>
      <c r="T98" s="48" t="str">
        <f>IF(T$93+T$94&gt;0,(T$86+T$85-T$96)/(T$93+T$94),"")</f>
        <v/>
      </c>
      <c r="U98" s="48" t="str">
        <f>IF(U$93+U$94&gt;0,(U$86+U$85-U$96)/(U$93+U$94),"")</f>
        <v/>
      </c>
      <c r="V98" s="48" t="str">
        <f>IF(V$93+V$94&gt;0,(V$86+V$85-V$96)/(V$93+V$94),"")</f>
        <v/>
      </c>
      <c r="W98" s="48" t="str">
        <f>IF(W$93+W$94&gt;0,(W$86+W$85-W$96)/(W$93+W$94),"")</f>
        <v/>
      </c>
      <c r="X98" s="48" t="str">
        <f>IF(X$93+X$94&gt;0,(X$86+X$85-X$96)/(X$93+X$94),"")</f>
        <v/>
      </c>
      <c r="Y98" s="48" t="str">
        <f>IF(Y$93+Y$94&gt;0,(Y$86+Y$85-Y$96)/(Y$93+Y$94),"")</f>
        <v/>
      </c>
      <c r="Z98" s="48" t="str">
        <f>IF(Z$93+Z$94&gt;0,(Z$86+Z$85-Z$96)/(Z$93+Z$94),"")</f>
        <v/>
      </c>
      <c r="AA98" s="48" t="str">
        <f>IF(AA$93+AA$94&gt;0,(AA$86+AA$85-AA$96)/(AA$93+AA$94),"")</f>
        <v/>
      </c>
      <c r="AB98" s="48" t="str">
        <f>IF(AB$93+AB$94&gt;0,(AB$86+AB$85-AB$96)/(AB$93+AB$94),"")</f>
        <v/>
      </c>
      <c r="AC98" s="48" t="str">
        <f>IF(AC$93+AC$94&gt;0,(AC$86+AC$85-AC$96)/(AC$93+AC$94),"")</f>
        <v/>
      </c>
    </row>
    <row r="99">
      <c r="A99" s="6" t="inlineStr">
        <is>
          <t>Discount factor at WACC</t>
        </is>
      </c>
      <c r="B99" s="2" t="inlineStr">
        <is>
          <t>x</t>
        </is>
      </c>
      <c r="E99" s="46">
        <f>1/(1+$C$48)^E$66</f>
        <v>0.9159505879463925</v>
      </c>
      <c r="F99" s="46">
        <f>1/(1+$C$48)^F$66</f>
        <v>0.8389654795593421</v>
      </c>
      <c r="G99" s="46">
        <f>1/(1+$C$48)^G$66</f>
        <v>0.7684509242691066</v>
      </c>
      <c r="H99" s="46">
        <f>1/(1+$C$48)^H$66</f>
        <v>0.7038630758922371</v>
      </c>
      <c r="I99" s="46">
        <f>1/(1+$C$48)^I$66</f>
        <v>0.6447037981972508</v>
      </c>
      <c r="J99" s="46">
        <f>1/(1+$C$48)^J$66</f>
        <v>0.5905168230100443</v>
      </c>
      <c r="K99" s="46">
        <f>1/(1+$C$48)^K$66</f>
        <v>0.5408842312282859</v>
      </c>
      <c r="L99" s="46">
        <f>1/(1+$C$48)^L$66</f>
        <v>0.49542322960448104</v>
      </c>
      <c r="M99" s="46">
        <f>1/(1+$C$48)^M$66</f>
        <v>0.453783198438525</v>
      </c>
      <c r="N99" s="46">
        <f>1/(1+$C$48)^N$66</f>
        <v>0.4156429874099615</v>
      </c>
      <c r="O99" s="46">
        <f>1/(1+$C$48)^O$66</f>
        <v>0.38070843869394927</v>
      </c>
      <c r="P99" s="46">
        <f>1/(1+$C$48)^P$66</f>
        <v>0.34871011825787596</v>
      </c>
      <c r="Q99" s="46">
        <f>1/(1+$C$48)^Q$66</f>
        <v>0.31940123784115754</v>
      </c>
      <c r="R99" s="46">
        <f>1/(1+$C$48)^R$66</f>
        <v>0.29255575159141384</v>
      </c>
      <c r="S99" s="46">
        <f>1/(1+$C$48)^S$66</f>
        <v>0.26796661267725425</v>
      </c>
      <c r="T99" s="46">
        <f>1/(1+$C$48)^T$66</f>
        <v>0.24544417643173427</v>
      </c>
      <c r="U99" s="46">
        <f>1/(1+$C$48)^U$66</f>
        <v>0.22481473771066512</v>
      </c>
      <c r="V99" s="46">
        <f>1/(1+$C$48)^V$66</f>
        <v>0.20591919118509774</v>
      </c>
      <c r="W99" s="46">
        <f>1/(1+$C$48)^W$66</f>
        <v>0.1886118042354359</v>
      </c>
      <c r="X99" s="46">
        <f>1/(1+$C$48)^X$66</f>
        <v>0.17275909298307737</v>
      </c>
      <c r="Y99" s="46">
        <f>1/(1+$C$48)^Y$66</f>
        <v>0.15823879279093525</v>
      </c>
      <c r="Z99" s="46">
        <f>1/(1+$C$48)^Z$66</f>
        <v>0.14493891529278452</v>
      </c>
      <c r="AA99" s="46">
        <f>1/(1+$C$48)^AA$66</f>
        <v>0.13275688467873836</v>
      </c>
      <c r="AB99" s="46">
        <f>1/(1+$C$48)^AB$66</f>
        <v>0.12159874657542184</v>
      </c>
      <c r="AC99" s="46">
        <f>1/(1+$C$48)^AC$66</f>
        <v>0.11137844341930202</v>
      </c>
    </row>
    <row r="100">
      <c r="A100" s="6" t="inlineStr">
        <is>
          <t>PV of costs net of surplus solar</t>
        </is>
      </c>
      <c r="B100" s="2" t="inlineStr">
        <is>
          <t>₹ Cr</t>
        </is>
      </c>
      <c r="E100" s="36">
        <f>(E$79+E$80+E$81+E$82+E$83+E$84+E$85+E$87-E$77)*E$99</f>
        <v>78.3524914168189</v>
      </c>
      <c r="F100" s="36">
        <f>(F$79+F$80+F$81+F$82+F$83+F$84+F$85+F$87-F$77)*F$99</f>
        <v>71.06993969108483</v>
      </c>
      <c r="G100" s="36">
        <f>(G$79+G$80+G$81+G$82+G$83+G$84+G$85+G$87-G$77)*G$99</f>
        <v>49.09150023767988</v>
      </c>
      <c r="H100" s="36">
        <f>(H$79+H$80+H$81+H$82+H$83+H$84+H$85+H$87-H$77)*H$99</f>
        <v>44.38512216783948</v>
      </c>
      <c r="I100" s="36">
        <f>(I$79+I$80+I$81+I$82+I$83+I$84+I$85+I$87-I$77)*I$99</f>
        <v>40.12526246535802</v>
      </c>
      <c r="J100" s="36">
        <f>(J$79+J$80+J$81+J$82+J$83+J$84+J$85+J$87-J$77)*J$99</f>
        <v>36.269985932872885</v>
      </c>
      <c r="K100" s="36">
        <f>(K$79+K$80+K$81+K$82+K$83+K$84+K$85+K$87-K$77)*K$99</f>
        <v>32.78125926246894</v>
      </c>
      <c r="L100" s="36">
        <f>(L$79+L$80+L$81+L$82+L$83+L$84+L$85+L$87-L$77)*L$99</f>
        <v>29.624590981126442</v>
      </c>
      <c r="M100" s="36">
        <f>(M$79+M$80+M$81+M$82+M$83+M$84+M$85+M$87-M$77)*M$99</f>
        <v>26.768704379100534</v>
      </c>
      <c r="N100" s="36">
        <f>(N$79+N$80+N$81+N$82+N$83+N$84+N$85+N$87-N$77)*N$99</f>
        <v>24.185240419112773</v>
      </c>
      <c r="O100" s="36">
        <f>(O$79+O$80+O$81+O$82+O$83+O$84+O$85+O$87-O$77)*O$99</f>
        <v>21.848487895957323</v>
      </c>
      <c r="P100" s="36">
        <f>(P$79+P$80+P$81+P$82+P$83+P$84+P$85+P$87-P$77)*P$99</f>
        <v>69.11014898997371</v>
      </c>
      <c r="Q100" s="36">
        <f>(Q$79+Q$80+Q$81+Q$82+Q$83+Q$84+Q$85+Q$87-Q$77)*Q$99</f>
        <v>21.41565843884847</v>
      </c>
      <c r="R100" s="36">
        <f>(R$79+R$80+R$81+R$82+R$83+R$84+R$85+R$87-R$77)*R$99</f>
        <v>19.38583678282046</v>
      </c>
      <c r="S100" s="36">
        <f>(S$79+S$80+S$81+S$82+S$83+S$84+S$85+S$87-S$77)*S$99</f>
        <v>17.547156219570475</v>
      </c>
      <c r="T100" s="36">
        <f>(T$79+T$80+T$81+T$82+T$83+T$84+T$85+T$87-T$77)*T$99</f>
        <v>15.881756576127163</v>
      </c>
      <c r="U100" s="36">
        <f>(U$79+U$80+U$81+U$82+U$83+U$84+U$85+U$87-U$77)*U$99</f>
        <v>14.373433570151127</v>
      </c>
      <c r="V100" s="36">
        <f>(V$79+V$80+V$81+V$82+V$83+V$84+V$85+V$87-V$77)*V$99</f>
        <v>13.007486405992802</v>
      </c>
      <c r="W100" s="36">
        <f>(W$79+W$80+W$81+W$82+W$83+W$84+W$85+W$87-W$77)*W$99</f>
        <v>11.770579304425464</v>
      </c>
      <c r="X100" s="36">
        <f>(X$79+X$80+X$81+X$82+X$83+X$84+X$85+X$87-X$77)*X$99</f>
        <v>10.650615699741467</v>
      </c>
      <c r="Y100" s="36">
        <f>(Y$79+Y$80+Y$81+Y$82+Y$83+Y$84+Y$85+Y$87-Y$77)*Y$99</f>
        <v>9.636623952373556</v>
      </c>
      <c r="Z100" s="36">
        <f>(Z$79+Z$80+Z$81+Z$82+Z$83+Z$84+Z$85+Z$87-Z$77)*Z$99</f>
        <v>8.718653529377281</v>
      </c>
      <c r="AA100" s="36">
        <f>(AA$79+AA$80+AA$81+AA$82+AA$83+AA$84+AA$85+AA$87-AA$77)*AA$99</f>
        <v>7.887680699907947</v>
      </c>
      <c r="AB100" s="36">
        <f>(AB$79+AB$80+AB$81+AB$82+AB$83+AB$84+AB$85+AB$87-AB$77)*AB$99</f>
        <v>7.135522879086611</v>
      </c>
      <c r="AC100" s="36">
        <f>(AC$79+AC$80+AC$81+AC$82+AC$83+AC$84+AC$85+AC$87-AC$77)*AC$99</f>
        <v>6.454760832139852</v>
      </c>
    </row>
    <row r="101">
      <c r="A101" s="6" t="inlineStr">
        <is>
          <t>PV of BESS MWh sold</t>
        </is>
      </c>
      <c r="B101" s="2" t="inlineStr">
        <is>
          <t>MWh</t>
        </is>
      </c>
      <c r="E101" s="27">
        <f>E$73*E$99</f>
        <v>198587.24697265736</v>
      </c>
      <c r="F101" s="27">
        <f>F$73*F$99</f>
        <v>179147.04609243083</v>
      </c>
      <c r="G101" s="27">
        <f>G$73*G$99</f>
        <v>161571.83950365798</v>
      </c>
      <c r="H101" s="27">
        <f>H$73*H$99</f>
        <v>145685.45534133565</v>
      </c>
      <c r="I101" s="27">
        <f>I$73*I$99</f>
        <v>131328.16113779705</v>
      </c>
      <c r="J101" s="27">
        <f>J$73*J$99</f>
        <v>118355.14491090283</v>
      </c>
      <c r="K101" s="27">
        <f>K$73*K$99</f>
        <v>106635.13544662538</v>
      </c>
      <c r="L101" s="27">
        <f>L$73*L$99</f>
        <v>96049.14910766845</v>
      </c>
      <c r="M101" s="27">
        <f>M$73*M$99</f>
        <v>86489.35164598578</v>
      </c>
      <c r="N101" s="27">
        <f>N$73*N$99</f>
        <v>77858.02454010412</v>
      </c>
      <c r="O101" s="27">
        <f>O$73*O$99</f>
        <v>70066.62632725501</v>
      </c>
      <c r="P101" s="27">
        <f>P$73*P$99</f>
        <v>63034.94026390735</v>
      </c>
      <c r="Q101" s="27">
        <f>Q$73*Q$99</f>
        <v>69249.38237634137</v>
      </c>
      <c r="R101" s="27">
        <f>R$73*R$99</f>
        <v>62470.387628440716</v>
      </c>
      <c r="S101" s="27">
        <f>S$73*S$99</f>
        <v>56341.73526046313</v>
      </c>
      <c r="T101" s="27">
        <f>T$73*T$99</f>
        <v>50801.99236052965</v>
      </c>
      <c r="U101" s="27">
        <f>U$73*U$99</f>
        <v>45795.4586009506</v>
      </c>
      <c r="V101" s="27">
        <f>V$73*V$99</f>
        <v>41271.63657830897</v>
      </c>
      <c r="W101" s="27">
        <f>W$73*W$99</f>
        <v>37184.750692037356</v>
      </c>
      <c r="X101" s="27">
        <f>X$73*X$99</f>
        <v>33493.310143903414</v>
      </c>
      <c r="Y101" s="27">
        <f>Y$73*Y$99</f>
        <v>30159.71204051872</v>
      </c>
      <c r="Z101" s="27">
        <f>Z$73*Z$99</f>
        <v>27149.880944704317</v>
      </c>
      <c r="AA101" s="27">
        <f>AA$73*AA$99</f>
        <v>24432.941552507502</v>
      </c>
      <c r="AB101" s="27">
        <f>AB$73*AB$99</f>
        <v>21980.92147380528</v>
      </c>
      <c r="AC101" s="27">
        <f>AC$73*AC$99</f>
        <v>19768.48136842603</v>
      </c>
    </row>
    <row r="102">
      <c r="A102" s="6" t="inlineStr">
        <is>
          <t>PV of BESS revenue</t>
        </is>
      </c>
      <c r="B102" s="2" t="inlineStr">
        <is>
          <t>₹ Cr</t>
        </is>
      </c>
      <c r="E102" s="36">
        <f>E$76*E$99</f>
        <v>156.13207379136082</v>
      </c>
      <c r="F102" s="36">
        <f>F$76*F$99</f>
        <v>140.84791569651438</v>
      </c>
      <c r="G102" s="36">
        <f>G$76*G$99</f>
        <v>127.03004222352895</v>
      </c>
      <c r="H102" s="36">
        <f>H$76*H$99</f>
        <v>114.53994458573285</v>
      </c>
      <c r="I102" s="36">
        <f>I$76*I$99</f>
        <v>103.25203888079196</v>
      </c>
      <c r="J102" s="36">
        <f>J$76*J$99</f>
        <v>93.05247190098055</v>
      </c>
      <c r="K102" s="36">
        <f>K$76*K$99</f>
        <v>83.83803638003312</v>
      </c>
      <c r="L102" s="36">
        <f>L$76*L$99</f>
        <v>75.51518571653642</v>
      </c>
      <c r="M102" s="36">
        <f>M$76*M$99</f>
        <v>67.99913911499705</v>
      </c>
      <c r="N102" s="36">
        <f>N$76*N$99</f>
        <v>61.21306890577341</v>
      </c>
      <c r="O102" s="36">
        <f>O$76*O$99</f>
        <v>55.087362551256476</v>
      </c>
      <c r="P102" s="36">
        <f>P$76*P$99</f>
        <v>49.558952524647644</v>
      </c>
      <c r="Q102" s="36">
        <f>Q$76*Q$99</f>
        <v>54.44483391563285</v>
      </c>
      <c r="R102" s="36">
        <f>R$76*R$99</f>
        <v>49.11509333890688</v>
      </c>
      <c r="S102" s="36">
        <f>S$76*S$99</f>
        <v>44.29666104606976</v>
      </c>
      <c r="T102" s="36">
        <f>T$76*T$99</f>
        <v>39.94123762174146</v>
      </c>
      <c r="U102" s="36">
        <f>U$76*U$99</f>
        <v>36.00503068848777</v>
      </c>
      <c r="V102" s="36">
        <f>V$76*V$99</f>
        <v>32.44833848077861</v>
      </c>
      <c r="W102" s="36">
        <f>W$76*W$99</f>
        <v>29.235171580589455</v>
      </c>
      <c r="X102" s="36">
        <f>X$76*X$99</f>
        <v>26.332909341478878</v>
      </c>
      <c r="Y102" s="36">
        <f>Y$76*Y$99</f>
        <v>23.71198784222438</v>
      </c>
      <c r="Z102" s="36">
        <f>Z$76*Z$99</f>
        <v>21.34561649705976</v>
      </c>
      <c r="AA102" s="36">
        <f>AA$76*AA$99</f>
        <v>19.209520709763133</v>
      </c>
      <c r="AB102" s="36">
        <f>AB$76*AB$99</f>
        <v>17.281708195606342</v>
      </c>
      <c r="AC102" s="36">
        <f>AC$76*AC$99</f>
        <v>15.542256810595699</v>
      </c>
    </row>
    <row r="103">
      <c r="A103" s="6" t="inlineStr">
        <is>
          <t>Cumulative post-tax cash flow</t>
        </is>
      </c>
      <c r="B103" s="2" t="inlineStr">
        <is>
          <t>₹ Cr</t>
        </is>
      </c>
      <c r="D103" s="36">
        <f>D$91</f>
        <v>-707.9664173966522</v>
      </c>
      <c r="E103" s="36">
        <f>D$103+E$91</f>
        <v>-637.295378654231</v>
      </c>
      <c r="F103" s="36">
        <f>E$103+F$91</f>
        <v>-567.9303762200043</v>
      </c>
      <c r="G103" s="36">
        <f>F$103+G$91</f>
        <v>-484.9077940646879</v>
      </c>
      <c r="H103" s="36">
        <f>G$103+H$91</f>
        <v>-403.1960876781189</v>
      </c>
      <c r="I103" s="36">
        <f>H$103+I$91</f>
        <v>-322.79778621482944</v>
      </c>
      <c r="J103" s="36">
        <f>I$103+J$91</f>
        <v>-243.71549470398776</v>
      </c>
      <c r="K103" s="36">
        <f>J$103+K$91</f>
        <v>-165.95189632563705</v>
      </c>
      <c r="L103" s="36">
        <f>K$103+L$91</f>
        <v>-89.50975475522179</v>
      </c>
      <c r="M103" s="36">
        <f>L$103+M$91</f>
        <v>-14.391916578449838</v>
      </c>
      <c r="N103" s="36">
        <f>M$103+N$91</f>
        <v>59.39868622139974</v>
      </c>
      <c r="O103" s="36">
        <f>N$103+O$91</f>
        <v>131.8590337015495</v>
      </c>
      <c r="P103" s="36">
        <f>O$103+P$91</f>
        <v>75.79184367275977</v>
      </c>
      <c r="Q103" s="36">
        <f>P$103+Q$91</f>
        <v>160.30110298618337</v>
      </c>
      <c r="R103" s="36">
        <f>Q$103+R$91</f>
        <v>243.47049260854237</v>
      </c>
      <c r="S103" s="36">
        <f>R$103+S$91</f>
        <v>325.29661356763506</v>
      </c>
      <c r="T103" s="36">
        <f>S$103+T$91</f>
        <v>405.7759649220937</v>
      </c>
      <c r="U103" s="36">
        <f>T$103+U$91</f>
        <v>484.90494070230943</v>
      </c>
      <c r="V103" s="36">
        <f>U$103+V$91</f>
        <v>562.6798267595852</v>
      </c>
      <c r="W103" s="36">
        <f>V$103+W$91</f>
        <v>639.0967975207631</v>
      </c>
      <c r="X103" s="36">
        <f>W$103+X$91</f>
        <v>714.1519126454903</v>
      </c>
      <c r="Y103" s="36">
        <f>X$103+Y$91</f>
        <v>787.8411135832034</v>
      </c>
      <c r="Z103" s="36">
        <f>Y$103+Z$91</f>
        <v>860.1602200268226</v>
      </c>
      <c r="AA103" s="36">
        <f>Z$103+AA$91</f>
        <v>931.1049262600549</v>
      </c>
      <c r="AB103" s="36">
        <f>AA$103+AB$91</f>
        <v>1000.670797395119</v>
      </c>
      <c r="AC103" s="36">
        <f>AB$103+AC$91</f>
        <v>1068.8532654976002</v>
      </c>
    </row>
    <row r="104">
      <c r="A104" s="6" t="inlineStr">
        <is>
          <t>Payback helper</t>
        </is>
      </c>
      <c r="B104" s="2" t="inlineStr">
        <is>
          <t>years</t>
        </is>
      </c>
      <c r="E104" s="49">
        <f>IF(AND(D$103&lt;0,E$103&gt;=0),E$66-1+(-D$103)/E$91,0)</f>
        <v>0.0</v>
      </c>
      <c r="F104" s="49">
        <f>IF(AND(E$103&lt;0,F$103&gt;=0),F$66-1+(-E$103)/F$91,0)</f>
        <v>0.0</v>
      </c>
      <c r="G104" s="49">
        <f>IF(AND(F$103&lt;0,G$103&gt;=0),G$66-1+(-F$103)/G$91,0)</f>
        <v>0.0</v>
      </c>
      <c r="H104" s="49">
        <f>IF(AND(G$103&lt;0,H$103&gt;=0),H$66-1+(-G$103)/H$91,0)</f>
        <v>0.0</v>
      </c>
      <c r="I104" s="49">
        <f>IF(AND(H$103&lt;0,I$103&gt;=0),I$66-1+(-H$103)/I$91,0)</f>
        <v>0.0</v>
      </c>
      <c r="J104" s="49">
        <f>IF(AND(I$103&lt;0,J$103&gt;=0),J$66-1+(-I$103)/J$91,0)</f>
        <v>0.0</v>
      </c>
      <c r="K104" s="49">
        <f>IF(AND(J$103&lt;0,K$103&gt;=0),K$66-1+(-J$103)/K$91,0)</f>
        <v>0.0</v>
      </c>
      <c r="L104" s="49">
        <f>IF(AND(K$103&lt;0,L$103&gt;=0),L$66-1+(-K$103)/L$91,0)</f>
        <v>0.0</v>
      </c>
      <c r="M104" s="49">
        <f>IF(AND(L$103&lt;0,M$103&gt;=0),M$66-1+(-L$103)/M$91,0)</f>
        <v>0.0</v>
      </c>
      <c r="N104" s="49">
        <f>IF(AND(M$103&lt;0,N$103&gt;=0),N$66-1+(-M$103)/N$91,0)</f>
        <v>9.195037254506332</v>
      </c>
      <c r="O104" s="49">
        <f>IF(AND(N$103&lt;0,O$103&gt;=0),O$66-1+(-N$103)/O$91,0)</f>
        <v>0.0</v>
      </c>
      <c r="P104" s="49">
        <f>IF(AND(O$103&lt;0,P$103&gt;=0),P$66-1+(-O$103)/P$91,0)</f>
        <v>0.0</v>
      </c>
      <c r="Q104" s="49">
        <f>IF(AND(P$103&lt;0,Q$103&gt;=0),Q$66-1+(-P$103)/Q$91,0)</f>
        <v>0.0</v>
      </c>
      <c r="R104" s="49">
        <f>IF(AND(Q$103&lt;0,R$103&gt;=0),R$66-1+(-Q$103)/R$91,0)</f>
        <v>0.0</v>
      </c>
      <c r="S104" s="49">
        <f>IF(AND(R$103&lt;0,S$103&gt;=0),S$66-1+(-R$103)/S$91,0)</f>
        <v>0.0</v>
      </c>
      <c r="T104" s="49">
        <f>IF(AND(S$103&lt;0,T$103&gt;=0),T$66-1+(-S$103)/T$91,0)</f>
        <v>0.0</v>
      </c>
      <c r="U104" s="49">
        <f>IF(AND(T$103&lt;0,U$103&gt;=0),U$66-1+(-T$103)/U$91,0)</f>
        <v>0.0</v>
      </c>
      <c r="V104" s="49">
        <f>IF(AND(U$103&lt;0,V$103&gt;=0),V$66-1+(-U$103)/V$91,0)</f>
        <v>0.0</v>
      </c>
      <c r="W104" s="49">
        <f>IF(AND(V$103&lt;0,W$103&gt;=0),W$66-1+(-V$103)/W$91,0)</f>
        <v>0.0</v>
      </c>
      <c r="X104" s="49">
        <f>IF(AND(W$103&lt;0,X$103&gt;=0),X$66-1+(-W$103)/X$91,0)</f>
        <v>0.0</v>
      </c>
      <c r="Y104" s="49">
        <f>IF(AND(X$103&lt;0,Y$103&gt;=0),Y$66-1+(-X$103)/Y$91,0)</f>
        <v>0.0</v>
      </c>
      <c r="Z104" s="49">
        <f>IF(AND(Y$103&lt;0,Z$103&gt;=0),Z$66-1+(-Y$103)/Z$91,0)</f>
        <v>0.0</v>
      </c>
      <c r="AA104" s="49">
        <f>IF(AND(Z$103&lt;0,AA$103&gt;=0),AA$66-1+(-Z$103)/AA$91,0)</f>
        <v>0.0</v>
      </c>
      <c r="AB104" s="49">
        <f>IF(AND(AA$103&lt;0,AB$103&gt;=0),AB$66-1+(-AA$103)/AB$91,0)</f>
        <v>0.0</v>
      </c>
      <c r="AC104" s="49">
        <f>IF(AND(AB$103&lt;0,AC$103&gt;=0),AC$66-1+(-AB$103)/AC$91,0)</f>
        <v>0.0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8" t="inlineStr">
        <is>
          <t>CATL 12,000-cycle BESS · IEX only · 1 cycle a day (₹ Crore unless stated)</t>
        </is>
      </c>
    </row>
    <row r="2">
      <c r="A2" s="2" t="inlineStr">
        <is>
          <t>Uses the plant, losses, charges, tax and financing from Assumptions, and the CATL inputs. No solar.</t>
        </is>
      </c>
    </row>
    <row r="4">
      <c r="A4" s="3" t="inlineStr">
        <is>
          <t>Sizing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6" t="inlineStr">
        <is>
          <t>Night connectivity</t>
        </is>
      </c>
      <c r="B5" s="2" t="inlineStr">
        <is>
          <t>MW</t>
        </is>
      </c>
      <c r="C5" s="16">
        <f>INDEX(Assumptions!$B$102:$B$104,MATCH(Assumptions!$B$6,Assumptions!$A$102:$A$104,0))</f>
        <v>300.0</v>
      </c>
    </row>
    <row r="6">
      <c r="A6" s="6" t="inlineStr">
        <is>
          <t>Duration</t>
        </is>
      </c>
      <c r="B6" s="2" t="inlineStr">
        <is>
          <t>hours</t>
        </is>
      </c>
      <c r="C6" s="29">
        <f>Assumptions!$B$65</f>
        <v>4.0</v>
      </c>
    </row>
    <row r="7">
      <c r="A7" s="6" t="inlineStr">
        <is>
          <t>Cycles a day</t>
        </is>
      </c>
      <c r="B7" s="2" t="inlineStr">
        <is>
          <t>cycles</t>
        </is>
      </c>
      <c r="C7" s="30">
        <f>1</f>
        <v>1.0</v>
      </c>
    </row>
    <row r="8">
      <c r="A8" s="6" t="inlineStr">
        <is>
          <t>One-way efficiency</t>
        </is>
      </c>
      <c r="B8" s="2" t="inlineStr">
        <is>
          <t>%</t>
        </is>
      </c>
      <c r="C8" s="31">
        <f>SQRT(Assumptions!$B$74)</f>
        <v>0.9486832980505138</v>
      </c>
    </row>
    <row r="9">
      <c r="A9" s="6" t="inlineStr">
        <is>
          <t>Fade per cycle = (1 − end-of-life) ÷ rated cycles</t>
        </is>
      </c>
      <c r="B9" s="2" t="inlineStr">
        <is>
          <t>%</t>
        </is>
      </c>
      <c r="C9" s="50">
        <f>(1-Assumptions!$B$71)/Assumptions!$B$70</f>
        <v>2.5000000000000005e-05</v>
      </c>
    </row>
    <row r="10">
      <c r="A10" s="6" t="inlineStr">
        <is>
          <t>Cycles a year</t>
        </is>
      </c>
      <c r="B10" s="2" t="inlineStr">
        <is>
          <t>cycles</t>
        </is>
      </c>
      <c r="C10" s="27">
        <f>Assumptions!$B$62*Assumptions!$B$76*$C$7</f>
        <v>361.35</v>
      </c>
    </row>
    <row r="11">
      <c r="A11" s="6" t="inlineStr">
        <is>
          <t>Year-1 average capacity</t>
        </is>
      </c>
      <c r="B11" s="2" t="inlineStr">
        <is>
          <t>%</t>
        </is>
      </c>
      <c r="C11" s="32">
        <f>1-$C$9*$C$10/2-Assumptions!$B$72/2</f>
        <v>0.9939831250000001</v>
      </c>
    </row>
    <row r="12">
      <c r="A12" s="6" t="inlineStr">
        <is>
          <t>Discharge chain</t>
        </is>
      </c>
      <c r="B12" s="2" t="inlineStr">
        <is>
          <t>%</t>
        </is>
      </c>
      <c r="C12" s="31">
        <f>$C$8*(1-Assumptions!$B$75)*(1-Assumptions!$B$39)</f>
        <v>0.9298045004193085</v>
      </c>
    </row>
    <row r="13">
      <c r="A13" s="5" t="inlineStr">
        <is>
          <t>Energy sold per cycle</t>
        </is>
      </c>
      <c r="B13" s="2" t="inlineStr">
        <is>
          <t>MWh</t>
        </is>
      </c>
      <c r="C13" s="33">
        <f>$C$5*$C$6</f>
        <v>1200.0</v>
      </c>
    </row>
    <row r="14">
      <c r="A14" s="6" t="inlineStr">
        <is>
          <t>Stored energy needed</t>
        </is>
      </c>
      <c r="B14" s="2" t="inlineStr">
        <is>
          <t>MWh</t>
        </is>
      </c>
      <c r="C14" s="34">
        <f>$C$13/$C$12</f>
        <v>1290.593882325632</v>
      </c>
    </row>
    <row r="15">
      <c r="A15" s="5" t="inlineStr">
        <is>
          <t>Nameplate</t>
        </is>
      </c>
      <c r="B15" s="2" t="inlineStr">
        <is>
          <t>MWh</t>
        </is>
      </c>
      <c r="C15" s="33">
        <f>$C$14/Assumptions!$B$73/$C$11</f>
        <v>1442.6735892362715</v>
      </c>
    </row>
    <row r="16">
      <c r="A16" s="6" t="inlineStr">
        <is>
          <t>IEX purchase per cycle</t>
        </is>
      </c>
      <c r="B16" s="2" t="inlineStr">
        <is>
          <t>MWh</t>
        </is>
      </c>
      <c r="C16" s="34">
        <f>$C$14/$C$8/(1-Assumptions!$B$39)/(1-Assumptions!$B$40)</f>
        <v>1416.64625722112</v>
      </c>
    </row>
    <row r="17">
      <c r="A17" s="6" t="inlineStr">
        <is>
          <t>Discharge window length</t>
        </is>
      </c>
      <c r="B17" s="2" t="inlineStr">
        <is>
          <t>blocks</t>
        </is>
      </c>
      <c r="C17" s="30">
        <f>$C$6*4</f>
        <v>16.0</v>
      </c>
    </row>
    <row r="18">
      <c r="A18" s="6" t="inlineStr">
        <is>
          <t>Charge window length</t>
        </is>
      </c>
      <c r="B18" s="2" t="inlineStr">
        <is>
          <t>blocks</t>
        </is>
      </c>
      <c r="C18" s="30">
        <f>MIN(48-$C$17,ROUNDUP($C$16/($C$5*0.25)-0.000000001,0))</f>
        <v>19.0</v>
      </c>
    </row>
    <row r="19">
      <c r="A19" s="6" t="inlineStr">
        <is>
          <t>Capacity loss a year = fade per cycle × cycles + calendar</t>
        </is>
      </c>
      <c r="B19" s="2" t="inlineStr">
        <is>
          <t>%</t>
        </is>
      </c>
      <c r="C19" s="32">
        <f>$C$9*$C$10+Assumptions!$B$72</f>
        <v>0.012033750000000003</v>
      </c>
    </row>
    <row r="20">
      <c r="A20" s="6" t="inlineStr">
        <is>
          <t>Years to end of life</t>
        </is>
      </c>
      <c r="B20" s="2" t="inlineStr">
        <is>
          <t>years</t>
        </is>
      </c>
      <c r="C20" s="45">
        <f>(1-Assumptions!$B$71)/$C$19</f>
        <v>24.929884699283264</v>
      </c>
    </row>
    <row r="22">
      <c r="A22" s="3" t="inlineStr">
        <is>
          <t>Windows &amp; prices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6" t="inlineStr">
        <is>
          <t>Charge 1 start</t>
        </is>
      </c>
      <c r="B23" s="2" t="inlineStr">
        <is>
          <t>block</t>
        </is>
      </c>
      <c r="C23" s="29">
        <f>IF($C$6=2,Assumptions!$B$78,Assumptions!$B$84)</f>
        <v>40.0</v>
      </c>
    </row>
    <row r="24">
      <c r="A24" s="6" t="inlineStr">
        <is>
          <t>Discharge 1 start</t>
        </is>
      </c>
      <c r="B24" s="2" t="inlineStr">
        <is>
          <t>block</t>
        </is>
      </c>
      <c r="C24" s="29">
        <f>IF($C$6=2,Assumptions!$B$79,Assumptions!$B$85)</f>
        <v>73.0</v>
      </c>
    </row>
    <row r="25">
      <c r="A25" s="6" t="inlineStr">
        <is>
          <t>Average sale price, discharge 1</t>
        </is>
      </c>
      <c r="B25" s="2" t="inlineStr">
        <is>
          <t>₹ / MWh</t>
        </is>
      </c>
      <c r="C25" s="27">
        <f>SUMPRODUCT((Prices!$A$5:$A$7=Assumptions!$B$68)*(Prices!$B$3:$GK$3&gt;=$C$24)*(Prices!$B$3:$GK$3&lt;($C$24)+($C$17))*Prices!$B$5:$GK$7)/($C$17)</f>
        <v>6956.533125</v>
      </c>
    </row>
    <row r="26">
      <c r="A26" s="6" t="inlineStr">
        <is>
          <t>Average purchase price, charge 1</t>
        </is>
      </c>
      <c r="B26" s="2" t="inlineStr">
        <is>
          <t>₹ / MWh</t>
        </is>
      </c>
      <c r="C26" s="27">
        <f>SUMPRODUCT((Prices!$A$5:$A$7=Assumptions!$B$67)*(Prices!$B$3:$GK$3&gt;=$C$23)*(Prices!$B$3:$GK$3&lt;($C$23)+($C$18))*Prices!$B$5:$GK$7)/($C$18)</f>
        <v>1744.5236842105262</v>
      </c>
    </row>
    <row r="27">
      <c r="A27" s="6" t="inlineStr">
        <is>
          <t>Sum of cycle sale prices</t>
        </is>
      </c>
      <c r="B27" s="2" t="inlineStr">
        <is>
          <t>₹ / MWh</t>
        </is>
      </c>
      <c r="C27" s="27">
        <f>$C$25</f>
        <v>6956.533125</v>
      </c>
    </row>
    <row r="28">
      <c r="A28" s="6" t="inlineStr">
        <is>
          <t>Sum of cycle purchase prices</t>
        </is>
      </c>
      <c r="B28" s="2" t="inlineStr">
        <is>
          <t>₹ / MWh</t>
        </is>
      </c>
      <c r="C28" s="27">
        <f>$C$26</f>
        <v>1744.5236842105262</v>
      </c>
    </row>
    <row r="29">
      <c r="A29" s="6" t="inlineStr">
        <is>
          <t>Year-1 energy bought</t>
        </is>
      </c>
      <c r="B29" s="2" t="inlineStr">
        <is>
          <t>MWh</t>
        </is>
      </c>
      <c r="C29" s="27">
        <f>$C$16*Assumptions!$B$62*Assumptions!$B$76*$C$7</f>
        <v>511905.1250468517</v>
      </c>
    </row>
    <row r="30">
      <c r="A30" s="6" t="inlineStr">
        <is>
          <t>Year-1 energy sold</t>
        </is>
      </c>
      <c r="B30" s="2" t="inlineStr">
        <is>
          <t>MWh</t>
        </is>
      </c>
      <c r="C30" s="27">
        <f>$C$13*Assumptions!$B$62*Assumptions!$B$76*$C$7</f>
        <v>433620.0</v>
      </c>
    </row>
    <row r="31">
      <c r="A31" s="6" t="inlineStr">
        <is>
          <t>Year-1 purchase cost</t>
        </is>
      </c>
      <c r="B31" s="2" t="inlineStr">
        <is>
          <t>₹ Cr</t>
        </is>
      </c>
      <c r="C31" s="36">
        <f>$C$16*Assumptions!$B$62*Assumptions!$B$76*$C$28/10000000</f>
        <v>89.30306147129838</v>
      </c>
    </row>
    <row r="32">
      <c r="A32" s="6" t="inlineStr">
        <is>
          <t>Year-1 sales revenue</t>
        </is>
      </c>
      <c r="B32" s="2" t="inlineStr">
        <is>
          <t>₹ Cr</t>
        </is>
      </c>
      <c r="C32" s="36">
        <f>$C$13*Assumptions!$B$62*Assumptions!$B$76*$C$27/10000000</f>
        <v>301.64918936624997</v>
      </c>
    </row>
    <row r="34">
      <c r="A34" s="3" t="inlineStr">
        <is>
          <t>Capex &amp; financing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>
      <c r="A35" s="6" t="inlineStr">
        <is>
          <t>BESS capex</t>
        </is>
      </c>
      <c r="B35" s="2" t="inlineStr">
        <is>
          <t>₹ Cr</t>
        </is>
      </c>
      <c r="C35" s="36">
        <f>$C$15*Assumptions!$B$69</f>
        <v>1514.8072686980852</v>
      </c>
    </row>
    <row r="36">
      <c r="A36" s="5" t="inlineStr">
        <is>
          <t>Total capex</t>
        </is>
      </c>
      <c r="B36" s="2" t="inlineStr">
        <is>
          <t>₹ Cr</t>
        </is>
      </c>
      <c r="C36" s="37">
        <f>$C$35</f>
        <v>1514.8072686980852</v>
      </c>
    </row>
    <row r="37">
      <c r="A37" s="6" t="inlineStr">
        <is>
          <t>Debt share</t>
        </is>
      </c>
      <c r="B37" s="2" t="inlineStr">
        <is>
          <t>%</t>
        </is>
      </c>
      <c r="C37" s="31">
        <f>MIN(0.95,MAX(0,Assumptions!$B$58))</f>
        <v>0.7</v>
      </c>
    </row>
    <row r="38">
      <c r="A38" s="5" t="inlineStr">
        <is>
          <t>WACC</t>
        </is>
      </c>
      <c r="B38" s="2" t="inlineStr">
        <is>
          <t>%</t>
        </is>
      </c>
      <c r="C38" s="38">
        <f>(1-$C$37)*Assumptions!$B$61+$C$37*Assumptions!$B$59*(1-Assumptions!$B$52)</f>
        <v>0.09176195000000001</v>
      </c>
    </row>
    <row r="39">
      <c r="A39" s="6" t="inlineStr">
        <is>
          <t>Debt</t>
        </is>
      </c>
      <c r="B39" s="2" t="inlineStr">
        <is>
          <t>₹ Cr</t>
        </is>
      </c>
      <c r="C39" s="36">
        <f>$C$36*$C$37</f>
        <v>1060.3650880886596</v>
      </c>
    </row>
    <row r="40">
      <c r="A40" s="6" t="inlineStr">
        <is>
          <t>Equity</t>
        </is>
      </c>
      <c r="B40" s="2" t="inlineStr">
        <is>
          <t>₹ Cr</t>
        </is>
      </c>
      <c r="C40" s="36">
        <f>$C$36-$C$39</f>
        <v>454.4421806094256</v>
      </c>
    </row>
    <row r="41">
      <c r="A41" s="6" t="inlineStr">
        <is>
          <t>Annual principal repayment</t>
        </is>
      </c>
      <c r="B41" s="2" t="inlineStr">
        <is>
          <t>₹ Cr</t>
        </is>
      </c>
      <c r="C41" s="36">
        <f>$C$39/MAX(1,Assumptions!$B$60)</f>
        <v>70.6910058725773</v>
      </c>
    </row>
    <row r="42">
      <c r="A42" s="3" t="inlineStr">
        <is>
          <t>Results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>
      <c r="A43" s="5" t="inlineStr">
        <is>
          <t>Project IRR, post-tax</t>
        </is>
      </c>
      <c r="C43" s="39">
        <f>IFERROR(IRR($D$73:$AC$73),"&lt; 0%")</f>
        <v>0.06701022949850532</v>
      </c>
    </row>
    <row r="44">
      <c r="A44" s="5" t="inlineStr">
        <is>
          <t>Project IRR, pre-tax</t>
        </is>
      </c>
      <c r="C44" s="39">
        <f>IFERROR(IRR($D$72:$AC$72),"&lt; 0%")</f>
        <v>0.08679487434245647</v>
      </c>
    </row>
    <row r="45">
      <c r="A45" s="5" t="inlineStr">
        <is>
          <t>Equity IRR, post-tax</t>
        </is>
      </c>
      <c r="C45" s="39">
        <f>IFERROR(IRR($D$79:$AC$79),"&lt; 0%")</f>
        <v>0.06322633123365917</v>
      </c>
    </row>
    <row r="46">
      <c r="A46" s="5" t="inlineStr">
        <is>
          <t>NPV at WACC, post-tax</t>
        </is>
      </c>
      <c r="C46" s="37">
        <f>$D$73+NPV($C$38,$E$73:$AC$73)</f>
        <v>-275.8743387078416</v>
      </c>
    </row>
    <row r="47">
      <c r="A47" s="5" t="inlineStr">
        <is>
          <t>Payback, post-tax (years)</t>
        </is>
      </c>
      <c r="C47" s="40">
        <f>IF(SUM($E$82:$AC$82)&gt;0,SUM($E$82:$AC$82),"beyond life")</f>
        <v>11.404181681033053</v>
      </c>
    </row>
    <row r="48">
      <c r="A48" s="5" t="inlineStr">
        <is>
          <t>Minimum DSCR</t>
        </is>
      </c>
      <c r="C48" s="41">
        <f>MIN($E$80:$AC$80)</f>
        <v>1.0112612893883797</v>
      </c>
    </row>
    <row r="49">
      <c r="A49" s="5" t="inlineStr">
        <is>
          <t>First cell replacement year</t>
        </is>
      </c>
      <c r="C49" s="51" t="str">
        <f>IFERROR(INDEX($E$53:$AC$53,MATCH(TRUE,INDEX($E$69:$AC$69&gt;0,0),0)),"none")</f>
        <v>none</v>
      </c>
    </row>
    <row r="52">
      <c r="A52" s="3" t="inlineStr">
        <is>
          <t>Annual projection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>
      <c r="A53" s="5" t="inlineStr">
        <is>
          <t>Year</t>
        </is>
      </c>
      <c r="D53" s="44" t="n">
        <v>0</v>
      </c>
      <c r="E53" s="44" t="n">
        <v>1</v>
      </c>
      <c r="F53" s="44" t="n">
        <v>2</v>
      </c>
      <c r="G53" s="44" t="n">
        <v>3</v>
      </c>
      <c r="H53" s="44" t="n">
        <v>4</v>
      </c>
      <c r="I53" s="44" t="n">
        <v>5</v>
      </c>
      <c r="J53" s="44" t="n">
        <v>6</v>
      </c>
      <c r="K53" s="44" t="n">
        <v>7</v>
      </c>
      <c r="L53" s="44" t="n">
        <v>8</v>
      </c>
      <c r="M53" s="44" t="n">
        <v>9</v>
      </c>
      <c r="N53" s="44" t="n">
        <v>10</v>
      </c>
      <c r="O53" s="44" t="n">
        <v>11</v>
      </c>
      <c r="P53" s="44" t="n">
        <v>12</v>
      </c>
      <c r="Q53" s="44" t="n">
        <v>13</v>
      </c>
      <c r="R53" s="44" t="n">
        <v>14</v>
      </c>
      <c r="S53" s="44" t="n">
        <v>15</v>
      </c>
      <c r="T53" s="44" t="n">
        <v>16</v>
      </c>
      <c r="U53" s="44" t="n">
        <v>17</v>
      </c>
      <c r="V53" s="44" t="n">
        <v>18</v>
      </c>
      <c r="W53" s="44" t="n">
        <v>19</v>
      </c>
      <c r="X53" s="44" t="n">
        <v>20</v>
      </c>
      <c r="Y53" s="44" t="n">
        <v>21</v>
      </c>
      <c r="Z53" s="44" t="n">
        <v>22</v>
      </c>
      <c r="AA53" s="44" t="n">
        <v>23</v>
      </c>
      <c r="AB53" s="44" t="n">
        <v>24</v>
      </c>
      <c r="AC53" s="44" t="n">
        <v>25</v>
      </c>
    </row>
    <row r="54">
      <c r="A54" s="6" t="inlineStr">
        <is>
          <t>In project life (1/0)</t>
        </is>
      </c>
      <c r="B54" s="2" t="inlineStr">
        <is>
          <t>flag</t>
        </is>
      </c>
      <c r="E54" s="30">
        <f>IF(E$53&lt;=Assumptions!$B$51,1,0)</f>
        <v>1.0</v>
      </c>
      <c r="F54" s="30">
        <f>IF(F$53&lt;=Assumptions!$B$51,1,0)</f>
        <v>1.0</v>
      </c>
      <c r="G54" s="30">
        <f>IF(G$53&lt;=Assumptions!$B$51,1,0)</f>
        <v>1.0</v>
      </c>
      <c r="H54" s="30">
        <f>IF(H$53&lt;=Assumptions!$B$51,1,0)</f>
        <v>1.0</v>
      </c>
      <c r="I54" s="30">
        <f>IF(I$53&lt;=Assumptions!$B$51,1,0)</f>
        <v>1.0</v>
      </c>
      <c r="J54" s="30">
        <f>IF(J$53&lt;=Assumptions!$B$51,1,0)</f>
        <v>1.0</v>
      </c>
      <c r="K54" s="30">
        <f>IF(K$53&lt;=Assumptions!$B$51,1,0)</f>
        <v>1.0</v>
      </c>
      <c r="L54" s="30">
        <f>IF(L$53&lt;=Assumptions!$B$51,1,0)</f>
        <v>1.0</v>
      </c>
      <c r="M54" s="30">
        <f>IF(M$53&lt;=Assumptions!$B$51,1,0)</f>
        <v>1.0</v>
      </c>
      <c r="N54" s="30">
        <f>IF(N$53&lt;=Assumptions!$B$51,1,0)</f>
        <v>1.0</v>
      </c>
      <c r="O54" s="30">
        <f>IF(O$53&lt;=Assumptions!$B$51,1,0)</f>
        <v>1.0</v>
      </c>
      <c r="P54" s="30">
        <f>IF(P$53&lt;=Assumptions!$B$51,1,0)</f>
        <v>1.0</v>
      </c>
      <c r="Q54" s="30">
        <f>IF(Q$53&lt;=Assumptions!$B$51,1,0)</f>
        <v>1.0</v>
      </c>
      <c r="R54" s="30">
        <f>IF(R$53&lt;=Assumptions!$B$51,1,0)</f>
        <v>1.0</v>
      </c>
      <c r="S54" s="30">
        <f>IF(S$53&lt;=Assumptions!$B$51,1,0)</f>
        <v>1.0</v>
      </c>
      <c r="T54" s="30">
        <f>IF(T$53&lt;=Assumptions!$B$51,1,0)</f>
        <v>1.0</v>
      </c>
      <c r="U54" s="30">
        <f>IF(U$53&lt;=Assumptions!$B$51,1,0)</f>
        <v>1.0</v>
      </c>
      <c r="V54" s="30">
        <f>IF(V$53&lt;=Assumptions!$B$51,1,0)</f>
        <v>1.0</v>
      </c>
      <c r="W54" s="30">
        <f>IF(W$53&lt;=Assumptions!$B$51,1,0)</f>
        <v>1.0</v>
      </c>
      <c r="X54" s="30">
        <f>IF(X$53&lt;=Assumptions!$B$51,1,0)</f>
        <v>1.0</v>
      </c>
      <c r="Y54" s="30">
        <f>IF(Y$53&lt;=Assumptions!$B$51,1,0)</f>
        <v>1.0</v>
      </c>
      <c r="Z54" s="30">
        <f>IF(Z$53&lt;=Assumptions!$B$51,1,0)</f>
        <v>1.0</v>
      </c>
      <c r="AA54" s="30">
        <f>IF(AA$53&lt;=Assumptions!$B$51,1,0)</f>
        <v>1.0</v>
      </c>
      <c r="AB54" s="30">
        <f>IF(AB$53&lt;=Assumptions!$B$51,1,0)</f>
        <v>1.0</v>
      </c>
      <c r="AC54" s="30">
        <f>IF(AC$53&lt;=Assumptions!$B$51,1,0)</f>
        <v>1.0</v>
      </c>
    </row>
    <row r="55">
      <c r="A55" s="6" t="inlineStr">
        <is>
          <t>Years since last cell replacement (start of year)</t>
        </is>
      </c>
      <c r="B55" s="2" t="inlineStr">
        <is>
          <t>years</t>
        </is>
      </c>
      <c r="E55" s="30">
        <f>0</f>
        <v>0.0</v>
      </c>
      <c r="F55" s="30">
        <f>IF(E$69&gt;0,0,E$55+1)</f>
        <v>1.0</v>
      </c>
      <c r="G55" s="30">
        <f>IF(F$69&gt;0,0,F$55+1)</f>
        <v>2.0</v>
      </c>
      <c r="H55" s="30">
        <f>IF(G$69&gt;0,0,G$55+1)</f>
        <v>3.0</v>
      </c>
      <c r="I55" s="30">
        <f>IF(H$69&gt;0,0,H$55+1)</f>
        <v>4.0</v>
      </c>
      <c r="J55" s="30">
        <f>IF(I$69&gt;0,0,I$55+1)</f>
        <v>5.0</v>
      </c>
      <c r="K55" s="30">
        <f>IF(J$69&gt;0,0,J$55+1)</f>
        <v>6.0</v>
      </c>
      <c r="L55" s="30">
        <f>IF(K$69&gt;0,0,K$55+1)</f>
        <v>7.0</v>
      </c>
      <c r="M55" s="30">
        <f>IF(L$69&gt;0,0,L$55+1)</f>
        <v>8.0</v>
      </c>
      <c r="N55" s="30">
        <f>IF(M$69&gt;0,0,M$55+1)</f>
        <v>9.0</v>
      </c>
      <c r="O55" s="30">
        <f>IF(N$69&gt;0,0,N$55+1)</f>
        <v>10.0</v>
      </c>
      <c r="P55" s="30">
        <f>IF(O$69&gt;0,0,O$55+1)</f>
        <v>11.0</v>
      </c>
      <c r="Q55" s="30">
        <f>IF(P$69&gt;0,0,P$55+1)</f>
        <v>12.0</v>
      </c>
      <c r="R55" s="30">
        <f>IF(Q$69&gt;0,0,Q$55+1)</f>
        <v>13.0</v>
      </c>
      <c r="S55" s="30">
        <f>IF(R$69&gt;0,0,R$55+1)</f>
        <v>14.0</v>
      </c>
      <c r="T55" s="30">
        <f>IF(S$69&gt;0,0,S$55+1)</f>
        <v>15.0</v>
      </c>
      <c r="U55" s="30">
        <f>IF(T$69&gt;0,0,T$55+1)</f>
        <v>16.0</v>
      </c>
      <c r="V55" s="30">
        <f>IF(U$69&gt;0,0,U$55+1)</f>
        <v>17.0</v>
      </c>
      <c r="W55" s="30">
        <f>IF(V$69&gt;0,0,V$55+1)</f>
        <v>18.0</v>
      </c>
      <c r="X55" s="30">
        <f>IF(W$69&gt;0,0,W$55+1)</f>
        <v>19.0</v>
      </c>
      <c r="Y55" s="30">
        <f>IF(X$69&gt;0,0,X$55+1)</f>
        <v>20.0</v>
      </c>
      <c r="Z55" s="30">
        <f>IF(Y$69&gt;0,0,Y$55+1)</f>
        <v>21.0</v>
      </c>
      <c r="AA55" s="30">
        <f>IF(Z$69&gt;0,0,Z$55+1)</f>
        <v>22.0</v>
      </c>
      <c r="AB55" s="30">
        <f>IF(AA$69&gt;0,0,AA$55+1)</f>
        <v>23.0</v>
      </c>
      <c r="AC55" s="30">
        <f>IF(AB$69&gt;0,0,AB$55+1)</f>
        <v>24.0</v>
      </c>
    </row>
    <row r="56">
      <c r="A56" s="6" t="inlineStr">
        <is>
          <t>Capacity, mid-year</t>
        </is>
      </c>
      <c r="B56" s="2" t="inlineStr">
        <is>
          <t>%</t>
        </is>
      </c>
      <c r="E56" s="31">
        <f>MAX(0.3,1-$C$19*(E$55+0.5))</f>
        <v>0.993983125</v>
      </c>
      <c r="F56" s="31">
        <f>MAX(0.3,1-$C$19*(F$55+0.5))</f>
        <v>0.981949375</v>
      </c>
      <c r="G56" s="31">
        <f>MAX(0.3,1-$C$19*(G$55+0.5))</f>
        <v>0.969915625</v>
      </c>
      <c r="H56" s="31">
        <f>MAX(0.3,1-$C$19*(H$55+0.5))</f>
        <v>0.957881875</v>
      </c>
      <c r="I56" s="31">
        <f>MAX(0.3,1-$C$19*(I$55+0.5))</f>
        <v>0.9458481249999999</v>
      </c>
      <c r="J56" s="31">
        <f>MAX(0.3,1-$C$19*(J$55+0.5))</f>
        <v>0.933814375</v>
      </c>
      <c r="K56" s="31">
        <f>MAX(0.3,1-$C$19*(K$55+0.5))</f>
        <v>0.921780625</v>
      </c>
      <c r="L56" s="31">
        <f>MAX(0.3,1-$C$19*(L$55+0.5))</f>
        <v>0.909746875</v>
      </c>
      <c r="M56" s="31">
        <f>MAX(0.3,1-$C$19*(M$55+0.5))</f>
        <v>0.897713125</v>
      </c>
      <c r="N56" s="31">
        <f>MAX(0.3,1-$C$19*(N$55+0.5))</f>
        <v>0.8856793749999999</v>
      </c>
      <c r="O56" s="31">
        <f>MAX(0.3,1-$C$19*(O$55+0.5))</f>
        <v>0.873645625</v>
      </c>
      <c r="P56" s="31">
        <f>MAX(0.3,1-$C$19*(P$55+0.5))</f>
        <v>0.8616118749999999</v>
      </c>
      <c r="Q56" s="31">
        <f>MAX(0.3,1-$C$19*(Q$55+0.5))</f>
        <v>0.849578125</v>
      </c>
      <c r="R56" s="31">
        <f>MAX(0.3,1-$C$19*(R$55+0.5))</f>
        <v>0.837544375</v>
      </c>
      <c r="S56" s="31">
        <f>MAX(0.3,1-$C$19*(S$55+0.5))</f>
        <v>0.8255106249999999</v>
      </c>
      <c r="T56" s="31">
        <f>MAX(0.3,1-$C$19*(T$55+0.5))</f>
        <v>0.813476875</v>
      </c>
      <c r="U56" s="31">
        <f>MAX(0.3,1-$C$19*(U$55+0.5))</f>
        <v>0.8014431249999999</v>
      </c>
      <c r="V56" s="31">
        <f>MAX(0.3,1-$C$19*(V$55+0.5))</f>
        <v>0.789409375</v>
      </c>
      <c r="W56" s="31">
        <f>MAX(0.3,1-$C$19*(W$55+0.5))</f>
        <v>0.7773756249999999</v>
      </c>
      <c r="X56" s="31">
        <f>MAX(0.3,1-$C$19*(X$55+0.5))</f>
        <v>0.765341875</v>
      </c>
      <c r="Y56" s="31">
        <f>MAX(0.3,1-$C$19*(Y$55+0.5))</f>
        <v>0.753308125</v>
      </c>
      <c r="Z56" s="31">
        <f>MAX(0.3,1-$C$19*(Z$55+0.5))</f>
        <v>0.7412743749999999</v>
      </c>
      <c r="AA56" s="31">
        <f>MAX(0.3,1-$C$19*(AA$55+0.5))</f>
        <v>0.7292406249999999</v>
      </c>
      <c r="AB56" s="31">
        <f>MAX(0.3,1-$C$19*(AB$55+0.5))</f>
        <v>0.7172068749999999</v>
      </c>
      <c r="AC56" s="31">
        <f>MAX(0.3,1-$C$19*(AC$55+0.5))</f>
        <v>0.705173125</v>
      </c>
    </row>
    <row r="57">
      <c r="A57" s="6" t="inlineStr">
        <is>
          <t>Energy factor vs year 1</t>
        </is>
      </c>
      <c r="B57" s="2" t="inlineStr">
        <is>
          <t>x</t>
        </is>
      </c>
      <c r="E57" s="46">
        <f>E$56/$C$11</f>
        <v>0.9999999999999999</v>
      </c>
      <c r="F57" s="46">
        <f>F$56/$C$11</f>
        <v>0.9878934061380569</v>
      </c>
      <c r="G57" s="46">
        <f>G$56/$C$11</f>
        <v>0.9757868122761137</v>
      </c>
      <c r="H57" s="46">
        <f>H$56/$C$11</f>
        <v>0.9636802184141707</v>
      </c>
      <c r="I57" s="46">
        <f>I$56/$C$11</f>
        <v>0.9515736245522275</v>
      </c>
      <c r="J57" s="46">
        <f>J$56/$C$11</f>
        <v>0.9394670306902845</v>
      </c>
      <c r="K57" s="46">
        <f>K$56/$C$11</f>
        <v>0.9273604368283415</v>
      </c>
      <c r="L57" s="46">
        <f>L$56/$C$11</f>
        <v>0.9152538429663983</v>
      </c>
      <c r="M57" s="46">
        <f>M$56/$C$11</f>
        <v>0.9031472491044553</v>
      </c>
      <c r="N57" s="46">
        <f>N$56/$C$11</f>
        <v>0.8910406552425122</v>
      </c>
      <c r="O57" s="46">
        <f>O$56/$C$11</f>
        <v>0.8789340613805692</v>
      </c>
      <c r="P57" s="46">
        <f>P$56/$C$11</f>
        <v>0.8668274675186259</v>
      </c>
      <c r="Q57" s="46">
        <f>Q$56/$C$11</f>
        <v>0.8547208736566829</v>
      </c>
      <c r="R57" s="46">
        <f>R$56/$C$11</f>
        <v>0.8426142797947399</v>
      </c>
      <c r="S57" s="46">
        <f>S$56/$C$11</f>
        <v>0.8305076859327968</v>
      </c>
      <c r="T57" s="46">
        <f>T$56/$C$11</f>
        <v>0.8184010920708538</v>
      </c>
      <c r="U57" s="46">
        <f>U$56/$C$11</f>
        <v>0.8062944982089106</v>
      </c>
      <c r="V57" s="46">
        <f>V$56/$C$11</f>
        <v>0.7941879043469676</v>
      </c>
      <c r="W57" s="46">
        <f>W$56/$C$11</f>
        <v>0.7820813104850244</v>
      </c>
      <c r="X57" s="46">
        <f>X$56/$C$11</f>
        <v>0.7699747166230814</v>
      </c>
      <c r="Y57" s="46">
        <f>Y$56/$C$11</f>
        <v>0.7578681227611384</v>
      </c>
      <c r="Z57" s="46">
        <f>Z$56/$C$11</f>
        <v>0.7457615288991952</v>
      </c>
      <c r="AA57" s="46">
        <f>AA$56/$C$11</f>
        <v>0.7336549350372521</v>
      </c>
      <c r="AB57" s="46">
        <f>AB$56/$C$11</f>
        <v>0.7215483411753091</v>
      </c>
      <c r="AC57" s="46">
        <f>AC$56/$C$11</f>
        <v>0.709441747313366</v>
      </c>
    </row>
    <row r="58">
      <c r="A58" s="6" t="inlineStr">
        <is>
          <t>Price escalation index</t>
        </is>
      </c>
      <c r="B58" s="2" t="inlineStr">
        <is>
          <t>x</t>
        </is>
      </c>
      <c r="E58" s="46">
        <f>(1+Assumptions!$B$53)^(E$53-1)</f>
        <v>1.0</v>
      </c>
      <c r="F58" s="46">
        <f>(1+Assumptions!$B$53)^(F$53-1)</f>
        <v>1.0</v>
      </c>
      <c r="G58" s="46">
        <f>(1+Assumptions!$B$53)^(G$53-1)</f>
        <v>1.0</v>
      </c>
      <c r="H58" s="46">
        <f>(1+Assumptions!$B$53)^(H$53-1)</f>
        <v>1.0</v>
      </c>
      <c r="I58" s="46">
        <f>(1+Assumptions!$B$53)^(I$53-1)</f>
        <v>1.0</v>
      </c>
      <c r="J58" s="46">
        <f>(1+Assumptions!$B$53)^(J$53-1)</f>
        <v>1.0</v>
      </c>
      <c r="K58" s="46">
        <f>(1+Assumptions!$B$53)^(K$53-1)</f>
        <v>1.0</v>
      </c>
      <c r="L58" s="46">
        <f>(1+Assumptions!$B$53)^(L$53-1)</f>
        <v>1.0</v>
      </c>
      <c r="M58" s="46">
        <f>(1+Assumptions!$B$53)^(M$53-1)</f>
        <v>1.0</v>
      </c>
      <c r="N58" s="46">
        <f>(1+Assumptions!$B$53)^(N$53-1)</f>
        <v>1.0</v>
      </c>
      <c r="O58" s="46">
        <f>(1+Assumptions!$B$53)^(O$53-1)</f>
        <v>1.0</v>
      </c>
      <c r="P58" s="46">
        <f>(1+Assumptions!$B$53)^(P$53-1)</f>
        <v>1.0</v>
      </c>
      <c r="Q58" s="46">
        <f>(1+Assumptions!$B$53)^(Q$53-1)</f>
        <v>1.0</v>
      </c>
      <c r="R58" s="46">
        <f>(1+Assumptions!$B$53)^(R$53-1)</f>
        <v>1.0</v>
      </c>
      <c r="S58" s="46">
        <f>(1+Assumptions!$B$53)^(S$53-1)</f>
        <v>1.0</v>
      </c>
      <c r="T58" s="46">
        <f>(1+Assumptions!$B$53)^(T$53-1)</f>
        <v>1.0</v>
      </c>
      <c r="U58" s="46">
        <f>(1+Assumptions!$B$53)^(U$53-1)</f>
        <v>1.0</v>
      </c>
      <c r="V58" s="46">
        <f>(1+Assumptions!$B$53)^(V$53-1)</f>
        <v>1.0</v>
      </c>
      <c r="W58" s="46">
        <f>(1+Assumptions!$B$53)^(W$53-1)</f>
        <v>1.0</v>
      </c>
      <c r="X58" s="46">
        <f>(1+Assumptions!$B$53)^(X$53-1)</f>
        <v>1.0</v>
      </c>
      <c r="Y58" s="46">
        <f>(1+Assumptions!$B$53)^(Y$53-1)</f>
        <v>1.0</v>
      </c>
      <c r="Z58" s="46">
        <f>(1+Assumptions!$B$53)^(Z$53-1)</f>
        <v>1.0</v>
      </c>
      <c r="AA58" s="46">
        <f>(1+Assumptions!$B$53)^(AA$53-1)</f>
        <v>1.0</v>
      </c>
      <c r="AB58" s="46">
        <f>(1+Assumptions!$B$53)^(AB$53-1)</f>
        <v>1.0</v>
      </c>
      <c r="AC58" s="46">
        <f>(1+Assumptions!$B$53)^(AC$53-1)</f>
        <v>1.0</v>
      </c>
    </row>
    <row r="59">
      <c r="A59" s="6" t="inlineStr">
        <is>
          <t>O&amp;M escalation index</t>
        </is>
      </c>
      <c r="B59" s="2" t="inlineStr">
        <is>
          <t>x</t>
        </is>
      </c>
      <c r="E59" s="46">
        <f>(1+Assumptions!$B$56)^(E$53-1)</f>
        <v>1.0</v>
      </c>
      <c r="F59" s="46">
        <f>(1+Assumptions!$B$56)^(F$53-1)</f>
        <v>1.03</v>
      </c>
      <c r="G59" s="46">
        <f>(1+Assumptions!$B$56)^(G$53-1)</f>
        <v>1.0609</v>
      </c>
      <c r="H59" s="46">
        <f>(1+Assumptions!$B$56)^(H$53-1)</f>
        <v>1.092727</v>
      </c>
      <c r="I59" s="46">
        <f>(1+Assumptions!$B$56)^(I$53-1)</f>
        <v>1.1255088100000001</v>
      </c>
      <c r="J59" s="46">
        <f>(1+Assumptions!$B$56)^(J$53-1)</f>
        <v>1.1592740743</v>
      </c>
      <c r="K59" s="46">
        <f>(1+Assumptions!$B$56)^(K$53-1)</f>
        <v>1.1940522965290001</v>
      </c>
      <c r="L59" s="46">
        <f>(1+Assumptions!$B$56)^(L$53-1)</f>
        <v>1.2298738654248702</v>
      </c>
      <c r="M59" s="46">
        <f>(1+Assumptions!$B$56)^(M$53-1)</f>
        <v>1.2667700813876164</v>
      </c>
      <c r="N59" s="46">
        <f>(1+Assumptions!$B$56)^(N$53-1)</f>
        <v>1.304773183829245</v>
      </c>
      <c r="O59" s="46">
        <f>(1+Assumptions!$B$56)^(O$53-1)</f>
        <v>1.3439163793441222</v>
      </c>
      <c r="P59" s="46">
        <f>(1+Assumptions!$B$56)^(P$53-1)</f>
        <v>1.384233870724446</v>
      </c>
      <c r="Q59" s="46">
        <f>(1+Assumptions!$B$56)^(Q$53-1)</f>
        <v>1.4257608868461793</v>
      </c>
      <c r="R59" s="46">
        <f>(1+Assumptions!$B$56)^(R$53-1)</f>
        <v>1.4685337134515648</v>
      </c>
      <c r="S59" s="46">
        <f>(1+Assumptions!$B$56)^(S$53-1)</f>
        <v>1.512589724855112</v>
      </c>
      <c r="T59" s="46">
        <f>(1+Assumptions!$B$56)^(T$53-1)</f>
        <v>1.557967416600765</v>
      </c>
      <c r="U59" s="46">
        <f>(1+Assumptions!$B$56)^(U$53-1)</f>
        <v>1.6047064390987882</v>
      </c>
      <c r="V59" s="46">
        <f>(1+Assumptions!$B$56)^(V$53-1)</f>
        <v>1.6528476322717518</v>
      </c>
      <c r="W59" s="46">
        <f>(1+Assumptions!$B$56)^(W$53-1)</f>
        <v>1.7024330612399046</v>
      </c>
      <c r="X59" s="46">
        <f>(1+Assumptions!$B$56)^(X$53-1)</f>
        <v>1.7535060530771016</v>
      </c>
      <c r="Y59" s="46">
        <f>(1+Assumptions!$B$56)^(Y$53-1)</f>
        <v>1.8061112346694148</v>
      </c>
      <c r="Z59" s="46">
        <f>(1+Assumptions!$B$56)^(Z$53-1)</f>
        <v>1.8602945717094972</v>
      </c>
      <c r="AA59" s="46">
        <f>(1+Assumptions!$B$56)^(AA$53-1)</f>
        <v>1.9161034088607822</v>
      </c>
      <c r="AB59" s="46">
        <f>(1+Assumptions!$B$56)^(AB$53-1)</f>
        <v>1.9735865111266058</v>
      </c>
      <c r="AC59" s="46">
        <f>(1+Assumptions!$B$56)^(AC$53-1)</f>
        <v>2.032794106460404</v>
      </c>
    </row>
    <row r="60">
      <c r="A60" s="6" t="inlineStr">
        <is>
          <t>Energy sold</t>
        </is>
      </c>
      <c r="B60" s="2" t="inlineStr">
        <is>
          <t>MWh</t>
        </is>
      </c>
      <c r="E60" s="27">
        <f>E$54*$C$30*E$57</f>
        <v>433619.99999999994</v>
      </c>
      <c r="F60" s="27">
        <f>F$54*$C$30*F$57</f>
        <v>428370.3387695842</v>
      </c>
      <c r="G60" s="27">
        <f>G$54*$C$30*G$57</f>
        <v>423120.67753916845</v>
      </c>
      <c r="H60" s="27">
        <f>H$54*$C$30*H$57</f>
        <v>417871.0163087527</v>
      </c>
      <c r="I60" s="27">
        <f>I$54*$C$30*I$57</f>
        <v>412621.3550783369</v>
      </c>
      <c r="J60" s="27">
        <f>J$54*$C$30*J$57</f>
        <v>407371.69384792115</v>
      </c>
      <c r="K60" s="27">
        <f>K$54*$C$30*K$57</f>
        <v>402122.0326175054</v>
      </c>
      <c r="L60" s="27">
        <f>L$54*$C$30*L$57</f>
        <v>396872.37138708966</v>
      </c>
      <c r="M60" s="27">
        <f>M$54*$C$30*M$57</f>
        <v>391622.7101566739</v>
      </c>
      <c r="N60" s="27">
        <f>N$54*$C$30*N$57</f>
        <v>386373.0489262581</v>
      </c>
      <c r="O60" s="27">
        <f>O$54*$C$30*O$57</f>
        <v>381123.3876958424</v>
      </c>
      <c r="P60" s="27">
        <f>P$54*$C$30*P$57</f>
        <v>375873.72646542656</v>
      </c>
      <c r="Q60" s="27">
        <f>Q$54*$C$30*Q$57</f>
        <v>370624.0652350109</v>
      </c>
      <c r="R60" s="27">
        <f>R$54*$C$30*R$57</f>
        <v>365374.4040045951</v>
      </c>
      <c r="S60" s="27">
        <f>S$54*$C$30*S$57</f>
        <v>360124.7427741793</v>
      </c>
      <c r="T60" s="27">
        <f>T$54*$C$30*T$57</f>
        <v>354875.08154376363</v>
      </c>
      <c r="U60" s="27">
        <f>U$54*$C$30*U$57</f>
        <v>349625.42031334783</v>
      </c>
      <c r="V60" s="27">
        <f>V$54*$C$30*V$57</f>
        <v>344375.7590829321</v>
      </c>
      <c r="W60" s="27">
        <f>W$54*$C$30*W$57</f>
        <v>339126.0978525163</v>
      </c>
      <c r="X60" s="27">
        <f>X$54*$C$30*X$57</f>
        <v>333876.43662210053</v>
      </c>
      <c r="Y60" s="27">
        <f>Y$54*$C$30*Y$57</f>
        <v>328626.7753916848</v>
      </c>
      <c r="Z60" s="27">
        <f>Z$54*$C$30*Z$57</f>
        <v>323377.11416126904</v>
      </c>
      <c r="AA60" s="27">
        <f>AA$54*$C$30*AA$57</f>
        <v>318127.45293085324</v>
      </c>
      <c r="AB60" s="27">
        <f>AB$54*$C$30*AB$57</f>
        <v>312877.79170043755</v>
      </c>
      <c r="AC60" s="27">
        <f>AC$54*$C$30*AC$57</f>
        <v>307628.13047002174</v>
      </c>
    </row>
    <row r="61">
      <c r="A61" s="6" t="inlineStr">
        <is>
          <t>Energy bought</t>
        </is>
      </c>
      <c r="B61" s="2" t="inlineStr">
        <is>
          <t>MWh</t>
        </is>
      </c>
      <c r="E61" s="27">
        <f>E$54*$C$29*E$57</f>
        <v>511905.12504685164</v>
      </c>
      <c r="F61" s="27">
        <f>F$54*$C$29*F$57</f>
        <v>505707.69760206225</v>
      </c>
      <c r="G61" s="27">
        <f>G$54*$C$29*G$57</f>
        <v>499510.2701572728</v>
      </c>
      <c r="H61" s="27">
        <f>H$54*$C$29*H$57</f>
        <v>493312.8427124834</v>
      </c>
      <c r="I61" s="27">
        <f>I$54*$C$29*I$57</f>
        <v>487115.4152676939</v>
      </c>
      <c r="J61" s="27">
        <f>J$54*$C$29*J$57</f>
        <v>480917.98782290454</v>
      </c>
      <c r="K61" s="27">
        <f>K$54*$C$29*K$57</f>
        <v>474720.56037811516</v>
      </c>
      <c r="L61" s="27">
        <f>L$54*$C$29*L$57</f>
        <v>468523.1329333257</v>
      </c>
      <c r="M61" s="27">
        <f>M$54*$C$29*M$57</f>
        <v>462325.70548853633</v>
      </c>
      <c r="N61" s="27">
        <f>N$54*$C$29*N$57</f>
        <v>456128.2780437469</v>
      </c>
      <c r="O61" s="27">
        <f>O$54*$C$29*O$57</f>
        <v>449930.8505989575</v>
      </c>
      <c r="P61" s="27">
        <f>P$54*$C$29*P$57</f>
        <v>443733.423154168</v>
      </c>
      <c r="Q61" s="27">
        <f>Q$54*$C$29*Q$57</f>
        <v>437535.9957093786</v>
      </c>
      <c r="R61" s="27">
        <f>R$54*$C$29*R$57</f>
        <v>431338.56826458924</v>
      </c>
      <c r="S61" s="27">
        <f>S$54*$C$29*S$57</f>
        <v>425141.1408197998</v>
      </c>
      <c r="T61" s="27">
        <f>T$54*$C$29*T$57</f>
        <v>418943.7133750104</v>
      </c>
      <c r="U61" s="27">
        <f>U$54*$C$29*U$57</f>
        <v>412746.28593022097</v>
      </c>
      <c r="V61" s="27">
        <f>V$54*$C$29*V$57</f>
        <v>406548.8584854315</v>
      </c>
      <c r="W61" s="27">
        <f>W$54*$C$29*W$57</f>
        <v>400351.431040642</v>
      </c>
      <c r="X61" s="27">
        <f>X$54*$C$29*X$57</f>
        <v>394154.00359585264</v>
      </c>
      <c r="Y61" s="27">
        <f>Y$54*$C$29*Y$57</f>
        <v>387956.57615106326</v>
      </c>
      <c r="Z61" s="27">
        <f>Z$54*$C$29*Z$57</f>
        <v>381759.1487062738</v>
      </c>
      <c r="AA61" s="27">
        <f>AA$54*$C$29*AA$57</f>
        <v>375561.7212614844</v>
      </c>
      <c r="AB61" s="27">
        <f>AB$54*$C$29*AB$57</f>
        <v>369364.293816695</v>
      </c>
      <c r="AC61" s="27">
        <f>AC$54*$C$29*AC$57</f>
        <v>363166.86637190555</v>
      </c>
    </row>
    <row r="62">
      <c r="A62" s="5" t="inlineStr">
        <is>
          <t>Revenue</t>
        </is>
      </c>
      <c r="B62" s="2" t="inlineStr">
        <is>
          <t>₹ Cr</t>
        </is>
      </c>
      <c r="E62" s="47">
        <f>E$54*$C$32*E$57*E$58</f>
        <v>301.6491893662499</v>
      </c>
      <c r="F62" s="47">
        <f>F$54*$C$32*F$57*F$58</f>
        <v>297.99724514180843</v>
      </c>
      <c r="G62" s="47">
        <f>G$54*$C$32*G$57*G$58</f>
        <v>294.34530091736684</v>
      </c>
      <c r="H62" s="47">
        <f>H$54*$C$32*H$57*H$58</f>
        <v>290.6933566929253</v>
      </c>
      <c r="I62" s="47">
        <f>I$54*$C$32*I$57*I$58</f>
        <v>287.0414124684837</v>
      </c>
      <c r="J62" s="47">
        <f>J$54*$C$32*J$57*J$58</f>
        <v>283.3894682440422</v>
      </c>
      <c r="K62" s="47">
        <f>K$54*$C$32*K$57*K$58</f>
        <v>279.73752401960064</v>
      </c>
      <c r="L62" s="47">
        <f>L$54*$C$32*L$57*L$58</f>
        <v>276.0855797951591</v>
      </c>
      <c r="M62" s="47">
        <f>M$54*$C$32*M$57*M$58</f>
        <v>272.43363557071757</v>
      </c>
      <c r="N62" s="47">
        <f>N$54*$C$32*N$57*N$58</f>
        <v>268.78169134627603</v>
      </c>
      <c r="O62" s="47">
        <f>O$54*$C$32*O$57*O$58</f>
        <v>265.1297471218345</v>
      </c>
      <c r="P62" s="47">
        <f>P$54*$C$32*P$57*P$58</f>
        <v>261.4778028973929</v>
      </c>
      <c r="Q62" s="47">
        <f>Q$54*$C$32*Q$57*Q$58</f>
        <v>257.82585867295137</v>
      </c>
      <c r="R62" s="47">
        <f>R$54*$C$32*R$57*R$58</f>
        <v>254.17391444850983</v>
      </c>
      <c r="S62" s="47">
        <f>S$54*$C$32*S$57*S$58</f>
        <v>250.52197022406827</v>
      </c>
      <c r="T62" s="47">
        <f>T$54*$C$32*T$57*T$58</f>
        <v>246.87002599962673</v>
      </c>
      <c r="U62" s="47">
        <f>U$54*$C$32*U$57*U$58</f>
        <v>243.21808177518517</v>
      </c>
      <c r="V62" s="47">
        <f>V$54*$C$32*V$57*V$58</f>
        <v>239.56613755074366</v>
      </c>
      <c r="W62" s="47">
        <f>W$54*$C$32*W$57*W$58</f>
        <v>235.91419332630207</v>
      </c>
      <c r="X62" s="47">
        <f>X$54*$C$32*X$57*X$58</f>
        <v>232.26224910186053</v>
      </c>
      <c r="Y62" s="47">
        <f>Y$54*$C$32*Y$57*Y$58</f>
        <v>228.610304877419</v>
      </c>
      <c r="Z62" s="47">
        <f>Z$54*$C$32*Z$57*Z$58</f>
        <v>224.95836065297743</v>
      </c>
      <c r="AA62" s="47">
        <f>AA$54*$C$32*AA$57*AA$58</f>
        <v>221.30641642853587</v>
      </c>
      <c r="AB62" s="47">
        <f>AB$54*$C$32*AB$57*AB$58</f>
        <v>217.65447220409436</v>
      </c>
      <c r="AC62" s="47">
        <f>AC$54*$C$32*AC$57*AC$58</f>
        <v>214.0025279796528</v>
      </c>
    </row>
    <row r="63">
      <c r="A63" s="6" t="inlineStr">
        <is>
          <t>IEX purchase</t>
        </is>
      </c>
      <c r="B63" s="2" t="inlineStr">
        <is>
          <t>₹ Cr</t>
        </is>
      </c>
      <c r="E63" s="36">
        <f>E$54*$C$31*E$57*E$58</f>
        <v>89.30306147129836</v>
      </c>
      <c r="F63" s="36">
        <f>F$54*$C$31*F$57*F$58</f>
        <v>88.22190557543723</v>
      </c>
      <c r="G63" s="36">
        <f>G$54*$C$31*G$57*G$58</f>
        <v>87.14074967957607</v>
      </c>
      <c r="H63" s="36">
        <f>H$54*$C$31*H$57*H$58</f>
        <v>86.05959378371493</v>
      </c>
      <c r="I63" s="36">
        <f>I$54*$C$31*I$57*I$58</f>
        <v>84.97843788785377</v>
      </c>
      <c r="J63" s="36">
        <f>J$54*$C$31*J$57*J$58</f>
        <v>83.89728199199263</v>
      </c>
      <c r="K63" s="36">
        <f>K$54*$C$31*K$57*K$58</f>
        <v>82.8161260961315</v>
      </c>
      <c r="L63" s="36">
        <f>L$54*$C$31*L$57*L$58</f>
        <v>81.73497020027034</v>
      </c>
      <c r="M63" s="36">
        <f>M$54*$C$31*M$57*M$58</f>
        <v>80.6538143044092</v>
      </c>
      <c r="N63" s="36">
        <f>N$54*$C$31*N$57*N$58</f>
        <v>79.57265840854805</v>
      </c>
      <c r="O63" s="36">
        <f>O$54*$C$31*O$57*O$58</f>
        <v>78.4915025126869</v>
      </c>
      <c r="P63" s="36">
        <f>P$54*$C$31*P$57*P$58</f>
        <v>77.41034661682575</v>
      </c>
      <c r="Q63" s="36">
        <f>Q$54*$C$31*Q$57*Q$58</f>
        <v>76.3291907209646</v>
      </c>
      <c r="R63" s="36">
        <f>R$54*$C$31*R$57*R$58</f>
        <v>75.24803482510347</v>
      </c>
      <c r="S63" s="36">
        <f>S$54*$C$31*S$57*S$58</f>
        <v>74.16687892924232</v>
      </c>
      <c r="T63" s="36">
        <f>T$54*$C$31*T$57*T$58</f>
        <v>73.08572303338117</v>
      </c>
      <c r="U63" s="36">
        <f>U$54*$C$31*U$57*U$58</f>
        <v>72.00456713752003</v>
      </c>
      <c r="V63" s="36">
        <f>V$54*$C$31*V$57*V$58</f>
        <v>70.92341124165888</v>
      </c>
      <c r="W63" s="36">
        <f>W$54*$C$31*W$57*W$58</f>
        <v>69.84225534579772</v>
      </c>
      <c r="X63" s="36">
        <f>X$54*$C$31*X$57*X$58</f>
        <v>68.76109944993658</v>
      </c>
      <c r="Y63" s="36">
        <f>Y$54*$C$31*Y$57*Y$58</f>
        <v>67.67994355407545</v>
      </c>
      <c r="Z63" s="36">
        <f>Z$54*$C$31*Z$57*Z$58</f>
        <v>66.59878765821429</v>
      </c>
      <c r="AA63" s="36">
        <f>AA$54*$C$31*AA$57*AA$58</f>
        <v>65.51763176235315</v>
      </c>
      <c r="AB63" s="36">
        <f>AB$54*$C$31*AB$57*AB$58</f>
        <v>64.436475866492</v>
      </c>
      <c r="AC63" s="36">
        <f>AC$54*$C$31*AC$57*AC$58</f>
        <v>63.35531997063085</v>
      </c>
    </row>
    <row r="64">
      <c r="A64" s="6" t="inlineStr">
        <is>
          <t>CTU charges</t>
        </is>
      </c>
      <c r="B64" s="2" t="inlineStr">
        <is>
          <t>₹ Cr</t>
        </is>
      </c>
      <c r="E64" s="36">
        <f>E$54*IF(Assumptions!$B$66="T-GNA",E$61*Assumptions!$B$46/10000000,$C$5*Assumptions!$B$47*100000*12/10000000)</f>
        <v>29.997640327745504</v>
      </c>
      <c r="F64" s="36">
        <f>F$54*IF(Assumptions!$B$66="T-GNA",F$61*Assumptions!$B$46/10000000,$C$5*Assumptions!$B$47*100000*12/10000000)</f>
        <v>29.63447107948085</v>
      </c>
      <c r="G64" s="36">
        <f>G$54*IF(Assumptions!$B$66="T-GNA",G$61*Assumptions!$B$46/10000000,$C$5*Assumptions!$B$47*100000*12/10000000)</f>
        <v>29.271301831216185</v>
      </c>
      <c r="H64" s="36">
        <f>H$54*IF(Assumptions!$B$66="T-GNA",H$61*Assumptions!$B$46/10000000,$C$5*Assumptions!$B$47*100000*12/10000000)</f>
        <v>28.908132582951527</v>
      </c>
      <c r="I64" s="36">
        <f>I$54*IF(Assumptions!$B$66="T-GNA",I$61*Assumptions!$B$46/10000000,$C$5*Assumptions!$B$47*100000*12/10000000)</f>
        <v>28.544963334686862</v>
      </c>
      <c r="J64" s="36">
        <f>J$54*IF(Assumptions!$B$66="T-GNA",J$61*Assumptions!$B$46/10000000,$C$5*Assumptions!$B$47*100000*12/10000000)</f>
        <v>28.181794086422205</v>
      </c>
      <c r="K64" s="36">
        <f>K$54*IF(Assumptions!$B$66="T-GNA",K$61*Assumptions!$B$46/10000000,$C$5*Assumptions!$B$47*100000*12/10000000)</f>
        <v>27.818624838157547</v>
      </c>
      <c r="L64" s="36">
        <f>L$54*IF(Assumptions!$B$66="T-GNA",L$61*Assumptions!$B$46/10000000,$C$5*Assumptions!$B$47*100000*12/10000000)</f>
        <v>27.45545558989289</v>
      </c>
      <c r="M64" s="36">
        <f>M$54*IF(Assumptions!$B$66="T-GNA",M$61*Assumptions!$B$46/10000000,$C$5*Assumptions!$B$47*100000*12/10000000)</f>
        <v>27.09228634162823</v>
      </c>
      <c r="N64" s="36">
        <f>N$54*IF(Assumptions!$B$66="T-GNA",N$61*Assumptions!$B$46/10000000,$C$5*Assumptions!$B$47*100000*12/10000000)</f>
        <v>26.72911709336357</v>
      </c>
      <c r="O64" s="36">
        <f>O$54*IF(Assumptions!$B$66="T-GNA",O$61*Assumptions!$B$46/10000000,$C$5*Assumptions!$B$47*100000*12/10000000)</f>
        <v>26.36594784509891</v>
      </c>
      <c r="P64" s="36">
        <f>P$54*IF(Assumptions!$B$66="T-GNA",P$61*Assumptions!$B$46/10000000,$C$5*Assumptions!$B$47*100000*12/10000000)</f>
        <v>26.002778596834247</v>
      </c>
      <c r="Q64" s="36">
        <f>Q$54*IF(Assumptions!$B$66="T-GNA",Q$61*Assumptions!$B$46/10000000,$C$5*Assumptions!$B$47*100000*12/10000000)</f>
        <v>25.639609348569586</v>
      </c>
      <c r="R64" s="36">
        <f>R$54*IF(Assumptions!$B$66="T-GNA",R$61*Assumptions!$B$46/10000000,$C$5*Assumptions!$B$47*100000*12/10000000)</f>
        <v>25.276440100304928</v>
      </c>
      <c r="S64" s="36">
        <f>S$54*IF(Assumptions!$B$66="T-GNA",S$61*Assumptions!$B$46/10000000,$C$5*Assumptions!$B$47*100000*12/10000000)</f>
        <v>24.913270852040267</v>
      </c>
      <c r="T64" s="36">
        <f>T$54*IF(Assumptions!$B$66="T-GNA",T$61*Assumptions!$B$46/10000000,$C$5*Assumptions!$B$47*100000*12/10000000)</f>
        <v>24.550101603775612</v>
      </c>
      <c r="U64" s="36">
        <f>U$54*IF(Assumptions!$B$66="T-GNA",U$61*Assumptions!$B$46/10000000,$C$5*Assumptions!$B$47*100000*12/10000000)</f>
        <v>24.18693235551095</v>
      </c>
      <c r="V64" s="36">
        <f>V$54*IF(Assumptions!$B$66="T-GNA",V$61*Assumptions!$B$46/10000000,$C$5*Assumptions!$B$47*100000*12/10000000)</f>
        <v>23.82376310724629</v>
      </c>
      <c r="W64" s="36">
        <f>W$54*IF(Assumptions!$B$66="T-GNA",W$61*Assumptions!$B$46/10000000,$C$5*Assumptions!$B$47*100000*12/10000000)</f>
        <v>23.46059385898162</v>
      </c>
      <c r="X64" s="36">
        <f>X$54*IF(Assumptions!$B$66="T-GNA",X$61*Assumptions!$B$46/10000000,$C$5*Assumptions!$B$47*100000*12/10000000)</f>
        <v>23.097424610716967</v>
      </c>
      <c r="Y64" s="36">
        <f>Y$54*IF(Assumptions!$B$66="T-GNA",Y$61*Assumptions!$B$46/10000000,$C$5*Assumptions!$B$47*100000*12/10000000)</f>
        <v>22.734255362452306</v>
      </c>
      <c r="Z64" s="36">
        <f>Z$54*IF(Assumptions!$B$66="T-GNA",Z$61*Assumptions!$B$46/10000000,$C$5*Assumptions!$B$47*100000*12/10000000)</f>
        <v>22.371086114187644</v>
      </c>
      <c r="AA64" s="36">
        <f>AA$54*IF(Assumptions!$B$66="T-GNA",AA$61*Assumptions!$B$46/10000000,$C$5*Assumptions!$B$47*100000*12/10000000)</f>
        <v>22.007916865922983</v>
      </c>
      <c r="AB64" s="36">
        <f>AB$54*IF(Assumptions!$B$66="T-GNA",AB$61*Assumptions!$B$46/10000000,$C$5*Assumptions!$B$47*100000*12/10000000)</f>
        <v>21.644747617658325</v>
      </c>
      <c r="AC64" s="36">
        <f>AC$54*IF(Assumptions!$B$66="T-GNA",AC$61*Assumptions!$B$46/10000000,$C$5*Assumptions!$B$47*100000*12/10000000)</f>
        <v>21.281578369393664</v>
      </c>
    </row>
    <row r="65">
      <c r="A65" s="6" t="inlineStr">
        <is>
          <t>IEX transaction fees</t>
        </is>
      </c>
      <c r="B65" s="2" t="inlineStr">
        <is>
          <t>₹ Cr</t>
        </is>
      </c>
      <c r="E65" s="36">
        <f>(E$61+E$60)*Assumptions!$B$48/10000000</f>
        <v>1.4182876875702775</v>
      </c>
      <c r="F65" s="36">
        <f>(F$61+F$60)*Assumptions!$B$48/10000000</f>
        <v>1.4011170545574696</v>
      </c>
      <c r="G65" s="36">
        <f>(G$61+G$60)*Assumptions!$B$48/10000000</f>
        <v>1.383946421544662</v>
      </c>
      <c r="H65" s="36">
        <f>(H$61+H$60)*Assumptions!$B$48/10000000</f>
        <v>1.3667757885318543</v>
      </c>
      <c r="I65" s="36">
        <f>(I$61+I$60)*Assumptions!$B$48/10000000</f>
        <v>1.3496051555190463</v>
      </c>
      <c r="J65" s="36">
        <f>(J$61+J$60)*Assumptions!$B$48/10000000</f>
        <v>1.3324345225062386</v>
      </c>
      <c r="K65" s="36">
        <f>(K$61+K$60)*Assumptions!$B$48/10000000</f>
        <v>1.3152638894934308</v>
      </c>
      <c r="L65" s="36">
        <f>(L$61+L$60)*Assumptions!$B$48/10000000</f>
        <v>1.2980932564806231</v>
      </c>
      <c r="M65" s="36">
        <f>(M$61+M$60)*Assumptions!$B$48/10000000</f>
        <v>1.2809226234678155</v>
      </c>
      <c r="N65" s="36">
        <f>(N$61+N$60)*Assumptions!$B$48/10000000</f>
        <v>1.2637519904550074</v>
      </c>
      <c r="O65" s="36">
        <f>(O$61+O$60)*Assumptions!$B$48/10000000</f>
        <v>1.2465813574421998</v>
      </c>
      <c r="P65" s="36">
        <f>(P$61+P$60)*Assumptions!$B$48/10000000</f>
        <v>1.229410724429392</v>
      </c>
      <c r="Q65" s="36">
        <f>(Q$61+Q$60)*Assumptions!$B$48/10000000</f>
        <v>1.2122400914165843</v>
      </c>
      <c r="R65" s="36">
        <f>(R$61+R$60)*Assumptions!$B$48/10000000</f>
        <v>1.1950694584037767</v>
      </c>
      <c r="S65" s="36">
        <f>(S$61+S$60)*Assumptions!$B$48/10000000</f>
        <v>1.1778988253909686</v>
      </c>
      <c r="T65" s="36">
        <f>(T$61+T$60)*Assumptions!$B$48/10000000</f>
        <v>1.1607281923781612</v>
      </c>
      <c r="U65" s="36">
        <f>(U$61+U$60)*Assumptions!$B$48/10000000</f>
        <v>1.143557559365353</v>
      </c>
      <c r="V65" s="36">
        <f>(V$61+V$60)*Assumptions!$B$48/10000000</f>
        <v>1.1263869263525454</v>
      </c>
      <c r="W65" s="36">
        <f>(W$61+W$60)*Assumptions!$B$48/10000000</f>
        <v>1.1092162933397376</v>
      </c>
      <c r="X65" s="36">
        <f>(X$61+X$60)*Assumptions!$B$48/10000000</f>
        <v>1.0920456603269297</v>
      </c>
      <c r="Y65" s="36">
        <f>(Y$61+Y$60)*Assumptions!$B$48/10000000</f>
        <v>1.074875027314122</v>
      </c>
      <c r="Z65" s="36">
        <f>(Z$61+Z$60)*Assumptions!$B$48/10000000</f>
        <v>1.0577043943013142</v>
      </c>
      <c r="AA65" s="36">
        <f>(AA$61+AA$60)*Assumptions!$B$48/10000000</f>
        <v>1.0405337612885064</v>
      </c>
      <c r="AB65" s="36">
        <f>(AB$61+AB$60)*Assumptions!$B$48/10000000</f>
        <v>1.0233631282756988</v>
      </c>
      <c r="AC65" s="36">
        <f>(AC$61+AC$60)*Assumptions!$B$48/10000000</f>
        <v>1.006192495262891</v>
      </c>
    </row>
    <row r="66">
      <c r="A66" s="6" t="inlineStr">
        <is>
          <t>O&amp;M</t>
        </is>
      </c>
      <c r="B66" s="2" t="inlineStr">
        <is>
          <t>₹ Cr</t>
        </is>
      </c>
      <c r="E66" s="36">
        <f>E$54*$C$35*Assumptions!$B$55*E$59</f>
        <v>7.574036343490426</v>
      </c>
      <c r="F66" s="36">
        <f>F$54*$C$35*Assumptions!$B$55*F$59</f>
        <v>7.801257433795139</v>
      </c>
      <c r="G66" s="36">
        <f>G$54*$C$35*Assumptions!$B$55*G$59</f>
        <v>8.035295156808992</v>
      </c>
      <c r="H66" s="36">
        <f>H$54*$C$35*Assumptions!$B$55*H$59</f>
        <v>8.276354011513263</v>
      </c>
      <c r="I66" s="36">
        <f>I$54*$C$35*Assumptions!$B$55*I$59</f>
        <v>8.524644631858662</v>
      </c>
      <c r="J66" s="36">
        <f>J$54*$C$35*Assumptions!$B$55*J$59</f>
        <v>8.780383970814421</v>
      </c>
      <c r="K66" s="36">
        <f>K$54*$C$35*Assumptions!$B$55*K$59</f>
        <v>9.043795489938853</v>
      </c>
      <c r="L66" s="36">
        <f>L$54*$C$35*Assumptions!$B$55*L$59</f>
        <v>9.31510935463702</v>
      </c>
      <c r="M66" s="36">
        <f>M$54*$C$35*Assumptions!$B$55*M$59</f>
        <v>9.594562635276132</v>
      </c>
      <c r="N66" s="36">
        <f>N$54*$C$35*Assumptions!$B$55*N$59</f>
        <v>9.882399514334415</v>
      </c>
      <c r="O66" s="36">
        <f>O$54*$C$35*Assumptions!$B$55*O$59</f>
        <v>10.178871499764448</v>
      </c>
      <c r="P66" s="36">
        <f>P$54*$C$35*Assumptions!$B$55*P$59</f>
        <v>10.484237644757382</v>
      </c>
      <c r="Q66" s="36">
        <f>Q$54*$C$35*Assumptions!$B$55*Q$59</f>
        <v>10.798764774100103</v>
      </c>
      <c r="R66" s="36">
        <f>R$54*$C$35*Assumptions!$B$55*R$59</f>
        <v>11.122727717323107</v>
      </c>
      <c r="S66" s="36">
        <f>S$54*$C$35*Assumptions!$B$55*S$59</f>
        <v>11.456409548842801</v>
      </c>
      <c r="T66" s="36">
        <f>T$54*$C$35*Assumptions!$B$55*T$59</f>
        <v>11.800101835308084</v>
      </c>
      <c r="U66" s="36">
        <f>U$54*$C$35*Assumptions!$B$55*U$59</f>
        <v>12.154104890367327</v>
      </c>
      <c r="V66" s="36">
        <f>V$54*$C$35*Assumptions!$B$55*V$59</f>
        <v>12.518728037078347</v>
      </c>
      <c r="W66" s="36">
        <f>W$54*$C$35*Assumptions!$B$55*W$59</f>
        <v>12.8942898781907</v>
      </c>
      <c r="X66" s="36">
        <f>X$54*$C$35*Assumptions!$B$55*X$59</f>
        <v>13.28111857453642</v>
      </c>
      <c r="Y66" s="36">
        <f>Y$54*$C$35*Assumptions!$B$55*Y$59</f>
        <v>13.679552131772512</v>
      </c>
      <c r="Z66" s="36">
        <f>Z$54*$C$35*Assumptions!$B$55*Z$59</f>
        <v>14.089938695725689</v>
      </c>
      <c r="AA66" s="36">
        <f>AA$54*$C$35*Assumptions!$B$55*AA$59</f>
        <v>14.51263685659746</v>
      </c>
      <c r="AB66" s="36">
        <f>AB$54*$C$35*Assumptions!$B$55*AB$59</f>
        <v>14.948015962295385</v>
      </c>
      <c r="AC66" s="36">
        <f>AC$54*$C$35*Assumptions!$B$55*AC$59</f>
        <v>15.396456441164245</v>
      </c>
    </row>
    <row r="67">
      <c r="A67" s="6" t="inlineStr">
        <is>
          <t>Equity-funded cost</t>
        </is>
      </c>
      <c r="B67" s="2" t="inlineStr">
        <is>
          <t>₹ Cr</t>
        </is>
      </c>
      <c r="E67" s="36">
        <f>E$54*IF(AND(Assumptions!$B$21=1,E$53&lt;=Assumptions!$B$23),Assumptions!$B$22,0)</f>
        <v>20.0</v>
      </c>
      <c r="F67" s="36">
        <f>F$54*IF(AND(Assumptions!$B$21=1,F$53&lt;=Assumptions!$B$23),Assumptions!$B$22,0)</f>
        <v>20.0</v>
      </c>
      <c r="G67" s="36">
        <f>G$54*IF(AND(Assumptions!$B$21=1,G$53&lt;=Assumptions!$B$23),Assumptions!$B$22,0)</f>
        <v>0.0</v>
      </c>
      <c r="H67" s="36">
        <f>H$54*IF(AND(Assumptions!$B$21=1,H$53&lt;=Assumptions!$B$23),Assumptions!$B$22,0)</f>
        <v>0.0</v>
      </c>
      <c r="I67" s="36">
        <f>I$54*IF(AND(Assumptions!$B$21=1,I$53&lt;=Assumptions!$B$23),Assumptions!$B$22,0)</f>
        <v>0.0</v>
      </c>
      <c r="J67" s="36">
        <f>J$54*IF(AND(Assumptions!$B$21=1,J$53&lt;=Assumptions!$B$23),Assumptions!$B$22,0)</f>
        <v>0.0</v>
      </c>
      <c r="K67" s="36">
        <f>K$54*IF(AND(Assumptions!$B$21=1,K$53&lt;=Assumptions!$B$23),Assumptions!$B$22,0)</f>
        <v>0.0</v>
      </c>
      <c r="L67" s="36">
        <f>L$54*IF(AND(Assumptions!$B$21=1,L$53&lt;=Assumptions!$B$23),Assumptions!$B$22,0)</f>
        <v>0.0</v>
      </c>
      <c r="M67" s="36">
        <f>M$54*IF(AND(Assumptions!$B$21=1,M$53&lt;=Assumptions!$B$23),Assumptions!$B$22,0)</f>
        <v>0.0</v>
      </c>
      <c r="N67" s="36">
        <f>N$54*IF(AND(Assumptions!$B$21=1,N$53&lt;=Assumptions!$B$23),Assumptions!$B$22,0)</f>
        <v>0.0</v>
      </c>
      <c r="O67" s="36">
        <f>O$54*IF(AND(Assumptions!$B$21=1,O$53&lt;=Assumptions!$B$23),Assumptions!$B$22,0)</f>
        <v>0.0</v>
      </c>
      <c r="P67" s="36">
        <f>P$54*IF(AND(Assumptions!$B$21=1,P$53&lt;=Assumptions!$B$23),Assumptions!$B$22,0)</f>
        <v>0.0</v>
      </c>
      <c r="Q67" s="36">
        <f>Q$54*IF(AND(Assumptions!$B$21=1,Q$53&lt;=Assumptions!$B$23),Assumptions!$B$22,0)</f>
        <v>0.0</v>
      </c>
      <c r="R67" s="36">
        <f>R$54*IF(AND(Assumptions!$B$21=1,R$53&lt;=Assumptions!$B$23),Assumptions!$B$22,0)</f>
        <v>0.0</v>
      </c>
      <c r="S67" s="36">
        <f>S$54*IF(AND(Assumptions!$B$21=1,S$53&lt;=Assumptions!$B$23),Assumptions!$B$22,0)</f>
        <v>0.0</v>
      </c>
      <c r="T67" s="36">
        <f>T$54*IF(AND(Assumptions!$B$21=1,T$53&lt;=Assumptions!$B$23),Assumptions!$B$22,0)</f>
        <v>0.0</v>
      </c>
      <c r="U67" s="36">
        <f>U$54*IF(AND(Assumptions!$B$21=1,U$53&lt;=Assumptions!$B$23),Assumptions!$B$22,0)</f>
        <v>0.0</v>
      </c>
      <c r="V67" s="36">
        <f>V$54*IF(AND(Assumptions!$B$21=1,V$53&lt;=Assumptions!$B$23),Assumptions!$B$22,0)</f>
        <v>0.0</v>
      </c>
      <c r="W67" s="36">
        <f>W$54*IF(AND(Assumptions!$B$21=1,W$53&lt;=Assumptions!$B$23),Assumptions!$B$22,0)</f>
        <v>0.0</v>
      </c>
      <c r="X67" s="36">
        <f>X$54*IF(AND(Assumptions!$B$21=1,X$53&lt;=Assumptions!$B$23),Assumptions!$B$22,0)</f>
        <v>0.0</v>
      </c>
      <c r="Y67" s="36">
        <f>Y$54*IF(AND(Assumptions!$B$21=1,Y$53&lt;=Assumptions!$B$23),Assumptions!$B$22,0)</f>
        <v>0.0</v>
      </c>
      <c r="Z67" s="36">
        <f>Z$54*IF(AND(Assumptions!$B$21=1,Z$53&lt;=Assumptions!$B$23),Assumptions!$B$22,0)</f>
        <v>0.0</v>
      </c>
      <c r="AA67" s="36">
        <f>AA$54*IF(AND(Assumptions!$B$21=1,AA$53&lt;=Assumptions!$B$23),Assumptions!$B$22,0)</f>
        <v>0.0</v>
      </c>
      <c r="AB67" s="36">
        <f>AB$54*IF(AND(Assumptions!$B$21=1,AB$53&lt;=Assumptions!$B$23),Assumptions!$B$22,0)</f>
        <v>0.0</v>
      </c>
      <c r="AC67" s="36">
        <f>AC$54*IF(AND(Assumptions!$B$21=1,AC$53&lt;=Assumptions!$B$23),Assumptions!$B$22,0)</f>
        <v>0.0</v>
      </c>
    </row>
    <row r="68">
      <c r="A68" s="5" t="inlineStr">
        <is>
          <t>EBITDA</t>
        </is>
      </c>
      <c r="B68" s="2" t="inlineStr">
        <is>
          <t>₹ Cr</t>
        </is>
      </c>
      <c r="E68" s="47">
        <f>E$62-E$63-E$64-E$65-E$66-E$67</f>
        <v>153.35616353614535</v>
      </c>
      <c r="F68" s="47">
        <f>F$62-F$63-F$64-F$65-F$66-F$67</f>
        <v>150.93849399853775</v>
      </c>
      <c r="G68" s="47">
        <f>G$62-G$63-G$64-G$65-G$66-G$67</f>
        <v>168.51400782822094</v>
      </c>
      <c r="H68" s="47">
        <f>H$62-H$63-H$64-H$65-H$66-H$67</f>
        <v>166.0825005262137</v>
      </c>
      <c r="I68" s="47">
        <f>I$62-I$63-I$64-I$65-I$66-I$67</f>
        <v>163.6437614585654</v>
      </c>
      <c r="J68" s="47">
        <f>J$62-J$63-J$64-J$65-J$66-J$67</f>
        <v>161.19757367230667</v>
      </c>
      <c r="K68" s="47">
        <f>K$62-K$63-K$64-K$65-K$66-K$67</f>
        <v>158.74371370587934</v>
      </c>
      <c r="L68" s="47">
        <f>L$62-L$63-L$64-L$65-L$66-L$67</f>
        <v>156.28195139387822</v>
      </c>
      <c r="M68" s="47">
        <f>M$62-M$63-M$64-M$65-M$66-M$67</f>
        <v>153.8120496659362</v>
      </c>
      <c r="N68" s="47">
        <f>N$62-N$63-N$64-N$65-N$66-N$67</f>
        <v>151.333764339575</v>
      </c>
      <c r="O68" s="47">
        <f>O$62-O$63-O$64-O$65-O$66-O$67</f>
        <v>148.84684390684203</v>
      </c>
      <c r="P68" s="47">
        <f>P$62-P$63-P$64-P$65-P$66-P$67</f>
        <v>146.35102931454617</v>
      </c>
      <c r="Q68" s="47">
        <f>Q$62-Q$63-Q$64-Q$65-Q$66-Q$67</f>
        <v>143.84605373790046</v>
      </c>
      <c r="R68" s="47">
        <f>R$62-R$63-R$64-R$65-R$66-R$67</f>
        <v>141.33164234737455</v>
      </c>
      <c r="S68" s="47">
        <f>S$62-S$63-S$64-S$65-S$66-S$67</f>
        <v>138.80751206855194</v>
      </c>
      <c r="T68" s="47">
        <f>T$62-T$63-T$64-T$65-T$66-T$67</f>
        <v>136.2733713347837</v>
      </c>
      <c r="U68" s="47">
        <f>U$62-U$63-U$64-U$65-U$66-U$67</f>
        <v>133.7289198324215</v>
      </c>
      <c r="V68" s="47">
        <f>V$62-V$63-V$64-V$65-V$66-V$67</f>
        <v>131.17384823840757</v>
      </c>
      <c r="W68" s="47">
        <f>W$62-W$63-W$64-W$65-W$66-W$67</f>
        <v>128.6078379499923</v>
      </c>
      <c r="X68" s="47">
        <f>X$62-X$63-X$64-X$65-X$66-X$67</f>
        <v>126.03056080634364</v>
      </c>
      <c r="Y68" s="47">
        <f>Y$62-Y$63-Y$64-Y$65-Y$66-Y$67</f>
        <v>123.44167880180461</v>
      </c>
      <c r="Z68" s="47">
        <f>Z$62-Z$63-Z$64-Z$65-Z$66-Z$67</f>
        <v>120.84084379054849</v>
      </c>
      <c r="AA68" s="47">
        <f>AA$62-AA$63-AA$64-AA$65-AA$66-AA$67</f>
        <v>118.22769718237376</v>
      </c>
      <c r="AB68" s="47">
        <f>AB$62-AB$63-AB$64-AB$65-AB$66-AB$67</f>
        <v>115.60186962937297</v>
      </c>
      <c r="AC68" s="47">
        <f>AC$62-AC$63-AC$64-AC$65-AC$66-AC$67</f>
        <v>112.96298070320114</v>
      </c>
    </row>
    <row r="69">
      <c r="A69" s="6" t="inlineStr">
        <is>
          <t>Cell replacement at end of life</t>
        </is>
      </c>
      <c r="B69" s="2" t="inlineStr">
        <is>
          <t>₹ Cr</t>
        </is>
      </c>
      <c r="E69" s="36">
        <f>E$54*IF(AND(1-$C$19*(E$55+1)&lt;Assumptions!$B$71,E$53&lt;Assumptions!$B$51),$C$35*Assumptions!$B$77,0)</f>
        <v>0.0</v>
      </c>
      <c r="F69" s="36">
        <f>F$54*IF(AND(1-$C$19*(F$55+1)&lt;Assumptions!$B$71,F$53&lt;Assumptions!$B$51),$C$35*Assumptions!$B$77,0)</f>
        <v>0.0</v>
      </c>
      <c r="G69" s="36">
        <f>G$54*IF(AND(1-$C$19*(G$55+1)&lt;Assumptions!$B$71,G$53&lt;Assumptions!$B$51),$C$35*Assumptions!$B$77,0)</f>
        <v>0.0</v>
      </c>
      <c r="H69" s="36">
        <f>H$54*IF(AND(1-$C$19*(H$55+1)&lt;Assumptions!$B$71,H$53&lt;Assumptions!$B$51),$C$35*Assumptions!$B$77,0)</f>
        <v>0.0</v>
      </c>
      <c r="I69" s="36">
        <f>I$54*IF(AND(1-$C$19*(I$55+1)&lt;Assumptions!$B$71,I$53&lt;Assumptions!$B$51),$C$35*Assumptions!$B$77,0)</f>
        <v>0.0</v>
      </c>
      <c r="J69" s="36">
        <f>J$54*IF(AND(1-$C$19*(J$55+1)&lt;Assumptions!$B$71,J$53&lt;Assumptions!$B$51),$C$35*Assumptions!$B$77,0)</f>
        <v>0.0</v>
      </c>
      <c r="K69" s="36">
        <f>K$54*IF(AND(1-$C$19*(K$55+1)&lt;Assumptions!$B$71,K$53&lt;Assumptions!$B$51),$C$35*Assumptions!$B$77,0)</f>
        <v>0.0</v>
      </c>
      <c r="L69" s="36">
        <f>L$54*IF(AND(1-$C$19*(L$55+1)&lt;Assumptions!$B$71,L$53&lt;Assumptions!$B$51),$C$35*Assumptions!$B$77,0)</f>
        <v>0.0</v>
      </c>
      <c r="M69" s="36">
        <f>M$54*IF(AND(1-$C$19*(M$55+1)&lt;Assumptions!$B$71,M$53&lt;Assumptions!$B$51),$C$35*Assumptions!$B$77,0)</f>
        <v>0.0</v>
      </c>
      <c r="N69" s="36">
        <f>N$54*IF(AND(1-$C$19*(N$55+1)&lt;Assumptions!$B$71,N$53&lt;Assumptions!$B$51),$C$35*Assumptions!$B$77,0)</f>
        <v>0.0</v>
      </c>
      <c r="O69" s="36">
        <f>O$54*IF(AND(1-$C$19*(O$55+1)&lt;Assumptions!$B$71,O$53&lt;Assumptions!$B$51),$C$35*Assumptions!$B$77,0)</f>
        <v>0.0</v>
      </c>
      <c r="P69" s="36">
        <f>P$54*IF(AND(1-$C$19*(P$55+1)&lt;Assumptions!$B$71,P$53&lt;Assumptions!$B$51),$C$35*Assumptions!$B$77,0)</f>
        <v>0.0</v>
      </c>
      <c r="Q69" s="36">
        <f>Q$54*IF(AND(1-$C$19*(Q$55+1)&lt;Assumptions!$B$71,Q$53&lt;Assumptions!$B$51),$C$35*Assumptions!$B$77,0)</f>
        <v>0.0</v>
      </c>
      <c r="R69" s="36">
        <f>R$54*IF(AND(1-$C$19*(R$55+1)&lt;Assumptions!$B$71,R$53&lt;Assumptions!$B$51),$C$35*Assumptions!$B$77,0)</f>
        <v>0.0</v>
      </c>
      <c r="S69" s="36">
        <f>S$54*IF(AND(1-$C$19*(S$55+1)&lt;Assumptions!$B$71,S$53&lt;Assumptions!$B$51),$C$35*Assumptions!$B$77,0)</f>
        <v>0.0</v>
      </c>
      <c r="T69" s="36">
        <f>T$54*IF(AND(1-$C$19*(T$55+1)&lt;Assumptions!$B$71,T$53&lt;Assumptions!$B$51),$C$35*Assumptions!$B$77,0)</f>
        <v>0.0</v>
      </c>
      <c r="U69" s="36">
        <f>U$54*IF(AND(1-$C$19*(U$55+1)&lt;Assumptions!$B$71,U$53&lt;Assumptions!$B$51),$C$35*Assumptions!$B$77,0)</f>
        <v>0.0</v>
      </c>
      <c r="V69" s="36">
        <f>V$54*IF(AND(1-$C$19*(V$55+1)&lt;Assumptions!$B$71,V$53&lt;Assumptions!$B$51),$C$35*Assumptions!$B$77,0)</f>
        <v>0.0</v>
      </c>
      <c r="W69" s="36">
        <f>W$54*IF(AND(1-$C$19*(W$55+1)&lt;Assumptions!$B$71,W$53&lt;Assumptions!$B$51),$C$35*Assumptions!$B$77,0)</f>
        <v>0.0</v>
      </c>
      <c r="X69" s="36">
        <f>X$54*IF(AND(1-$C$19*(X$55+1)&lt;Assumptions!$B$71,X$53&lt;Assumptions!$B$51),$C$35*Assumptions!$B$77,0)</f>
        <v>0.0</v>
      </c>
      <c r="Y69" s="36">
        <f>Y$54*IF(AND(1-$C$19*(Y$55+1)&lt;Assumptions!$B$71,Y$53&lt;Assumptions!$B$51),$C$35*Assumptions!$B$77,0)</f>
        <v>0.0</v>
      </c>
      <c r="Z69" s="36">
        <f>Z$54*IF(AND(1-$C$19*(Z$55+1)&lt;Assumptions!$B$71,Z$53&lt;Assumptions!$B$51),$C$35*Assumptions!$B$77,0)</f>
        <v>0.0</v>
      </c>
      <c r="AA69" s="36">
        <f>AA$54*IF(AND(1-$C$19*(AA$55+1)&lt;Assumptions!$B$71,AA$53&lt;Assumptions!$B$51),$C$35*Assumptions!$B$77,0)</f>
        <v>0.0</v>
      </c>
      <c r="AB69" s="36">
        <f>AB$54*IF(AND(1-$C$19*(AB$55+1)&lt;Assumptions!$B$71,AB$53&lt;Assumptions!$B$51),$C$35*Assumptions!$B$77,0)</f>
        <v>0.0</v>
      </c>
      <c r="AC69" s="36">
        <f>AC$54*IF(AND(1-$C$19*(AC$55+1)&lt;Assumptions!$B$71,AC$53&lt;Assumptions!$B$51),$C$35*Assumptions!$B$77,0)</f>
        <v>0.0</v>
      </c>
    </row>
    <row r="70">
      <c r="A70" s="6" t="inlineStr">
        <is>
          <t>Depreciation</t>
        </is>
      </c>
      <c r="B70" s="2" t="inlineStr">
        <is>
          <t>₹ Cr</t>
        </is>
      </c>
      <c r="E70" s="36">
        <f>E$54*$C$36/Assumptions!$B$51</f>
        <v>60.59229074792341</v>
      </c>
      <c r="F70" s="36">
        <f>F$54*$C$36/Assumptions!$B$51</f>
        <v>60.59229074792341</v>
      </c>
      <c r="G70" s="36">
        <f>G$54*$C$36/Assumptions!$B$51</f>
        <v>60.59229074792341</v>
      </c>
      <c r="H70" s="36">
        <f>H$54*$C$36/Assumptions!$B$51</f>
        <v>60.59229074792341</v>
      </c>
      <c r="I70" s="36">
        <f>I$54*$C$36/Assumptions!$B$51</f>
        <v>60.59229074792341</v>
      </c>
      <c r="J70" s="36">
        <f>J$54*$C$36/Assumptions!$B$51</f>
        <v>60.59229074792341</v>
      </c>
      <c r="K70" s="36">
        <f>K$54*$C$36/Assumptions!$B$51</f>
        <v>60.59229074792341</v>
      </c>
      <c r="L70" s="36">
        <f>L$54*$C$36/Assumptions!$B$51</f>
        <v>60.59229074792341</v>
      </c>
      <c r="M70" s="36">
        <f>M$54*$C$36/Assumptions!$B$51</f>
        <v>60.59229074792341</v>
      </c>
      <c r="N70" s="36">
        <f>N$54*$C$36/Assumptions!$B$51</f>
        <v>60.59229074792341</v>
      </c>
      <c r="O70" s="36">
        <f>O$54*$C$36/Assumptions!$B$51</f>
        <v>60.59229074792341</v>
      </c>
      <c r="P70" s="36">
        <f>P$54*$C$36/Assumptions!$B$51</f>
        <v>60.59229074792341</v>
      </c>
      <c r="Q70" s="36">
        <f>Q$54*$C$36/Assumptions!$B$51</f>
        <v>60.59229074792341</v>
      </c>
      <c r="R70" s="36">
        <f>R$54*$C$36/Assumptions!$B$51</f>
        <v>60.59229074792341</v>
      </c>
      <c r="S70" s="36">
        <f>S$54*$C$36/Assumptions!$B$51</f>
        <v>60.59229074792341</v>
      </c>
      <c r="T70" s="36">
        <f>T$54*$C$36/Assumptions!$B$51</f>
        <v>60.59229074792341</v>
      </c>
      <c r="U70" s="36">
        <f>U$54*$C$36/Assumptions!$B$51</f>
        <v>60.59229074792341</v>
      </c>
      <c r="V70" s="36">
        <f>V$54*$C$36/Assumptions!$B$51</f>
        <v>60.59229074792341</v>
      </c>
      <c r="W70" s="36">
        <f>W$54*$C$36/Assumptions!$B$51</f>
        <v>60.59229074792341</v>
      </c>
      <c r="X70" s="36">
        <f>X$54*$C$36/Assumptions!$B$51</f>
        <v>60.59229074792341</v>
      </c>
      <c r="Y70" s="36">
        <f>Y$54*$C$36/Assumptions!$B$51</f>
        <v>60.59229074792341</v>
      </c>
      <c r="Z70" s="36">
        <f>Z$54*$C$36/Assumptions!$B$51</f>
        <v>60.59229074792341</v>
      </c>
      <c r="AA70" s="36">
        <f>AA$54*$C$36/Assumptions!$B$51</f>
        <v>60.59229074792341</v>
      </c>
      <c r="AB70" s="36">
        <f>AB$54*$C$36/Assumptions!$B$51</f>
        <v>60.59229074792341</v>
      </c>
      <c r="AC70" s="36">
        <f>AC$54*$C$36/Assumptions!$B$51</f>
        <v>60.59229074792341</v>
      </c>
    </row>
    <row r="71">
      <c r="A71" s="6" t="inlineStr">
        <is>
          <t>Tax, project basis</t>
        </is>
      </c>
      <c r="B71" s="2" t="inlineStr">
        <is>
          <t>₹ Cr</t>
        </is>
      </c>
      <c r="E71" s="36">
        <f>MAX(0,E$68-E$70-E$69)*Assumptions!$B$52</f>
        <v>23.348666780795458</v>
      </c>
      <c r="F71" s="36">
        <f>MAX(0,F$68-F$70-F$69)*Assumptions!$B$52</f>
        <v>22.740139358179626</v>
      </c>
      <c r="G71" s="36">
        <f>MAX(0,G$68-G$70-G$69)*Assumptions!$B$52</f>
        <v>27.163896189110886</v>
      </c>
      <c r="H71" s="36">
        <f>MAX(0,H$68-H$70-H$69)*Assumptions!$B$52</f>
        <v>26.55188580119566</v>
      </c>
      <c r="I71" s="36">
        <f>MAX(0,I$68-I$70-I$69)*Assumptions!$B$52</f>
        <v>25.938055177868584</v>
      </c>
      <c r="J71" s="36">
        <f>MAX(0,J$68-J$70-J$69)*Assumptions!$B$52</f>
        <v>25.322349712067265</v>
      </c>
      <c r="K71" s="36">
        <f>MAX(0,K$68-K$70-K$69)*Assumptions!$B$52</f>
        <v>24.704713158517507</v>
      </c>
      <c r="L71" s="36">
        <f>MAX(0,L$68-L$70-L$69)*Assumptions!$B$52</f>
        <v>24.085087584586823</v>
      </c>
      <c r="M71" s="36">
        <f>MAX(0,M$68-M$70-M$69)*Assumptions!$B$52</f>
        <v>23.463413319663818</v>
      </c>
      <c r="N71" s="36">
        <f>MAX(0,N$68-N$70-N$69)*Assumptions!$B$52</f>
        <v>22.839628903018703</v>
      </c>
      <c r="O71" s="36">
        <f>MAX(0,O$68-O$70-O$69)*Assumptions!$B$52</f>
        <v>22.213671030099814</v>
      </c>
      <c r="P71" s="36">
        <f>MAX(0,P$68-P$70-P$69)*Assumptions!$B$52</f>
        <v>21.585474497218947</v>
      </c>
      <c r="Q71" s="36">
        <f>MAX(0,Q$68-Q$70-Q$69)*Assumptions!$B$52</f>
        <v>20.954972144577223</v>
      </c>
      <c r="R71" s="36">
        <f>MAX(0,R$68-R$70-R$69)*Assumptions!$B$52</f>
        <v>20.32209479758185</v>
      </c>
      <c r="S71" s="36">
        <f>MAX(0,S$68-S$70-S$69)*Assumptions!$B$52</f>
        <v>19.6867712064022</v>
      </c>
      <c r="T71" s="36">
        <f>MAX(0,T$68-T$70-T$69)*Assumptions!$B$52</f>
        <v>19.04892798371273</v>
      </c>
      <c r="U71" s="36">
        <f>MAX(0,U$68-U$70-U$69)*Assumptions!$B$52</f>
        <v>18.408489540568166</v>
      </c>
      <c r="V71" s="36">
        <f>MAX(0,V$68-V$70-V$69)*Assumptions!$B$52</f>
        <v>17.765378020354863</v>
      </c>
      <c r="W71" s="36">
        <f>MAX(0,W$68-W$70-W$69)*Assumptions!$B$52</f>
        <v>17.119513230760738</v>
      </c>
      <c r="X71" s="36">
        <f>MAX(0,X$68-X$70-X$69)*Assumptions!$B$52</f>
        <v>16.470812573704375</v>
      </c>
      <c r="Y71" s="36">
        <f>MAX(0,Y$68-Y$70-Y$69)*Assumptions!$B$52</f>
        <v>15.819190973161898</v>
      </c>
      <c r="Z71" s="36">
        <f>MAX(0,Z$68-Z$70-Z$69)*Assumptions!$B$52</f>
        <v>15.164560800828733</v>
      </c>
      <c r="AA71" s="36">
        <f>MAX(0,AA$68-AA$70-AA$69)*Assumptions!$B$52</f>
        <v>14.506831799551152</v>
      </c>
      <c r="AB71" s="36">
        <f>MAX(0,AB$68-AB$70-AB$69)*Assumptions!$B$52</f>
        <v>13.845911004460854</v>
      </c>
      <c r="AC71" s="36">
        <f>MAX(0,AC$68-AC$70-AC$69)*Assumptions!$B$52</f>
        <v>13.181702661743405</v>
      </c>
    </row>
    <row r="72">
      <c r="A72" s="6" t="inlineStr">
        <is>
          <t>Project cash flow, pre-tax</t>
        </is>
      </c>
      <c r="B72" s="2" t="inlineStr">
        <is>
          <t>₹ Cr</t>
        </is>
      </c>
      <c r="D72" s="36">
        <f>-$C$36</f>
        <v>-1514.8072686980852</v>
      </c>
      <c r="E72" s="36">
        <f>E$68-E$69</f>
        <v>153.35616353614535</v>
      </c>
      <c r="F72" s="36">
        <f>F$68-F$69</f>
        <v>150.93849399853775</v>
      </c>
      <c r="G72" s="36">
        <f>G$68-G$69</f>
        <v>168.51400782822094</v>
      </c>
      <c r="H72" s="36">
        <f>H$68-H$69</f>
        <v>166.0825005262137</v>
      </c>
      <c r="I72" s="36">
        <f>I$68-I$69</f>
        <v>163.6437614585654</v>
      </c>
      <c r="J72" s="36">
        <f>J$68-J$69</f>
        <v>161.19757367230667</v>
      </c>
      <c r="K72" s="36">
        <f>K$68-K$69</f>
        <v>158.74371370587934</v>
      </c>
      <c r="L72" s="36">
        <f>L$68-L$69</f>
        <v>156.28195139387822</v>
      </c>
      <c r="M72" s="36">
        <f>M$68-M$69</f>
        <v>153.8120496659362</v>
      </c>
      <c r="N72" s="36">
        <f>N$68-N$69</f>
        <v>151.333764339575</v>
      </c>
      <c r="O72" s="36">
        <f>O$68-O$69</f>
        <v>148.84684390684203</v>
      </c>
      <c r="P72" s="36">
        <f>P$68-P$69</f>
        <v>146.35102931454617</v>
      </c>
      <c r="Q72" s="36">
        <f>Q$68-Q$69</f>
        <v>143.84605373790046</v>
      </c>
      <c r="R72" s="36">
        <f>R$68-R$69</f>
        <v>141.33164234737455</v>
      </c>
      <c r="S72" s="36">
        <f>S$68-S$69</f>
        <v>138.80751206855194</v>
      </c>
      <c r="T72" s="36">
        <f>T$68-T$69</f>
        <v>136.2733713347837</v>
      </c>
      <c r="U72" s="36">
        <f>U$68-U$69</f>
        <v>133.7289198324215</v>
      </c>
      <c r="V72" s="36">
        <f>V$68-V$69</f>
        <v>131.17384823840757</v>
      </c>
      <c r="W72" s="36">
        <f>W$68-W$69</f>
        <v>128.6078379499923</v>
      </c>
      <c r="X72" s="36">
        <f>X$68-X$69</f>
        <v>126.03056080634364</v>
      </c>
      <c r="Y72" s="36">
        <f>Y$68-Y$69</f>
        <v>123.44167880180461</v>
      </c>
      <c r="Z72" s="36">
        <f>Z$68-Z$69</f>
        <v>120.84084379054849</v>
      </c>
      <c r="AA72" s="36">
        <f>AA$68-AA$69</f>
        <v>118.22769718237376</v>
      </c>
      <c r="AB72" s="36">
        <f>AB$68-AB$69</f>
        <v>115.60186962937297</v>
      </c>
      <c r="AC72" s="36">
        <f>AC$68-AC$69</f>
        <v>112.96298070320114</v>
      </c>
    </row>
    <row r="73">
      <c r="A73" s="5" t="inlineStr">
        <is>
          <t>Project cash flow, post-tax</t>
        </is>
      </c>
      <c r="B73" s="2" t="inlineStr">
        <is>
          <t>₹ Cr</t>
        </is>
      </c>
      <c r="D73" s="47">
        <f>-$C$36</f>
        <v>-1514.8072686980852</v>
      </c>
      <c r="E73" s="47">
        <f>E$68-E$69-E$71</f>
        <v>130.00749675534988</v>
      </c>
      <c r="F73" s="47">
        <f>F$68-F$69-F$71</f>
        <v>128.19835464035813</v>
      </c>
      <c r="G73" s="47">
        <f>G$68-G$69-G$71</f>
        <v>141.35011163911005</v>
      </c>
      <c r="H73" s="47">
        <f>H$68-H$69-H$71</f>
        <v>139.53061472501804</v>
      </c>
      <c r="I73" s="47">
        <f>I$68-I$69-I$71</f>
        <v>137.7057062806968</v>
      </c>
      <c r="J73" s="47">
        <f>J$68-J$69-J$71</f>
        <v>135.8752239602394</v>
      </c>
      <c r="K73" s="47">
        <f>K$68-K$69-K$71</f>
        <v>134.03900054736184</v>
      </c>
      <c r="L73" s="47">
        <f>L$68-L$69-L$71</f>
        <v>132.1968638092914</v>
      </c>
      <c r="M73" s="47">
        <f>M$68-M$69-M$71</f>
        <v>130.34863634627237</v>
      </c>
      <c r="N73" s="47">
        <f>N$68-N$69-N$71</f>
        <v>128.4941354365563</v>
      </c>
      <c r="O73" s="47">
        <f>O$68-O$69-O$71</f>
        <v>126.63317287674221</v>
      </c>
      <c r="P73" s="47">
        <f>P$68-P$69-P$71</f>
        <v>124.76555481732723</v>
      </c>
      <c r="Q73" s="47">
        <f>Q$68-Q$69-Q$71</f>
        <v>122.89108159332324</v>
      </c>
      <c r="R73" s="47">
        <f>R$68-R$69-R$71</f>
        <v>121.0095475497927</v>
      </c>
      <c r="S73" s="47">
        <f>S$68-S$69-S$71</f>
        <v>119.12074086214974</v>
      </c>
      <c r="T73" s="47">
        <f>T$68-T$69-T$71</f>
        <v>117.22444335107096</v>
      </c>
      <c r="U73" s="47">
        <f>U$68-U$69-U$71</f>
        <v>115.32043029185333</v>
      </c>
      <c r="V73" s="47">
        <f>V$68-V$69-V$71</f>
        <v>113.40847021805271</v>
      </c>
      <c r="W73" s="47">
        <f>W$68-W$69-W$71</f>
        <v>111.48832471923157</v>
      </c>
      <c r="X73" s="47">
        <f>X$68-X$69-X$71</f>
        <v>109.55974823263927</v>
      </c>
      <c r="Y73" s="47">
        <f>Y$68-Y$69-Y$71</f>
        <v>107.62248782864272</v>
      </c>
      <c r="Z73" s="47">
        <f>Z$68-Z$69-Z$71</f>
        <v>105.67628298971975</v>
      </c>
      <c r="AA73" s="47">
        <f>AA$68-AA$69-AA$71</f>
        <v>103.72086538282261</v>
      </c>
      <c r="AB73" s="47">
        <f>AB$68-AB$69-AB$71</f>
        <v>101.75595862491211</v>
      </c>
      <c r="AC73" s="47">
        <f>AC$68-AC$69-AC$71</f>
        <v>99.78127804145774</v>
      </c>
    </row>
    <row r="74">
      <c r="A74" s="6" t="inlineStr">
        <is>
          <t>Debt opening balance</t>
        </is>
      </c>
      <c r="B74" s="2" t="inlineStr">
        <is>
          <t>₹ Cr</t>
        </is>
      </c>
      <c r="E74" s="36">
        <f>$C$39</f>
        <v>1060.3650880886596</v>
      </c>
      <c r="F74" s="36">
        <f>E$77</f>
        <v>989.6740822160823</v>
      </c>
      <c r="G74" s="36">
        <f>F$77</f>
        <v>918.983076343505</v>
      </c>
      <c r="H74" s="36">
        <f>G$77</f>
        <v>848.2920704709277</v>
      </c>
      <c r="I74" s="36">
        <f>H$77</f>
        <v>777.6010645983504</v>
      </c>
      <c r="J74" s="36">
        <f>I$77</f>
        <v>706.9100587257731</v>
      </c>
      <c r="K74" s="36">
        <f>J$77</f>
        <v>636.2190528531958</v>
      </c>
      <c r="L74" s="36">
        <f>K$77</f>
        <v>565.5280469806185</v>
      </c>
      <c r="M74" s="36">
        <f>L$77</f>
        <v>494.83704110804115</v>
      </c>
      <c r="N74" s="36">
        <f>M$77</f>
        <v>424.14603523546384</v>
      </c>
      <c r="O74" s="36">
        <f>N$77</f>
        <v>353.45502936288653</v>
      </c>
      <c r="P74" s="36">
        <f>O$77</f>
        <v>282.7640234903092</v>
      </c>
      <c r="Q74" s="36">
        <f>P$77</f>
        <v>212.07301761773192</v>
      </c>
      <c r="R74" s="36">
        <f>Q$77</f>
        <v>141.3820117451546</v>
      </c>
      <c r="S74" s="36">
        <f>R$77</f>
        <v>70.6910058725773</v>
      </c>
      <c r="T74" s="36">
        <f>S$77</f>
        <v>0.0</v>
      </c>
      <c r="U74" s="36">
        <f>T$77</f>
        <v>0.0</v>
      </c>
      <c r="V74" s="36">
        <f>U$77</f>
        <v>0.0</v>
      </c>
      <c r="W74" s="36">
        <f>V$77</f>
        <v>0.0</v>
      </c>
      <c r="X74" s="36">
        <f>W$77</f>
        <v>0.0</v>
      </c>
      <c r="Y74" s="36">
        <f>X$77</f>
        <v>0.0</v>
      </c>
      <c r="Z74" s="36">
        <f>Y$77</f>
        <v>0.0</v>
      </c>
      <c r="AA74" s="36">
        <f>Z$77</f>
        <v>0.0</v>
      </c>
      <c r="AB74" s="36">
        <f>AA$77</f>
        <v>0.0</v>
      </c>
      <c r="AC74" s="36">
        <f>AB$77</f>
        <v>0.0</v>
      </c>
    </row>
    <row r="75">
      <c r="A75" s="6" t="inlineStr">
        <is>
          <t>Interest</t>
        </is>
      </c>
      <c r="B75" s="2" t="inlineStr">
        <is>
          <t>₹ Cr</t>
        </is>
      </c>
      <c r="E75" s="36">
        <f>E$74*Assumptions!$B$59</f>
        <v>100.73468336842267</v>
      </c>
      <c r="F75" s="36">
        <f>F$74*Assumptions!$B$59</f>
        <v>94.01903781052782</v>
      </c>
      <c r="G75" s="36">
        <f>G$74*Assumptions!$B$59</f>
        <v>87.30339225263297</v>
      </c>
      <c r="H75" s="36">
        <f>H$74*Assumptions!$B$59</f>
        <v>80.58774669473813</v>
      </c>
      <c r="I75" s="36">
        <f>I$74*Assumptions!$B$59</f>
        <v>73.87210113684328</v>
      </c>
      <c r="J75" s="36">
        <f>J$74*Assumptions!$B$59</f>
        <v>67.15645557894844</v>
      </c>
      <c r="K75" s="36">
        <f>K$74*Assumptions!$B$59</f>
        <v>60.4408100210536</v>
      </c>
      <c r="L75" s="36">
        <f>L$74*Assumptions!$B$59</f>
        <v>53.725164463158755</v>
      </c>
      <c r="M75" s="36">
        <f>M$74*Assumptions!$B$59</f>
        <v>47.00951890526391</v>
      </c>
      <c r="N75" s="36">
        <f>N$74*Assumptions!$B$59</f>
        <v>40.293873347369065</v>
      </c>
      <c r="O75" s="36">
        <f>O$74*Assumptions!$B$59</f>
        <v>33.57822778947422</v>
      </c>
      <c r="P75" s="36">
        <f>P$74*Assumptions!$B$59</f>
        <v>26.862582231579378</v>
      </c>
      <c r="Q75" s="36">
        <f>Q$74*Assumptions!$B$59</f>
        <v>20.146936673684532</v>
      </c>
      <c r="R75" s="36">
        <f>R$74*Assumptions!$B$59</f>
        <v>13.431291115789689</v>
      </c>
      <c r="S75" s="36">
        <f>S$74*Assumptions!$B$59</f>
        <v>6.715645557894844</v>
      </c>
      <c r="T75" s="36">
        <f>T$74*Assumptions!$B$59</f>
        <v>0.0</v>
      </c>
      <c r="U75" s="36">
        <f>U$74*Assumptions!$B$59</f>
        <v>0.0</v>
      </c>
      <c r="V75" s="36">
        <f>V$74*Assumptions!$B$59</f>
        <v>0.0</v>
      </c>
      <c r="W75" s="36">
        <f>W$74*Assumptions!$B$59</f>
        <v>0.0</v>
      </c>
      <c r="X75" s="36">
        <f>X$74*Assumptions!$B$59</f>
        <v>0.0</v>
      </c>
      <c r="Y75" s="36">
        <f>Y$74*Assumptions!$B$59</f>
        <v>0.0</v>
      </c>
      <c r="Z75" s="36">
        <f>Z$74*Assumptions!$B$59</f>
        <v>0.0</v>
      </c>
      <c r="AA75" s="36">
        <f>AA$74*Assumptions!$B$59</f>
        <v>0.0</v>
      </c>
      <c r="AB75" s="36">
        <f>AB$74*Assumptions!$B$59</f>
        <v>0.0</v>
      </c>
      <c r="AC75" s="36">
        <f>AC$74*Assumptions!$B$59</f>
        <v>0.0</v>
      </c>
    </row>
    <row r="76">
      <c r="A76" s="6" t="inlineStr">
        <is>
          <t>Principal repayment</t>
        </is>
      </c>
      <c r="B76" s="2" t="inlineStr">
        <is>
          <t>₹ Cr</t>
        </is>
      </c>
      <c r="E76" s="36">
        <f>IF(E$53&lt;=Assumptions!$B$60,MIN(E$74,$C$41),0)</f>
        <v>70.6910058725773</v>
      </c>
      <c r="F76" s="36">
        <f>IF(F$53&lt;=Assumptions!$B$60,MIN(F$74,$C$41),0)</f>
        <v>70.6910058725773</v>
      </c>
      <c r="G76" s="36">
        <f>IF(G$53&lt;=Assumptions!$B$60,MIN(G$74,$C$41),0)</f>
        <v>70.6910058725773</v>
      </c>
      <c r="H76" s="36">
        <f>IF(H$53&lt;=Assumptions!$B$60,MIN(H$74,$C$41),0)</f>
        <v>70.6910058725773</v>
      </c>
      <c r="I76" s="36">
        <f>IF(I$53&lt;=Assumptions!$B$60,MIN(I$74,$C$41),0)</f>
        <v>70.6910058725773</v>
      </c>
      <c r="J76" s="36">
        <f>IF(J$53&lt;=Assumptions!$B$60,MIN(J$74,$C$41),0)</f>
        <v>70.6910058725773</v>
      </c>
      <c r="K76" s="36">
        <f>IF(K$53&lt;=Assumptions!$B$60,MIN(K$74,$C$41),0)</f>
        <v>70.6910058725773</v>
      </c>
      <c r="L76" s="36">
        <f>IF(L$53&lt;=Assumptions!$B$60,MIN(L$74,$C$41),0)</f>
        <v>70.6910058725773</v>
      </c>
      <c r="M76" s="36">
        <f>IF(M$53&lt;=Assumptions!$B$60,MIN(M$74,$C$41),0)</f>
        <v>70.6910058725773</v>
      </c>
      <c r="N76" s="36">
        <f>IF(N$53&lt;=Assumptions!$B$60,MIN(N$74,$C$41),0)</f>
        <v>70.6910058725773</v>
      </c>
      <c r="O76" s="36">
        <f>IF(O$53&lt;=Assumptions!$B$60,MIN(O$74,$C$41),0)</f>
        <v>70.6910058725773</v>
      </c>
      <c r="P76" s="36">
        <f>IF(P$53&lt;=Assumptions!$B$60,MIN(P$74,$C$41),0)</f>
        <v>70.6910058725773</v>
      </c>
      <c r="Q76" s="36">
        <f>IF(Q$53&lt;=Assumptions!$B$60,MIN(Q$74,$C$41),0)</f>
        <v>70.6910058725773</v>
      </c>
      <c r="R76" s="36">
        <f>IF(R$53&lt;=Assumptions!$B$60,MIN(R$74,$C$41),0)</f>
        <v>70.6910058725773</v>
      </c>
      <c r="S76" s="36">
        <f>IF(S$53&lt;=Assumptions!$B$60,MIN(S$74,$C$41),0)</f>
        <v>70.6910058725773</v>
      </c>
      <c r="T76" s="36">
        <f>IF(T$53&lt;=Assumptions!$B$60,MIN(T$74,$C$41),0)</f>
        <v>0.0</v>
      </c>
      <c r="U76" s="36">
        <f>IF(U$53&lt;=Assumptions!$B$60,MIN(U$74,$C$41),0)</f>
        <v>0.0</v>
      </c>
      <c r="V76" s="36">
        <f>IF(V$53&lt;=Assumptions!$B$60,MIN(V$74,$C$41),0)</f>
        <v>0.0</v>
      </c>
      <c r="W76" s="36">
        <f>IF(W$53&lt;=Assumptions!$B$60,MIN(W$74,$C$41),0)</f>
        <v>0.0</v>
      </c>
      <c r="X76" s="36">
        <f>IF(X$53&lt;=Assumptions!$B$60,MIN(X$74,$C$41),0)</f>
        <v>0.0</v>
      </c>
      <c r="Y76" s="36">
        <f>IF(Y$53&lt;=Assumptions!$B$60,MIN(Y$74,$C$41),0)</f>
        <v>0.0</v>
      </c>
      <c r="Z76" s="36">
        <f>IF(Z$53&lt;=Assumptions!$B$60,MIN(Z$74,$C$41),0)</f>
        <v>0.0</v>
      </c>
      <c r="AA76" s="36">
        <f>IF(AA$53&lt;=Assumptions!$B$60,MIN(AA$74,$C$41),0)</f>
        <v>0.0</v>
      </c>
      <c r="AB76" s="36">
        <f>IF(AB$53&lt;=Assumptions!$B$60,MIN(AB$74,$C$41),0)</f>
        <v>0.0</v>
      </c>
      <c r="AC76" s="36">
        <f>IF(AC$53&lt;=Assumptions!$B$60,MIN(AC$74,$C$41),0)</f>
        <v>0.0</v>
      </c>
    </row>
    <row r="77">
      <c r="A77" s="6" t="inlineStr">
        <is>
          <t>Debt closing balance</t>
        </is>
      </c>
      <c r="B77" s="2" t="inlineStr">
        <is>
          <t>₹ Cr</t>
        </is>
      </c>
      <c r="E77" s="36">
        <f>E$74-E$76</f>
        <v>989.6740822160823</v>
      </c>
      <c r="F77" s="36">
        <f>F$74-F$76</f>
        <v>918.983076343505</v>
      </c>
      <c r="G77" s="36">
        <f>G$74-G$76</f>
        <v>848.2920704709277</v>
      </c>
      <c r="H77" s="36">
        <f>H$74-H$76</f>
        <v>777.6010645983504</v>
      </c>
      <c r="I77" s="36">
        <f>I$74-I$76</f>
        <v>706.9100587257731</v>
      </c>
      <c r="J77" s="36">
        <f>J$74-J$76</f>
        <v>636.2190528531958</v>
      </c>
      <c r="K77" s="36">
        <f>K$74-K$76</f>
        <v>565.5280469806185</v>
      </c>
      <c r="L77" s="36">
        <f>L$74-L$76</f>
        <v>494.83704110804115</v>
      </c>
      <c r="M77" s="36">
        <f>M$74-M$76</f>
        <v>424.14603523546384</v>
      </c>
      <c r="N77" s="36">
        <f>N$74-N$76</f>
        <v>353.45502936288653</v>
      </c>
      <c r="O77" s="36">
        <f>O$74-O$76</f>
        <v>282.7640234903092</v>
      </c>
      <c r="P77" s="36">
        <f>P$74-P$76</f>
        <v>212.07301761773192</v>
      </c>
      <c r="Q77" s="36">
        <f>Q$74-Q$76</f>
        <v>141.3820117451546</v>
      </c>
      <c r="R77" s="36">
        <f>R$74-R$76</f>
        <v>70.6910058725773</v>
      </c>
      <c r="S77" s="36">
        <f>S$74-S$76</f>
        <v>0.0</v>
      </c>
      <c r="T77" s="36">
        <f>T$74-T$76</f>
        <v>0.0</v>
      </c>
      <c r="U77" s="36">
        <f>U$74-U$76</f>
        <v>0.0</v>
      </c>
      <c r="V77" s="36">
        <f>V$74-V$76</f>
        <v>0.0</v>
      </c>
      <c r="W77" s="36">
        <f>W$74-W$76</f>
        <v>0.0</v>
      </c>
      <c r="X77" s="36">
        <f>X$74-X$76</f>
        <v>0.0</v>
      </c>
      <c r="Y77" s="36">
        <f>Y$74-Y$76</f>
        <v>0.0</v>
      </c>
      <c r="Z77" s="36">
        <f>Z$74-Z$76</f>
        <v>0.0</v>
      </c>
      <c r="AA77" s="36">
        <f>AA$74-AA$76</f>
        <v>0.0</v>
      </c>
      <c r="AB77" s="36">
        <f>AB$74-AB$76</f>
        <v>0.0</v>
      </c>
      <c r="AC77" s="36">
        <f>AC$74-AC$76</f>
        <v>0.0</v>
      </c>
    </row>
    <row r="78">
      <c r="A78" s="6" t="inlineStr">
        <is>
          <t>Tax, after interest</t>
        </is>
      </c>
      <c r="B78" s="2" t="inlineStr">
        <is>
          <t>₹ Cr</t>
        </is>
      </c>
      <c r="E78" s="36">
        <f>MAX(0,E$68-E$70-E$69-E$75)*Assumptions!$B$52</f>
        <v>0.0</v>
      </c>
      <c r="F78" s="36">
        <f>MAX(0,F$68-F$70-F$69-F$75)*Assumptions!$B$52</f>
        <v>0.0</v>
      </c>
      <c r="G78" s="36">
        <f>MAX(0,G$68-G$70-G$69-G$75)*Assumptions!$B$52</f>
        <v>5.189632359123167</v>
      </c>
      <c r="H78" s="36">
        <f>MAX(0,H$68-H$70-H$69-H$75)*Assumptions!$B$52</f>
        <v>6.2679499581300755</v>
      </c>
      <c r="I78" s="36">
        <f>MAX(0,I$68-I$70-I$69-I$75)*Assumptions!$B$52</f>
        <v>7.344447321725131</v>
      </c>
      <c r="J78" s="36">
        <f>MAX(0,J$68-J$70-J$69-J$75)*Assumptions!$B$52</f>
        <v>8.419069842845945</v>
      </c>
      <c r="K78" s="36">
        <f>MAX(0,K$68-K$70-K$69-K$75)*Assumptions!$B$52</f>
        <v>9.491761276218316</v>
      </c>
      <c r="L78" s="36">
        <f>MAX(0,L$68-L$70-L$69-L$75)*Assumptions!$B$52</f>
        <v>10.562463689209764</v>
      </c>
      <c r="M78" s="36">
        <f>MAX(0,M$68-M$70-M$69-M$75)*Assumptions!$B$52</f>
        <v>11.63111741120889</v>
      </c>
      <c r="N78" s="36">
        <f>MAX(0,N$68-N$70-N$69-N$75)*Assumptions!$B$52</f>
        <v>12.697660981485908</v>
      </c>
      <c r="O78" s="36">
        <f>MAX(0,O$68-O$70-O$69-O$75)*Assumptions!$B$52</f>
        <v>13.762031095489153</v>
      </c>
      <c r="P78" s="36">
        <f>MAX(0,P$68-P$70-P$69-P$75)*Assumptions!$B$52</f>
        <v>14.824162549530415</v>
      </c>
      <c r="Q78" s="36">
        <f>MAX(0,Q$68-Q$70-Q$69-Q$75)*Assumptions!$B$52</f>
        <v>15.883988183810825</v>
      </c>
      <c r="R78" s="36">
        <f>MAX(0,R$68-R$70-R$69-R$75)*Assumptions!$B$52</f>
        <v>16.941438823737585</v>
      </c>
      <c r="S78" s="36">
        <f>MAX(0,S$68-S$70-S$69-S$75)*Assumptions!$B$52</f>
        <v>17.996443219480067</v>
      </c>
      <c r="T78" s="36">
        <f>MAX(0,T$68-T$70-T$69-T$75)*Assumptions!$B$52</f>
        <v>19.04892798371273</v>
      </c>
      <c r="U78" s="36">
        <f>MAX(0,U$68-U$70-U$69-U$75)*Assumptions!$B$52</f>
        <v>18.408489540568166</v>
      </c>
      <c r="V78" s="36">
        <f>MAX(0,V$68-V$70-V$69-V$75)*Assumptions!$B$52</f>
        <v>17.765378020354863</v>
      </c>
      <c r="W78" s="36">
        <f>MAX(0,W$68-W$70-W$69-W$75)*Assumptions!$B$52</f>
        <v>17.119513230760738</v>
      </c>
      <c r="X78" s="36">
        <f>MAX(0,X$68-X$70-X$69-X$75)*Assumptions!$B$52</f>
        <v>16.470812573704375</v>
      </c>
      <c r="Y78" s="36">
        <f>MAX(0,Y$68-Y$70-Y$69-Y$75)*Assumptions!$B$52</f>
        <v>15.819190973161898</v>
      </c>
      <c r="Z78" s="36">
        <f>MAX(0,Z$68-Z$70-Z$69-Z$75)*Assumptions!$B$52</f>
        <v>15.164560800828733</v>
      </c>
      <c r="AA78" s="36">
        <f>MAX(0,AA$68-AA$70-AA$69-AA$75)*Assumptions!$B$52</f>
        <v>14.506831799551152</v>
      </c>
      <c r="AB78" s="36">
        <f>MAX(0,AB$68-AB$70-AB$69-AB$75)*Assumptions!$B$52</f>
        <v>13.845911004460854</v>
      </c>
      <c r="AC78" s="36">
        <f>MAX(0,AC$68-AC$70-AC$69-AC$75)*Assumptions!$B$52</f>
        <v>13.181702661743405</v>
      </c>
    </row>
    <row r="79">
      <c r="A79" s="5" t="inlineStr">
        <is>
          <t>Equity cash flow</t>
        </is>
      </c>
      <c r="B79" s="2" t="inlineStr">
        <is>
          <t>₹ Cr</t>
        </is>
      </c>
      <c r="D79" s="47">
        <f>-$C$40</f>
        <v>-454.4421806094256</v>
      </c>
      <c r="E79" s="47">
        <f>E$68-E$69-E$78-E$75-E$76</f>
        <v>-18.069525704854627</v>
      </c>
      <c r="F79" s="47">
        <f>F$68-F$69-F$78-F$75-F$76</f>
        <v>-13.771549684567375</v>
      </c>
      <c r="G79" s="47">
        <f>G$68-G$69-G$78-G$75-G$76</f>
        <v>5.329977343887478</v>
      </c>
      <c r="H79" s="47">
        <f>H$68-H$69-H$78-H$75-H$76</f>
        <v>8.535798000768168</v>
      </c>
      <c r="I79" s="47">
        <f>I$68-I$69-I$78-I$75-I$76</f>
        <v>11.73620712741966</v>
      </c>
      <c r="J79" s="47">
        <f>J$68-J$69-J$78-J$75-J$76</f>
        <v>14.931042377934986</v>
      </c>
      <c r="K79" s="47">
        <f>K$68-K$69-K$78-K$75-K$76</f>
        <v>18.120136536030117</v>
      </c>
      <c r="L79" s="47">
        <f>L$68-L$69-L$78-L$75-L$76</f>
        <v>21.30331736893237</v>
      </c>
      <c r="M79" s="47">
        <f>M$68-M$69-M$78-M$75-M$76</f>
        <v>24.480407476886086</v>
      </c>
      <c r="N79" s="47">
        <f>N$68-N$69-N$78-N$75-N$76</f>
        <v>27.65122413814271</v>
      </c>
      <c r="O79" s="47">
        <f>O$68-O$69-O$78-O$75-O$76</f>
        <v>30.81557914930133</v>
      </c>
      <c r="P79" s="47">
        <f>P$68-P$69-P$78-P$75-P$76</f>
        <v>33.97327866085905</v>
      </c>
      <c r="Q79" s="47">
        <f>Q$68-Q$69-Q$78-Q$75-Q$76</f>
        <v>37.12412300782779</v>
      </c>
      <c r="R79" s="47">
        <f>R$68-R$69-R$78-R$75-R$76</f>
        <v>40.26790653526997</v>
      </c>
      <c r="S79" s="47">
        <f>S$68-S$69-S$78-S$75-S$76</f>
        <v>43.40441741859972</v>
      </c>
      <c r="T79" s="47">
        <f>T$68-T$69-T$78-T$75-T$76</f>
        <v>117.22444335107096</v>
      </c>
      <c r="U79" s="47">
        <f>U$68-U$69-U$78-U$75-U$76</f>
        <v>115.32043029185333</v>
      </c>
      <c r="V79" s="47">
        <f>V$68-V$69-V$78-V$75-V$76</f>
        <v>113.40847021805271</v>
      </c>
      <c r="W79" s="47">
        <f>W$68-W$69-W$78-W$75-W$76</f>
        <v>111.48832471923157</v>
      </c>
      <c r="X79" s="47">
        <f>X$68-X$69-X$78-X$75-X$76</f>
        <v>109.55974823263927</v>
      </c>
      <c r="Y79" s="47">
        <f>Y$68-Y$69-Y$78-Y$75-Y$76</f>
        <v>107.62248782864272</v>
      </c>
      <c r="Z79" s="47">
        <f>Z$68-Z$69-Z$78-Z$75-Z$76</f>
        <v>105.67628298971975</v>
      </c>
      <c r="AA79" s="47">
        <f>AA$68-AA$69-AA$78-AA$75-AA$76</f>
        <v>103.72086538282261</v>
      </c>
      <c r="AB79" s="47">
        <f>AB$68-AB$69-AB$78-AB$75-AB$76</f>
        <v>101.75595862491211</v>
      </c>
      <c r="AC79" s="47">
        <f>AC$68-AC$69-AC$78-AC$75-AC$76</f>
        <v>99.78127804145774</v>
      </c>
    </row>
    <row r="80">
      <c r="A80" s="6" t="inlineStr">
        <is>
          <t>DSCR (excl. replacement and equity-funded cost)</t>
        </is>
      </c>
      <c r="B80" s="2" t="inlineStr">
        <is>
          <t>x</t>
        </is>
      </c>
      <c r="E80" s="48">
        <f>IF(E$75+E$76&gt;0,(E$68+E$67-E$78)/(E$75+E$76),"")</f>
        <v>1.0112612893883797</v>
      </c>
      <c r="F80" s="48">
        <f>IF(F$75+F$76&gt;0,(F$68+F$67-F$78)/(F$75+F$76),"")</f>
        <v>1.0378146358057914</v>
      </c>
      <c r="G80" s="48">
        <f>IF(G$75+G$76&gt;0,(G$68+G$67-G$78)/(G$75+G$76),"")</f>
        <v>1.033735229901401</v>
      </c>
      <c r="H80" s="48">
        <f>IF(H$75+H$76&gt;0,(H$68+H$67-H$78)/(H$75+H$76),"")</f>
        <v>1.056424301865987</v>
      </c>
      <c r="I80" s="48">
        <f>IF(I$75+I$76&gt;0,(I$68+I$67-I$78)/(I$75+I$76),"")</f>
        <v>1.0811839712787499</v>
      </c>
      <c r="J80" s="48">
        <f>IF(J$75+J$76&gt;0,(J$68+J$67-J$78)/(J$75+J$76),"")</f>
        <v>1.1083156861991652</v>
      </c>
      <c r="K80" s="48">
        <f>IF(K$75+K$76&gt;0,(K$68+K$67-K$78)/(K$75+K$76),"")</f>
        <v>1.1381826097087566</v>
      </c>
      <c r="L80" s="48">
        <f>IF(L$75+L$76&gt;0,(L$68+L$67-L$78)/(L$75+L$76),"")</f>
        <v>1.171226274779601</v>
      </c>
      <c r="M80" s="48">
        <f>IF(M$75+M$76&gt;0,(M$68+M$67-M$78)/(M$75+M$76),"")</f>
        <v>1.207988940772292</v>
      </c>
      <c r="N80" s="48">
        <f>IF(N$75+N$76&gt;0,(N$68+N$67-N$78)/(N$75+N$76),"")</f>
        <v>1.2491440665835603</v>
      </c>
      <c r="O80" s="48">
        <f>IF(O$75+O$76&gt;0,(O$68+O$67-O$78)/(O$75+O$76),"")</f>
        <v>1.2955385598131288</v>
      </c>
      <c r="P80" s="48">
        <f>IF(P$75+P$76&gt;0,(P$68+P$67-P$78)/(P$75+P$76),"")</f>
        <v>1.3482524766242963</v>
      </c>
      <c r="Q80" s="48">
        <f>IF(Q$75+Q$76&gt;0,(Q$68+Q$67-Q$78)/(Q$75+Q$76),"")</f>
        <v>1.4086852032004276</v>
      </c>
      <c r="R80" s="48">
        <f>IF(R$75+R$76&gt;0,(R$68+R$67-R$78)/(R$75+R$76),"")</f>
        <v>1.4786829173344909</v>
      </c>
      <c r="S80" s="48">
        <f>IF(S$75+S$76&gt;0,(S$68+S$67-S$78)/(S$75+S$76),"")</f>
        <v>1.560732399819494</v>
      </c>
      <c r="T80" s="48" t="str">
        <f>IF(T$75+T$76&gt;0,(T$68+T$67-T$78)/(T$75+T$76),"")</f>
        <v/>
      </c>
      <c r="U80" s="48" t="str">
        <f>IF(U$75+U$76&gt;0,(U$68+U$67-U$78)/(U$75+U$76),"")</f>
        <v/>
      </c>
      <c r="V80" s="48" t="str">
        <f>IF(V$75+V$76&gt;0,(V$68+V$67-V$78)/(V$75+V$76),"")</f>
        <v/>
      </c>
      <c r="W80" s="48" t="str">
        <f>IF(W$75+W$76&gt;0,(W$68+W$67-W$78)/(W$75+W$76),"")</f>
        <v/>
      </c>
      <c r="X80" s="48" t="str">
        <f>IF(X$75+X$76&gt;0,(X$68+X$67-X$78)/(X$75+X$76),"")</f>
        <v/>
      </c>
      <c r="Y80" s="48" t="str">
        <f>IF(Y$75+Y$76&gt;0,(Y$68+Y$67-Y$78)/(Y$75+Y$76),"")</f>
        <v/>
      </c>
      <c r="Z80" s="48" t="str">
        <f>IF(Z$75+Z$76&gt;0,(Z$68+Z$67-Z$78)/(Z$75+Z$76),"")</f>
        <v/>
      </c>
      <c r="AA80" s="48" t="str">
        <f>IF(AA$75+AA$76&gt;0,(AA$68+AA$67-AA$78)/(AA$75+AA$76),"")</f>
        <v/>
      </c>
      <c r="AB80" s="48" t="str">
        <f>IF(AB$75+AB$76&gt;0,(AB$68+AB$67-AB$78)/(AB$75+AB$76),"")</f>
        <v/>
      </c>
      <c r="AC80" s="48" t="str">
        <f>IF(AC$75+AC$76&gt;0,(AC$68+AC$67-AC$78)/(AC$75+AC$76),"")</f>
        <v/>
      </c>
    </row>
    <row r="81">
      <c r="A81" s="6" t="inlineStr">
        <is>
          <t>Cumulative post-tax cash flow</t>
        </is>
      </c>
      <c r="B81" s="2" t="inlineStr">
        <is>
          <t>₹ Cr</t>
        </is>
      </c>
      <c r="D81" s="36">
        <f>D$73</f>
        <v>-1514.8072686980852</v>
      </c>
      <c r="E81" s="36">
        <f>D$81+E$73</f>
        <v>-1384.7997719427353</v>
      </c>
      <c r="F81" s="36">
        <f>E$81+F$73</f>
        <v>-1256.6014173023773</v>
      </c>
      <c r="G81" s="36">
        <f>F$81+G$73</f>
        <v>-1115.2513056632672</v>
      </c>
      <c r="H81" s="36">
        <f>G$81+H$73</f>
        <v>-975.7206909382492</v>
      </c>
      <c r="I81" s="36">
        <f>H$81+I$73</f>
        <v>-838.0149846575523</v>
      </c>
      <c r="J81" s="36">
        <f>I$81+J$73</f>
        <v>-702.1397606973129</v>
      </c>
      <c r="K81" s="36">
        <f>J$81+K$73</f>
        <v>-568.100760149951</v>
      </c>
      <c r="L81" s="36">
        <f>K$81+L$73</f>
        <v>-435.9038963406597</v>
      </c>
      <c r="M81" s="36">
        <f>L$81+M$73</f>
        <v>-305.5552599943873</v>
      </c>
      <c r="N81" s="36">
        <f>M$81+N$73</f>
        <v>-177.06112455783102</v>
      </c>
      <c r="O81" s="36">
        <f>N$81+O$73</f>
        <v>-50.427951681088814</v>
      </c>
      <c r="P81" s="36">
        <f>O$81+P$73</f>
        <v>74.33760313623841</v>
      </c>
      <c r="Q81" s="36">
        <f>P$81+Q$73</f>
        <v>197.22868472956165</v>
      </c>
      <c r="R81" s="36">
        <f>Q$81+R$73</f>
        <v>318.23823227935435</v>
      </c>
      <c r="S81" s="36">
        <f>R$81+S$73</f>
        <v>437.35897314150407</v>
      </c>
      <c r="T81" s="36">
        <f>S$81+T$73</f>
        <v>554.583416492575</v>
      </c>
      <c r="U81" s="36">
        <f>T$81+U$73</f>
        <v>669.9038467844283</v>
      </c>
      <c r="V81" s="36">
        <f>U$81+V$73</f>
        <v>783.312317002481</v>
      </c>
      <c r="W81" s="36">
        <f>V$81+W$73</f>
        <v>894.8006417217125</v>
      </c>
      <c r="X81" s="36">
        <f>W$81+X$73</f>
        <v>1004.3603899543518</v>
      </c>
      <c r="Y81" s="36">
        <f>X$81+Y$73</f>
        <v>1111.9828777829946</v>
      </c>
      <c r="Z81" s="36">
        <f>Y$81+Z$73</f>
        <v>1217.6591607727144</v>
      </c>
      <c r="AA81" s="36">
        <f>Z$81+AA$73</f>
        <v>1321.380026155537</v>
      </c>
      <c r="AB81" s="36">
        <f>AA$81+AB$73</f>
        <v>1423.1359847804492</v>
      </c>
      <c r="AC81" s="36">
        <f>AB$81+AC$73</f>
        <v>1522.917262821907</v>
      </c>
    </row>
    <row r="82">
      <c r="A82" s="6" t="inlineStr">
        <is>
          <t>Payback helper</t>
        </is>
      </c>
      <c r="B82" s="2" t="inlineStr">
        <is>
          <t>years</t>
        </is>
      </c>
      <c r="E82" s="49">
        <f>IF(AND(D$81&lt;0,E$81&gt;=0),E$53-1+(-D$81)/E$73,0)</f>
        <v>0.0</v>
      </c>
      <c r="F82" s="49">
        <f>IF(AND(E$81&lt;0,F$81&gt;=0),F$53-1+(-E$81)/F$73,0)</f>
        <v>0.0</v>
      </c>
      <c r="G82" s="49">
        <f>IF(AND(F$81&lt;0,G$81&gt;=0),G$53-1+(-F$81)/G$73,0)</f>
        <v>0.0</v>
      </c>
      <c r="H82" s="49">
        <f>IF(AND(G$81&lt;0,H$81&gt;=0),H$53-1+(-G$81)/H$73,0)</f>
        <v>0.0</v>
      </c>
      <c r="I82" s="49">
        <f>IF(AND(H$81&lt;0,I$81&gt;=0),I$53-1+(-H$81)/I$73,0)</f>
        <v>0.0</v>
      </c>
      <c r="J82" s="49">
        <f>IF(AND(I$81&lt;0,J$81&gt;=0),J$53-1+(-I$81)/J$73,0)</f>
        <v>0.0</v>
      </c>
      <c r="K82" s="49">
        <f>IF(AND(J$81&lt;0,K$81&gt;=0),K$53-1+(-J$81)/K$73,0)</f>
        <v>0.0</v>
      </c>
      <c r="L82" s="49">
        <f>IF(AND(K$81&lt;0,L$81&gt;=0),L$53-1+(-K$81)/L$73,0)</f>
        <v>0.0</v>
      </c>
      <c r="M82" s="49">
        <f>IF(AND(L$81&lt;0,M$81&gt;=0),M$53-1+(-L$81)/M$73,0)</f>
        <v>0.0</v>
      </c>
      <c r="N82" s="49">
        <f>IF(AND(M$81&lt;0,N$81&gt;=0),N$53-1+(-M$81)/N$73,0)</f>
        <v>0.0</v>
      </c>
      <c r="O82" s="49">
        <f>IF(AND(N$81&lt;0,O$81&gt;=0),O$53-1+(-N$81)/O$73,0)</f>
        <v>0.0</v>
      </c>
      <c r="P82" s="49">
        <f>IF(AND(O$81&lt;0,P$81&gt;=0),P$53-1+(-O$81)/P$73,0)</f>
        <v>11.404181681033053</v>
      </c>
      <c r="Q82" s="49">
        <f>IF(AND(P$81&lt;0,Q$81&gt;=0),Q$53-1+(-P$81)/Q$73,0)</f>
        <v>0.0</v>
      </c>
      <c r="R82" s="49">
        <f>IF(AND(Q$81&lt;0,R$81&gt;=0),R$53-1+(-Q$81)/R$73,0)</f>
        <v>0.0</v>
      </c>
      <c r="S82" s="49">
        <f>IF(AND(R$81&lt;0,S$81&gt;=0),S$53-1+(-R$81)/S$73,0)</f>
        <v>0.0</v>
      </c>
      <c r="T82" s="49">
        <f>IF(AND(S$81&lt;0,T$81&gt;=0),T$53-1+(-S$81)/T$73,0)</f>
        <v>0.0</v>
      </c>
      <c r="U82" s="49">
        <f>IF(AND(T$81&lt;0,U$81&gt;=0),U$53-1+(-T$81)/U$73,0)</f>
        <v>0.0</v>
      </c>
      <c r="V82" s="49">
        <f>IF(AND(U$81&lt;0,V$81&gt;=0),V$53-1+(-U$81)/V$73,0)</f>
        <v>0.0</v>
      </c>
      <c r="W82" s="49">
        <f>IF(AND(V$81&lt;0,W$81&gt;=0),W$53-1+(-V$81)/W$73,0)</f>
        <v>0.0</v>
      </c>
      <c r="X82" s="49">
        <f>IF(AND(W$81&lt;0,X$81&gt;=0),X$53-1+(-W$81)/X$73,0)</f>
        <v>0.0</v>
      </c>
      <c r="Y82" s="49">
        <f>IF(AND(X$81&lt;0,Y$81&gt;=0),Y$53-1+(-X$81)/Y$73,0)</f>
        <v>0.0</v>
      </c>
      <c r="Z82" s="49">
        <f>IF(AND(Y$81&lt;0,Z$81&gt;=0),Z$53-1+(-Y$81)/Z$73,0)</f>
        <v>0.0</v>
      </c>
      <c r="AA82" s="49">
        <f>IF(AND(Z$81&lt;0,AA$81&gt;=0),AA$53-1+(-Z$81)/AA$73,0)</f>
        <v>0.0</v>
      </c>
      <c r="AB82" s="49">
        <f>IF(AND(AA$81&lt;0,AB$81&gt;=0),AB$53-1+(-AA$81)/AB$73,0)</f>
        <v>0.0</v>
      </c>
      <c r="AC82" s="49">
        <f>IF(AND(AB$81&lt;0,AC$81&gt;=0),AC$53-1+(-AB$81)/AC$73,0)</f>
        <v>0.0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8" t="inlineStr">
        <is>
          <t>CATL 12,000-cycle BESS · IEX only · 2 cycles a day (₹ Crore unless stated)</t>
        </is>
      </c>
    </row>
    <row r="2">
      <c r="A2" s="2" t="inlineStr">
        <is>
          <t>Uses the plant, losses, charges, tax and financing from Assumptions, and the CATL inputs. No solar.</t>
        </is>
      </c>
    </row>
    <row r="4">
      <c r="A4" s="3" t="inlineStr">
        <is>
          <t>Sizing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6" t="inlineStr">
        <is>
          <t>Night connectivity</t>
        </is>
      </c>
      <c r="B5" s="2" t="inlineStr">
        <is>
          <t>MW</t>
        </is>
      </c>
      <c r="C5" s="16">
        <f>INDEX(Assumptions!$B$102:$B$104,MATCH(Assumptions!$B$6,Assumptions!$A$102:$A$104,0))</f>
        <v>300.0</v>
      </c>
    </row>
    <row r="6">
      <c r="A6" s="6" t="inlineStr">
        <is>
          <t>Duration</t>
        </is>
      </c>
      <c r="B6" s="2" t="inlineStr">
        <is>
          <t>hours</t>
        </is>
      </c>
      <c r="C6" s="29">
        <f>Assumptions!$B$65</f>
        <v>4.0</v>
      </c>
    </row>
    <row r="7">
      <c r="A7" s="6" t="inlineStr">
        <is>
          <t>Cycles a day</t>
        </is>
      </c>
      <c r="B7" s="2" t="inlineStr">
        <is>
          <t>cycles</t>
        </is>
      </c>
      <c r="C7" s="30">
        <f>2</f>
        <v>2.0</v>
      </c>
    </row>
    <row r="8">
      <c r="A8" s="6" t="inlineStr">
        <is>
          <t>One-way efficiency</t>
        </is>
      </c>
      <c r="B8" s="2" t="inlineStr">
        <is>
          <t>%</t>
        </is>
      </c>
      <c r="C8" s="31">
        <f>SQRT(Assumptions!$B$74)</f>
        <v>0.9486832980505138</v>
      </c>
    </row>
    <row r="9">
      <c r="A9" s="6" t="inlineStr">
        <is>
          <t>Fade per cycle = (1 − end-of-life) ÷ rated cycles</t>
        </is>
      </c>
      <c r="B9" s="2" t="inlineStr">
        <is>
          <t>%</t>
        </is>
      </c>
      <c r="C9" s="50">
        <f>(1-Assumptions!$B$71)/Assumptions!$B$70</f>
        <v>2.5000000000000005e-05</v>
      </c>
    </row>
    <row r="10">
      <c r="A10" s="6" t="inlineStr">
        <is>
          <t>Cycles a year</t>
        </is>
      </c>
      <c r="B10" s="2" t="inlineStr">
        <is>
          <t>cycles</t>
        </is>
      </c>
      <c r="C10" s="27">
        <f>Assumptions!$B$62*Assumptions!$B$76*$C$7</f>
        <v>722.7</v>
      </c>
    </row>
    <row r="11">
      <c r="A11" s="6" t="inlineStr">
        <is>
          <t>Year-1 average capacity</t>
        </is>
      </c>
      <c r="B11" s="2" t="inlineStr">
        <is>
          <t>%</t>
        </is>
      </c>
      <c r="C11" s="32">
        <f>1-$C$9*$C$10/2-Assumptions!$B$72/2</f>
        <v>0.9894662500000001</v>
      </c>
    </row>
    <row r="12">
      <c r="A12" s="6" t="inlineStr">
        <is>
          <t>Discharge chain</t>
        </is>
      </c>
      <c r="B12" s="2" t="inlineStr">
        <is>
          <t>%</t>
        </is>
      </c>
      <c r="C12" s="31">
        <f>$C$8*(1-Assumptions!$B$75)*(1-Assumptions!$B$39)</f>
        <v>0.9298045004193085</v>
      </c>
    </row>
    <row r="13">
      <c r="A13" s="5" t="inlineStr">
        <is>
          <t>Energy sold per cycle</t>
        </is>
      </c>
      <c r="B13" s="2" t="inlineStr">
        <is>
          <t>MWh</t>
        </is>
      </c>
      <c r="C13" s="33">
        <f>$C$5*$C$6</f>
        <v>1200.0</v>
      </c>
    </row>
    <row r="14">
      <c r="A14" s="6" t="inlineStr">
        <is>
          <t>Stored energy needed</t>
        </is>
      </c>
      <c r="B14" s="2" t="inlineStr">
        <is>
          <t>MWh</t>
        </is>
      </c>
      <c r="C14" s="34">
        <f>$C$13/$C$12</f>
        <v>1290.593882325632</v>
      </c>
    </row>
    <row r="15">
      <c r="A15" s="5" t="inlineStr">
        <is>
          <t>Nameplate</t>
        </is>
      </c>
      <c r="B15" s="2" t="inlineStr">
        <is>
          <t>MWh</t>
        </is>
      </c>
      <c r="C15" s="33">
        <f>$C$14/Assumptions!$B$73/$C$11</f>
        <v>1449.2593381371375</v>
      </c>
    </row>
    <row r="16">
      <c r="A16" s="6" t="inlineStr">
        <is>
          <t>IEX purchase per cycle</t>
        </is>
      </c>
      <c r="B16" s="2" t="inlineStr">
        <is>
          <t>MWh</t>
        </is>
      </c>
      <c r="C16" s="34">
        <f>$C$14/$C$8/(1-Assumptions!$B$39)/(1-Assumptions!$B$40)</f>
        <v>1416.64625722112</v>
      </c>
    </row>
    <row r="17">
      <c r="A17" s="6" t="inlineStr">
        <is>
          <t>Discharge window length</t>
        </is>
      </c>
      <c r="B17" s="2" t="inlineStr">
        <is>
          <t>blocks</t>
        </is>
      </c>
      <c r="C17" s="30">
        <f>$C$6*4</f>
        <v>16.0</v>
      </c>
    </row>
    <row r="18">
      <c r="A18" s="6" t="inlineStr">
        <is>
          <t>Charge window length</t>
        </is>
      </c>
      <c r="B18" s="2" t="inlineStr">
        <is>
          <t>blocks</t>
        </is>
      </c>
      <c r="C18" s="30">
        <f>MIN(48-$C$17,ROUNDUP($C$16/($C$5*0.25)-0.000000001,0))</f>
        <v>19.0</v>
      </c>
    </row>
    <row r="19">
      <c r="A19" s="6" t="inlineStr">
        <is>
          <t>Capacity loss a year = fade per cycle × cycles + calendar</t>
        </is>
      </c>
      <c r="B19" s="2" t="inlineStr">
        <is>
          <t>%</t>
        </is>
      </c>
      <c r="C19" s="32">
        <f>$C$9*$C$10+Assumptions!$B$72</f>
        <v>0.021067500000000003</v>
      </c>
    </row>
    <row r="20">
      <c r="A20" s="6" t="inlineStr">
        <is>
          <t>Years to end of life</t>
        </is>
      </c>
      <c r="B20" s="2" t="inlineStr">
        <is>
          <t>years</t>
        </is>
      </c>
      <c r="C20" s="45">
        <f>(1-Assumptions!$B$71)/$C$19</f>
        <v>14.239943040227839</v>
      </c>
    </row>
    <row r="22">
      <c r="A22" s="3" t="inlineStr">
        <is>
          <t>Windows &amp; prices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6" t="inlineStr">
        <is>
          <t>Charge 1 start</t>
        </is>
      </c>
      <c r="B23" s="2" t="inlineStr">
        <is>
          <t>block</t>
        </is>
      </c>
      <c r="C23" s="29">
        <f>IF($C$6=2,Assumptions!$B$80,Assumptions!$B$86)</f>
        <v>40.0</v>
      </c>
    </row>
    <row r="24">
      <c r="A24" s="6" t="inlineStr">
        <is>
          <t>Discharge 1 start</t>
        </is>
      </c>
      <c r="B24" s="2" t="inlineStr">
        <is>
          <t>block</t>
        </is>
      </c>
      <c r="C24" s="29">
        <f>IF($C$6=2,Assumptions!$B$81,Assumptions!$B$87)</f>
        <v>73.0</v>
      </c>
    </row>
    <row r="25">
      <c r="A25" s="6" t="inlineStr">
        <is>
          <t>Average sale price, discharge 1</t>
        </is>
      </c>
      <c r="B25" s="2" t="inlineStr">
        <is>
          <t>₹ / MWh</t>
        </is>
      </c>
      <c r="C25" s="27">
        <f>SUMPRODUCT((Prices!$A$5:$A$7=Assumptions!$B$68)*(Prices!$B$3:$GK$3&gt;=$C$24)*(Prices!$B$3:$GK$3&lt;($C$24)+($C$17))*Prices!$B$5:$GK$7)/($C$17)</f>
        <v>6956.533125</v>
      </c>
    </row>
    <row r="26">
      <c r="A26" s="6" t="inlineStr">
        <is>
          <t>Average purchase price, charge 1</t>
        </is>
      </c>
      <c r="B26" s="2" t="inlineStr">
        <is>
          <t>₹ / MWh</t>
        </is>
      </c>
      <c r="C26" s="27">
        <f>SUMPRODUCT((Prices!$A$5:$A$7=Assumptions!$B$67)*(Prices!$B$3:$GK$3&gt;=$C$23)*(Prices!$B$3:$GK$3&lt;($C$23)+($C$18))*Prices!$B$5:$GK$7)/($C$18)</f>
        <v>1744.5236842105262</v>
      </c>
    </row>
    <row r="27">
      <c r="A27" s="6" t="inlineStr">
        <is>
          <t>Charge 2 start</t>
        </is>
      </c>
      <c r="B27" s="2" t="inlineStr">
        <is>
          <t>block</t>
        </is>
      </c>
      <c r="C27" s="29">
        <f>IF($C$6=2,Assumptions!$B$82,Assumptions!$B$88)</f>
        <v>95.0</v>
      </c>
    </row>
    <row r="28">
      <c r="A28" s="6" t="inlineStr">
        <is>
          <t>Discharge 2 start</t>
        </is>
      </c>
      <c r="B28" s="2" t="inlineStr">
        <is>
          <t>block</t>
        </is>
      </c>
      <c r="C28" s="29">
        <f>IF($C$6=2,Assumptions!$B$83,Assumptions!$B$89)</f>
        <v>18.0</v>
      </c>
    </row>
    <row r="29">
      <c r="A29" s="6" t="inlineStr">
        <is>
          <t>Average sale price, discharge 2</t>
        </is>
      </c>
      <c r="B29" s="2" t="inlineStr">
        <is>
          <t>₹ / MWh</t>
        </is>
      </c>
      <c r="C29" s="27">
        <f>SUMPRODUCT((Prices!$A$5:$A$7=Assumptions!$B$68)*(Prices!$B$3:$GK$3&gt;=$C$28)*(Prices!$B$3:$GK$3&lt;($C$28)+($C$17))*Prices!$B$5:$GK$7)/($C$17)</f>
        <v>4995.415</v>
      </c>
    </row>
    <row r="30">
      <c r="A30" s="6" t="inlineStr">
        <is>
          <t>Average purchase price, charge 2</t>
        </is>
      </c>
      <c r="B30" s="2" t="inlineStr">
        <is>
          <t>₹ / MWh</t>
        </is>
      </c>
      <c r="C30" s="27">
        <f>SUMPRODUCT((Prices!$A$5:$A$7=Assumptions!$B$67)*(Prices!$B$3:$GK$3&gt;=$C$27)*(Prices!$B$3:$GK$3&lt;($C$27)+($C$18))*Prices!$B$5:$GK$7)/($C$18)</f>
        <v>5013.503157894736</v>
      </c>
    </row>
    <row r="31">
      <c r="A31" s="6" t="inlineStr">
        <is>
          <t>Sum of cycle sale prices</t>
        </is>
      </c>
      <c r="B31" s="2" t="inlineStr">
        <is>
          <t>₹ / MWh</t>
        </is>
      </c>
      <c r="C31" s="27">
        <f>$C$25+$C$29</f>
        <v>11951.948124999999</v>
      </c>
    </row>
    <row r="32">
      <c r="A32" s="6" t="inlineStr">
        <is>
          <t>Sum of cycle purchase prices</t>
        </is>
      </c>
      <c r="B32" s="2" t="inlineStr">
        <is>
          <t>₹ / MWh</t>
        </is>
      </c>
      <c r="C32" s="27">
        <f>$C$26+$C$30</f>
        <v>6758.026842105262</v>
      </c>
    </row>
    <row r="33">
      <c r="A33" s="6" t="inlineStr">
        <is>
          <t>Year-1 energy bought</t>
        </is>
      </c>
      <c r="B33" s="2" t="inlineStr">
        <is>
          <t>MWh</t>
        </is>
      </c>
      <c r="C33" s="27">
        <f>$C$16*Assumptions!$B$62*Assumptions!$B$76*$C$7</f>
        <v>1023810.2500937034</v>
      </c>
    </row>
    <row r="34">
      <c r="A34" s="6" t="inlineStr">
        <is>
          <t>Year-1 energy sold</t>
        </is>
      </c>
      <c r="B34" s="2" t="inlineStr">
        <is>
          <t>MWh</t>
        </is>
      </c>
      <c r="C34" s="27">
        <f>$C$13*Assumptions!$B$62*Assumptions!$B$76*$C$7</f>
        <v>867240.0</v>
      </c>
    </row>
    <row r="35">
      <c r="A35" s="6" t="inlineStr">
        <is>
          <t>Year-1 purchase cost</t>
        </is>
      </c>
      <c r="B35" s="2" t="inlineStr">
        <is>
          <t>₹ Cr</t>
        </is>
      </c>
      <c r="C35" s="36">
        <f>$C$16*Assumptions!$B$62*Assumptions!$B$76*$C$32/10000000</f>
        <v>345.94685756778745</v>
      </c>
    </row>
    <row r="36">
      <c r="A36" s="6" t="inlineStr">
        <is>
          <t>Year-1 sales revenue</t>
        </is>
      </c>
      <c r="B36" s="2" t="inlineStr">
        <is>
          <t>₹ Cr</t>
        </is>
      </c>
      <c r="C36" s="36">
        <f>$C$13*Assumptions!$B$62*Assumptions!$B$76*$C$31/10000000</f>
        <v>518.26037459625</v>
      </c>
    </row>
    <row r="38">
      <c r="A38" s="3" t="inlineStr">
        <is>
          <t>Capex &amp; financing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>
      <c r="A39" s="6" t="inlineStr">
        <is>
          <t>BESS capex</t>
        </is>
      </c>
      <c r="B39" s="2" t="inlineStr">
        <is>
          <t>₹ Cr</t>
        </is>
      </c>
      <c r="C39" s="36">
        <f>$C$15*Assumptions!$B$69</f>
        <v>1521.7223050439945</v>
      </c>
    </row>
    <row r="40">
      <c r="A40" s="5" t="inlineStr">
        <is>
          <t>Total capex</t>
        </is>
      </c>
      <c r="B40" s="2" t="inlineStr">
        <is>
          <t>₹ Cr</t>
        </is>
      </c>
      <c r="C40" s="37">
        <f>$C$39</f>
        <v>1521.7223050439945</v>
      </c>
    </row>
    <row r="41">
      <c r="A41" s="6" t="inlineStr">
        <is>
          <t>Debt share</t>
        </is>
      </c>
      <c r="B41" s="2" t="inlineStr">
        <is>
          <t>%</t>
        </is>
      </c>
      <c r="C41" s="31">
        <f>MIN(0.95,MAX(0,Assumptions!$B$58))</f>
        <v>0.7</v>
      </c>
    </row>
    <row r="42">
      <c r="A42" s="5" t="inlineStr">
        <is>
          <t>WACC</t>
        </is>
      </c>
      <c r="B42" s="2" t="inlineStr">
        <is>
          <t>%</t>
        </is>
      </c>
      <c r="C42" s="38">
        <f>(1-$C$41)*Assumptions!$B$61+$C$41*Assumptions!$B$59*(1-Assumptions!$B$52)</f>
        <v>0.09176195000000001</v>
      </c>
    </row>
    <row r="43">
      <c r="A43" s="6" t="inlineStr">
        <is>
          <t>Debt</t>
        </is>
      </c>
      <c r="B43" s="2" t="inlineStr">
        <is>
          <t>₹ Cr</t>
        </is>
      </c>
      <c r="C43" s="36">
        <f>$C$40*$C$41</f>
        <v>1065.2056135307962</v>
      </c>
    </row>
    <row r="44">
      <c r="A44" s="6" t="inlineStr">
        <is>
          <t>Equity</t>
        </is>
      </c>
      <c r="B44" s="2" t="inlineStr">
        <is>
          <t>₹ Cr</t>
        </is>
      </c>
      <c r="C44" s="36">
        <f>$C$40-$C$43</f>
        <v>456.51669151319834</v>
      </c>
    </row>
    <row r="45">
      <c r="A45" s="6" t="inlineStr">
        <is>
          <t>Annual principal repayment</t>
        </is>
      </c>
      <c r="B45" s="2" t="inlineStr">
        <is>
          <t>₹ Cr</t>
        </is>
      </c>
      <c r="C45" s="36">
        <f>$C$43/MAX(1,Assumptions!$B$60)</f>
        <v>71.01370756871975</v>
      </c>
    </row>
    <row r="46">
      <c r="A46" s="3" t="inlineStr">
        <is>
          <t>Results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>
      <c r="A47" s="5" t="inlineStr">
        <is>
          <t>Project IRR, post-tax</t>
        </is>
      </c>
      <c r="C47" s="39">
        <f>IFERROR(IRR($D$77:$AC$77),"&lt; 0%")</f>
        <v>-0.006736947990555908</v>
      </c>
    </row>
    <row r="48">
      <c r="A48" s="5" t="inlineStr">
        <is>
          <t>Project IRR, pre-tax</t>
        </is>
      </c>
      <c r="C48" s="39">
        <f>IFERROR(IRR($D$76:$AC$76),"&lt; 0%")</f>
        <v>0.0008505554467415077</v>
      </c>
    </row>
    <row r="49">
      <c r="A49" s="5" t="inlineStr">
        <is>
          <t>Equity IRR, post-tax</t>
        </is>
      </c>
      <c r="C49" s="39">
        <f>IFERROR(IRR($D$83:$AC$83),"&lt; 0%")</f>
        <v>-0.058659563732481934</v>
      </c>
    </row>
    <row r="50">
      <c r="A50" s="5" t="inlineStr">
        <is>
          <t>NPV at WACC, post-tax</t>
        </is>
      </c>
      <c r="C50" s="37">
        <f>$D$77+NPV($C$42,$E$77:$AC$77)</f>
        <v>-905.8704086028266</v>
      </c>
    </row>
    <row r="51">
      <c r="A51" s="5" t="inlineStr">
        <is>
          <t>Payback, post-tax (years)</t>
        </is>
      </c>
      <c r="C51" s="40" t="str">
        <f>IF(SUM($E$86:$AC$86)&gt;0,SUM($E$86:$AC$86),"beyond life")</f>
        <v>beyond life</v>
      </c>
    </row>
    <row r="52">
      <c r="A52" s="5" t="inlineStr">
        <is>
          <t>Minimum DSCR</t>
        </is>
      </c>
      <c r="C52" s="41">
        <f>MIN($E$84:$AC$84)</f>
        <v>0.5915689572538753</v>
      </c>
    </row>
    <row r="53">
      <c r="A53" s="5" t="inlineStr">
        <is>
          <t>First cell replacement year</t>
        </is>
      </c>
      <c r="C53" s="51" t="str">
        <f>IFERROR(INDEX($E$57:$AC$57,MATCH(TRUE,INDEX($E$73:$AC$73&gt;0,0),0)),"none")</f>
        <v>none</v>
      </c>
    </row>
    <row r="56">
      <c r="A56" s="3" t="inlineStr">
        <is>
          <t>Annual projection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>
      <c r="A57" s="5" t="inlineStr">
        <is>
          <t>Year</t>
        </is>
      </c>
      <c r="D57" s="44" t="n">
        <v>0</v>
      </c>
      <c r="E57" s="44" t="n">
        <v>1</v>
      </c>
      <c r="F57" s="44" t="n">
        <v>2</v>
      </c>
      <c r="G57" s="44" t="n">
        <v>3</v>
      </c>
      <c r="H57" s="44" t="n">
        <v>4</v>
      </c>
      <c r="I57" s="44" t="n">
        <v>5</v>
      </c>
      <c r="J57" s="44" t="n">
        <v>6</v>
      </c>
      <c r="K57" s="44" t="n">
        <v>7</v>
      </c>
      <c r="L57" s="44" t="n">
        <v>8</v>
      </c>
      <c r="M57" s="44" t="n">
        <v>9</v>
      </c>
      <c r="N57" s="44" t="n">
        <v>10</v>
      </c>
      <c r="O57" s="44" t="n">
        <v>11</v>
      </c>
      <c r="P57" s="44" t="n">
        <v>12</v>
      </c>
      <c r="Q57" s="44" t="n">
        <v>13</v>
      </c>
      <c r="R57" s="44" t="n">
        <v>14</v>
      </c>
      <c r="S57" s="44" t="n">
        <v>15</v>
      </c>
      <c r="T57" s="44" t="n">
        <v>16</v>
      </c>
      <c r="U57" s="44" t="n">
        <v>17</v>
      </c>
      <c r="V57" s="44" t="n">
        <v>18</v>
      </c>
      <c r="W57" s="44" t="n">
        <v>19</v>
      </c>
      <c r="X57" s="44" t="n">
        <v>20</v>
      </c>
      <c r="Y57" s="44" t="n">
        <v>21</v>
      </c>
      <c r="Z57" s="44" t="n">
        <v>22</v>
      </c>
      <c r="AA57" s="44" t="n">
        <v>23</v>
      </c>
      <c r="AB57" s="44" t="n">
        <v>24</v>
      </c>
      <c r="AC57" s="44" t="n">
        <v>25</v>
      </c>
    </row>
    <row r="58">
      <c r="A58" s="6" t="inlineStr">
        <is>
          <t>In project life (1/0)</t>
        </is>
      </c>
      <c r="B58" s="2" t="inlineStr">
        <is>
          <t>flag</t>
        </is>
      </c>
      <c r="E58" s="30">
        <f>IF(E$57&lt;=Assumptions!$B$51,1,0)</f>
        <v>1.0</v>
      </c>
      <c r="F58" s="30">
        <f>IF(F$57&lt;=Assumptions!$B$51,1,0)</f>
        <v>1.0</v>
      </c>
      <c r="G58" s="30">
        <f>IF(G$57&lt;=Assumptions!$B$51,1,0)</f>
        <v>1.0</v>
      </c>
      <c r="H58" s="30">
        <f>IF(H$57&lt;=Assumptions!$B$51,1,0)</f>
        <v>1.0</v>
      </c>
      <c r="I58" s="30">
        <f>IF(I$57&lt;=Assumptions!$B$51,1,0)</f>
        <v>1.0</v>
      </c>
      <c r="J58" s="30">
        <f>IF(J$57&lt;=Assumptions!$B$51,1,0)</f>
        <v>1.0</v>
      </c>
      <c r="K58" s="30">
        <f>IF(K$57&lt;=Assumptions!$B$51,1,0)</f>
        <v>1.0</v>
      </c>
      <c r="L58" s="30">
        <f>IF(L$57&lt;=Assumptions!$B$51,1,0)</f>
        <v>1.0</v>
      </c>
      <c r="M58" s="30">
        <f>IF(M$57&lt;=Assumptions!$B$51,1,0)</f>
        <v>1.0</v>
      </c>
      <c r="N58" s="30">
        <f>IF(N$57&lt;=Assumptions!$B$51,1,0)</f>
        <v>1.0</v>
      </c>
      <c r="O58" s="30">
        <f>IF(O$57&lt;=Assumptions!$B$51,1,0)</f>
        <v>1.0</v>
      </c>
      <c r="P58" s="30">
        <f>IF(P$57&lt;=Assumptions!$B$51,1,0)</f>
        <v>1.0</v>
      </c>
      <c r="Q58" s="30">
        <f>IF(Q$57&lt;=Assumptions!$B$51,1,0)</f>
        <v>1.0</v>
      </c>
      <c r="R58" s="30">
        <f>IF(R$57&lt;=Assumptions!$B$51,1,0)</f>
        <v>1.0</v>
      </c>
      <c r="S58" s="30">
        <f>IF(S$57&lt;=Assumptions!$B$51,1,0)</f>
        <v>1.0</v>
      </c>
      <c r="T58" s="30">
        <f>IF(T$57&lt;=Assumptions!$B$51,1,0)</f>
        <v>1.0</v>
      </c>
      <c r="U58" s="30">
        <f>IF(U$57&lt;=Assumptions!$B$51,1,0)</f>
        <v>1.0</v>
      </c>
      <c r="V58" s="30">
        <f>IF(V$57&lt;=Assumptions!$B$51,1,0)</f>
        <v>1.0</v>
      </c>
      <c r="W58" s="30">
        <f>IF(W$57&lt;=Assumptions!$B$51,1,0)</f>
        <v>1.0</v>
      </c>
      <c r="X58" s="30">
        <f>IF(X$57&lt;=Assumptions!$B$51,1,0)</f>
        <v>1.0</v>
      </c>
      <c r="Y58" s="30">
        <f>IF(Y$57&lt;=Assumptions!$B$51,1,0)</f>
        <v>1.0</v>
      </c>
      <c r="Z58" s="30">
        <f>IF(Z$57&lt;=Assumptions!$B$51,1,0)</f>
        <v>1.0</v>
      </c>
      <c r="AA58" s="30">
        <f>IF(AA$57&lt;=Assumptions!$B$51,1,0)</f>
        <v>1.0</v>
      </c>
      <c r="AB58" s="30">
        <f>IF(AB$57&lt;=Assumptions!$B$51,1,0)</f>
        <v>1.0</v>
      </c>
      <c r="AC58" s="30">
        <f>IF(AC$57&lt;=Assumptions!$B$51,1,0)</f>
        <v>1.0</v>
      </c>
    </row>
    <row r="59">
      <c r="A59" s="6" t="inlineStr">
        <is>
          <t>Years since last cell replacement (start of year)</t>
        </is>
      </c>
      <c r="B59" s="2" t="inlineStr">
        <is>
          <t>years</t>
        </is>
      </c>
      <c r="E59" s="30">
        <f>0</f>
        <v>0.0</v>
      </c>
      <c r="F59" s="30">
        <f>IF(E$73&gt;0,0,E$59+1)</f>
        <v>1.0</v>
      </c>
      <c r="G59" s="30">
        <f>IF(F$73&gt;0,0,F$59+1)</f>
        <v>2.0</v>
      </c>
      <c r="H59" s="30">
        <f>IF(G$73&gt;0,0,G$59+1)</f>
        <v>3.0</v>
      </c>
      <c r="I59" s="30">
        <f>IF(H$73&gt;0,0,H$59+1)</f>
        <v>4.0</v>
      </c>
      <c r="J59" s="30">
        <f>IF(I$73&gt;0,0,I$59+1)</f>
        <v>5.0</v>
      </c>
      <c r="K59" s="30">
        <f>IF(J$73&gt;0,0,J$59+1)</f>
        <v>6.0</v>
      </c>
      <c r="L59" s="30">
        <f>IF(K$73&gt;0,0,K$59+1)</f>
        <v>7.0</v>
      </c>
      <c r="M59" s="30">
        <f>IF(L$73&gt;0,0,L$59+1)</f>
        <v>8.0</v>
      </c>
      <c r="N59" s="30">
        <f>IF(M$73&gt;0,0,M$59+1)</f>
        <v>9.0</v>
      </c>
      <c r="O59" s="30">
        <f>IF(N$73&gt;0,0,N$59+1)</f>
        <v>10.0</v>
      </c>
      <c r="P59" s="30">
        <f>IF(O$73&gt;0,0,O$59+1)</f>
        <v>11.0</v>
      </c>
      <c r="Q59" s="30">
        <f>IF(P$73&gt;0,0,P$59+1)</f>
        <v>12.0</v>
      </c>
      <c r="R59" s="30">
        <f>IF(Q$73&gt;0,0,Q$59+1)</f>
        <v>13.0</v>
      </c>
      <c r="S59" s="30">
        <f>IF(R$73&gt;0,0,R$59+1)</f>
        <v>14.0</v>
      </c>
      <c r="T59" s="30">
        <f>IF(S$73&gt;0,0,S$59+1)</f>
        <v>0.0</v>
      </c>
      <c r="U59" s="30">
        <f>IF(T$73&gt;0,0,T$59+1)</f>
        <v>1.0</v>
      </c>
      <c r="V59" s="30">
        <f>IF(U$73&gt;0,0,U$59+1)</f>
        <v>2.0</v>
      </c>
      <c r="W59" s="30">
        <f>IF(V$73&gt;0,0,V$59+1)</f>
        <v>3.0</v>
      </c>
      <c r="X59" s="30">
        <f>IF(W$73&gt;0,0,W$59+1)</f>
        <v>4.0</v>
      </c>
      <c r="Y59" s="30">
        <f>IF(X$73&gt;0,0,X$59+1)</f>
        <v>5.0</v>
      </c>
      <c r="Z59" s="30">
        <f>IF(Y$73&gt;0,0,Y$59+1)</f>
        <v>6.0</v>
      </c>
      <c r="AA59" s="30">
        <f>IF(Z$73&gt;0,0,Z$59+1)</f>
        <v>7.0</v>
      </c>
      <c r="AB59" s="30">
        <f>IF(AA$73&gt;0,0,AA$59+1)</f>
        <v>8.0</v>
      </c>
      <c r="AC59" s="30">
        <f>IF(AB$73&gt;0,0,AB$59+1)</f>
        <v>9.0</v>
      </c>
    </row>
    <row r="60">
      <c r="A60" s="6" t="inlineStr">
        <is>
          <t>Capacity, mid-year</t>
        </is>
      </c>
      <c r="B60" s="2" t="inlineStr">
        <is>
          <t>%</t>
        </is>
      </c>
      <c r="E60" s="31">
        <f>MAX(0.3,1-$C$19*(E$59+0.5))</f>
        <v>0.98946625</v>
      </c>
      <c r="F60" s="31">
        <f>MAX(0.3,1-$C$19*(F$59+0.5))</f>
        <v>0.96839875</v>
      </c>
      <c r="G60" s="31">
        <f>MAX(0.3,1-$C$19*(G$59+0.5))</f>
        <v>0.94733125</v>
      </c>
      <c r="H60" s="31">
        <f>MAX(0.3,1-$C$19*(H$59+0.5))</f>
        <v>0.9262637499999999</v>
      </c>
      <c r="I60" s="31">
        <f>MAX(0.3,1-$C$19*(I$59+0.5))</f>
        <v>0.9051962499999999</v>
      </c>
      <c r="J60" s="31">
        <f>MAX(0.3,1-$C$19*(J$59+0.5))</f>
        <v>0.88412875</v>
      </c>
      <c r="K60" s="31">
        <f>MAX(0.3,1-$C$19*(K$59+0.5))</f>
        <v>0.86306125</v>
      </c>
      <c r="L60" s="31">
        <f>MAX(0.3,1-$C$19*(L$59+0.5))</f>
        <v>0.84199375</v>
      </c>
      <c r="M60" s="31">
        <f>MAX(0.3,1-$C$19*(M$59+0.5))</f>
        <v>0.82092625</v>
      </c>
      <c r="N60" s="31">
        <f>MAX(0.3,1-$C$19*(N$59+0.5))</f>
        <v>0.79985875</v>
      </c>
      <c r="O60" s="31">
        <f>MAX(0.3,1-$C$19*(O$59+0.5))</f>
        <v>0.7787912499999999</v>
      </c>
      <c r="P60" s="31">
        <f>MAX(0.3,1-$C$19*(P$59+0.5))</f>
        <v>0.75772375</v>
      </c>
      <c r="Q60" s="31">
        <f>MAX(0.3,1-$C$19*(Q$59+0.5))</f>
        <v>0.73665625</v>
      </c>
      <c r="R60" s="31">
        <f>MAX(0.3,1-$C$19*(R$59+0.5))</f>
        <v>0.71558875</v>
      </c>
      <c r="S60" s="31">
        <f>MAX(0.3,1-$C$19*(S$59+0.5))</f>
        <v>0.69452125</v>
      </c>
      <c r="T60" s="31">
        <f>MAX(0.3,1-$C$19*(T$59+0.5))</f>
        <v>0.98946625</v>
      </c>
      <c r="U60" s="31">
        <f>MAX(0.3,1-$C$19*(U$59+0.5))</f>
        <v>0.96839875</v>
      </c>
      <c r="V60" s="31">
        <f>MAX(0.3,1-$C$19*(V$59+0.5))</f>
        <v>0.94733125</v>
      </c>
      <c r="W60" s="31">
        <f>MAX(0.3,1-$C$19*(W$59+0.5))</f>
        <v>0.9262637499999999</v>
      </c>
      <c r="X60" s="31">
        <f>MAX(0.3,1-$C$19*(X$59+0.5))</f>
        <v>0.9051962499999999</v>
      </c>
      <c r="Y60" s="31">
        <f>MAX(0.3,1-$C$19*(Y$59+0.5))</f>
        <v>0.88412875</v>
      </c>
      <c r="Z60" s="31">
        <f>MAX(0.3,1-$C$19*(Z$59+0.5))</f>
        <v>0.86306125</v>
      </c>
      <c r="AA60" s="31">
        <f>MAX(0.3,1-$C$19*(AA$59+0.5))</f>
        <v>0.84199375</v>
      </c>
      <c r="AB60" s="31">
        <f>MAX(0.3,1-$C$19*(AB$59+0.5))</f>
        <v>0.82092625</v>
      </c>
      <c r="AC60" s="31">
        <f>MAX(0.3,1-$C$19*(AC$59+0.5))</f>
        <v>0.79985875</v>
      </c>
    </row>
    <row r="61">
      <c r="A61" s="6" t="inlineStr">
        <is>
          <t>Energy factor vs year 1</t>
        </is>
      </c>
      <c r="B61" s="2" t="inlineStr">
        <is>
          <t>x</t>
        </is>
      </c>
      <c r="E61" s="46">
        <f>E$60/$C$11</f>
        <v>0.9999999999999999</v>
      </c>
      <c r="F61" s="46">
        <f>F$60/$C$11</f>
        <v>0.9787082176880716</v>
      </c>
      <c r="G61" s="46">
        <f>G$60/$C$11</f>
        <v>0.9574164353761433</v>
      </c>
      <c r="H61" s="46">
        <f>H$60/$C$11</f>
        <v>0.936124653064215</v>
      </c>
      <c r="I61" s="46">
        <f>I$60/$C$11</f>
        <v>0.9148328707522867</v>
      </c>
      <c r="J61" s="46">
        <f>J$60/$C$11</f>
        <v>0.8935410884403585</v>
      </c>
      <c r="K61" s="46">
        <f>K$60/$C$11</f>
        <v>0.8722493061284302</v>
      </c>
      <c r="L61" s="46">
        <f>L$60/$C$11</f>
        <v>0.850957523816502</v>
      </c>
      <c r="M61" s="46">
        <f>M$60/$C$11</f>
        <v>0.8296657415045737</v>
      </c>
      <c r="N61" s="46">
        <f>N$60/$C$11</f>
        <v>0.8083739591926454</v>
      </c>
      <c r="O61" s="46">
        <f>O$60/$C$11</f>
        <v>0.7870821768807171</v>
      </c>
      <c r="P61" s="46">
        <f>P$60/$C$11</f>
        <v>0.765790394568789</v>
      </c>
      <c r="Q61" s="46">
        <f>Q$60/$C$11</f>
        <v>0.7444986122568606</v>
      </c>
      <c r="R61" s="46">
        <f>R$60/$C$11</f>
        <v>0.7232068299449324</v>
      </c>
      <c r="S61" s="46">
        <f>S$60/$C$11</f>
        <v>0.701915047633004</v>
      </c>
      <c r="T61" s="46">
        <f>T$60/$C$11</f>
        <v>0.9999999999999999</v>
      </c>
      <c r="U61" s="46">
        <f>U$60/$C$11</f>
        <v>0.9787082176880716</v>
      </c>
      <c r="V61" s="46">
        <f>V$60/$C$11</f>
        <v>0.9574164353761433</v>
      </c>
      <c r="W61" s="46">
        <f>W$60/$C$11</f>
        <v>0.936124653064215</v>
      </c>
      <c r="X61" s="46">
        <f>X$60/$C$11</f>
        <v>0.9148328707522867</v>
      </c>
      <c r="Y61" s="46">
        <f>Y$60/$C$11</f>
        <v>0.8935410884403585</v>
      </c>
      <c r="Z61" s="46">
        <f>Z$60/$C$11</f>
        <v>0.8722493061284302</v>
      </c>
      <c r="AA61" s="46">
        <f>AA$60/$C$11</f>
        <v>0.850957523816502</v>
      </c>
      <c r="AB61" s="46">
        <f>AB$60/$C$11</f>
        <v>0.8296657415045737</v>
      </c>
      <c r="AC61" s="46">
        <f>AC$60/$C$11</f>
        <v>0.8083739591926454</v>
      </c>
    </row>
    <row r="62">
      <c r="A62" s="6" t="inlineStr">
        <is>
          <t>Price escalation index</t>
        </is>
      </c>
      <c r="B62" s="2" t="inlineStr">
        <is>
          <t>x</t>
        </is>
      </c>
      <c r="E62" s="46">
        <f>(1+Assumptions!$B$53)^(E$57-1)</f>
        <v>1.0</v>
      </c>
      <c r="F62" s="46">
        <f>(1+Assumptions!$B$53)^(F$57-1)</f>
        <v>1.0</v>
      </c>
      <c r="G62" s="46">
        <f>(1+Assumptions!$B$53)^(G$57-1)</f>
        <v>1.0</v>
      </c>
      <c r="H62" s="46">
        <f>(1+Assumptions!$B$53)^(H$57-1)</f>
        <v>1.0</v>
      </c>
      <c r="I62" s="46">
        <f>(1+Assumptions!$B$53)^(I$57-1)</f>
        <v>1.0</v>
      </c>
      <c r="J62" s="46">
        <f>(1+Assumptions!$B$53)^(J$57-1)</f>
        <v>1.0</v>
      </c>
      <c r="K62" s="46">
        <f>(1+Assumptions!$B$53)^(K$57-1)</f>
        <v>1.0</v>
      </c>
      <c r="L62" s="46">
        <f>(1+Assumptions!$B$53)^(L$57-1)</f>
        <v>1.0</v>
      </c>
      <c r="M62" s="46">
        <f>(1+Assumptions!$B$53)^(M$57-1)</f>
        <v>1.0</v>
      </c>
      <c r="N62" s="46">
        <f>(1+Assumptions!$B$53)^(N$57-1)</f>
        <v>1.0</v>
      </c>
      <c r="O62" s="46">
        <f>(1+Assumptions!$B$53)^(O$57-1)</f>
        <v>1.0</v>
      </c>
      <c r="P62" s="46">
        <f>(1+Assumptions!$B$53)^(P$57-1)</f>
        <v>1.0</v>
      </c>
      <c r="Q62" s="46">
        <f>(1+Assumptions!$B$53)^(Q$57-1)</f>
        <v>1.0</v>
      </c>
      <c r="R62" s="46">
        <f>(1+Assumptions!$B$53)^(R$57-1)</f>
        <v>1.0</v>
      </c>
      <c r="S62" s="46">
        <f>(1+Assumptions!$B$53)^(S$57-1)</f>
        <v>1.0</v>
      </c>
      <c r="T62" s="46">
        <f>(1+Assumptions!$B$53)^(T$57-1)</f>
        <v>1.0</v>
      </c>
      <c r="U62" s="46">
        <f>(1+Assumptions!$B$53)^(U$57-1)</f>
        <v>1.0</v>
      </c>
      <c r="V62" s="46">
        <f>(1+Assumptions!$B$53)^(V$57-1)</f>
        <v>1.0</v>
      </c>
      <c r="W62" s="46">
        <f>(1+Assumptions!$B$53)^(W$57-1)</f>
        <v>1.0</v>
      </c>
      <c r="X62" s="46">
        <f>(1+Assumptions!$B$53)^(X$57-1)</f>
        <v>1.0</v>
      </c>
      <c r="Y62" s="46">
        <f>(1+Assumptions!$B$53)^(Y$57-1)</f>
        <v>1.0</v>
      </c>
      <c r="Z62" s="46">
        <f>(1+Assumptions!$B$53)^(Z$57-1)</f>
        <v>1.0</v>
      </c>
      <c r="AA62" s="46">
        <f>(1+Assumptions!$B$53)^(AA$57-1)</f>
        <v>1.0</v>
      </c>
      <c r="AB62" s="46">
        <f>(1+Assumptions!$B$53)^(AB$57-1)</f>
        <v>1.0</v>
      </c>
      <c r="AC62" s="46">
        <f>(1+Assumptions!$B$53)^(AC$57-1)</f>
        <v>1.0</v>
      </c>
    </row>
    <row r="63">
      <c r="A63" s="6" t="inlineStr">
        <is>
          <t>O&amp;M escalation index</t>
        </is>
      </c>
      <c r="B63" s="2" t="inlineStr">
        <is>
          <t>x</t>
        </is>
      </c>
      <c r="E63" s="46">
        <f>(1+Assumptions!$B$56)^(E$57-1)</f>
        <v>1.0</v>
      </c>
      <c r="F63" s="46">
        <f>(1+Assumptions!$B$56)^(F$57-1)</f>
        <v>1.03</v>
      </c>
      <c r="G63" s="46">
        <f>(1+Assumptions!$B$56)^(G$57-1)</f>
        <v>1.0609</v>
      </c>
      <c r="H63" s="46">
        <f>(1+Assumptions!$B$56)^(H$57-1)</f>
        <v>1.092727</v>
      </c>
      <c r="I63" s="46">
        <f>(1+Assumptions!$B$56)^(I$57-1)</f>
        <v>1.1255088100000001</v>
      </c>
      <c r="J63" s="46">
        <f>(1+Assumptions!$B$56)^(J$57-1)</f>
        <v>1.1592740743</v>
      </c>
      <c r="K63" s="46">
        <f>(1+Assumptions!$B$56)^(K$57-1)</f>
        <v>1.1940522965290001</v>
      </c>
      <c r="L63" s="46">
        <f>(1+Assumptions!$B$56)^(L$57-1)</f>
        <v>1.2298738654248702</v>
      </c>
      <c r="M63" s="46">
        <f>(1+Assumptions!$B$56)^(M$57-1)</f>
        <v>1.2667700813876164</v>
      </c>
      <c r="N63" s="46">
        <f>(1+Assumptions!$B$56)^(N$57-1)</f>
        <v>1.304773183829245</v>
      </c>
      <c r="O63" s="46">
        <f>(1+Assumptions!$B$56)^(O$57-1)</f>
        <v>1.3439163793441222</v>
      </c>
      <c r="P63" s="46">
        <f>(1+Assumptions!$B$56)^(P$57-1)</f>
        <v>1.384233870724446</v>
      </c>
      <c r="Q63" s="46">
        <f>(1+Assumptions!$B$56)^(Q$57-1)</f>
        <v>1.4257608868461793</v>
      </c>
      <c r="R63" s="46">
        <f>(1+Assumptions!$B$56)^(R$57-1)</f>
        <v>1.4685337134515648</v>
      </c>
      <c r="S63" s="46">
        <f>(1+Assumptions!$B$56)^(S$57-1)</f>
        <v>1.512589724855112</v>
      </c>
      <c r="T63" s="46">
        <f>(1+Assumptions!$B$56)^(T$57-1)</f>
        <v>1.557967416600765</v>
      </c>
      <c r="U63" s="46">
        <f>(1+Assumptions!$B$56)^(U$57-1)</f>
        <v>1.6047064390987882</v>
      </c>
      <c r="V63" s="46">
        <f>(1+Assumptions!$B$56)^(V$57-1)</f>
        <v>1.6528476322717518</v>
      </c>
      <c r="W63" s="46">
        <f>(1+Assumptions!$B$56)^(W$57-1)</f>
        <v>1.7024330612399046</v>
      </c>
      <c r="X63" s="46">
        <f>(1+Assumptions!$B$56)^(X$57-1)</f>
        <v>1.7535060530771016</v>
      </c>
      <c r="Y63" s="46">
        <f>(1+Assumptions!$B$56)^(Y$57-1)</f>
        <v>1.8061112346694148</v>
      </c>
      <c r="Z63" s="46">
        <f>(1+Assumptions!$B$56)^(Z$57-1)</f>
        <v>1.8602945717094972</v>
      </c>
      <c r="AA63" s="46">
        <f>(1+Assumptions!$B$56)^(AA$57-1)</f>
        <v>1.9161034088607822</v>
      </c>
      <c r="AB63" s="46">
        <f>(1+Assumptions!$B$56)^(AB$57-1)</f>
        <v>1.9735865111266058</v>
      </c>
      <c r="AC63" s="46">
        <f>(1+Assumptions!$B$56)^(AC$57-1)</f>
        <v>2.032794106460404</v>
      </c>
    </row>
    <row r="64">
      <c r="A64" s="6" t="inlineStr">
        <is>
          <t>Energy sold</t>
        </is>
      </c>
      <c r="B64" s="2" t="inlineStr">
        <is>
          <t>MWh</t>
        </is>
      </c>
      <c r="E64" s="27">
        <f>E$58*$C$34*E$61</f>
        <v>867239.9999999999</v>
      </c>
      <c r="F64" s="27">
        <f>F$58*$C$34*F$61</f>
        <v>848774.9147078032</v>
      </c>
      <c r="G64" s="27">
        <f>G$58*$C$34*G$61</f>
        <v>830309.8294156066</v>
      </c>
      <c r="H64" s="27">
        <f>H$58*$C$34*H$61</f>
        <v>811844.7441234099</v>
      </c>
      <c r="I64" s="27">
        <f>I$58*$C$34*I$61</f>
        <v>793379.6588312131</v>
      </c>
      <c r="J64" s="27">
        <f>J$58*$C$34*J$61</f>
        <v>774914.5735390165</v>
      </c>
      <c r="K64" s="27">
        <f>K$58*$C$34*K$61</f>
        <v>756449.4882468198</v>
      </c>
      <c r="L64" s="27">
        <f>L$58*$C$34*L$61</f>
        <v>737984.4029546232</v>
      </c>
      <c r="M64" s="27">
        <f>M$58*$C$34*M$61</f>
        <v>719519.3176624265</v>
      </c>
      <c r="N64" s="27">
        <f>N$58*$C$34*N$61</f>
        <v>701054.2323702298</v>
      </c>
      <c r="O64" s="27">
        <f>O$58*$C$34*O$61</f>
        <v>682589.1470780331</v>
      </c>
      <c r="P64" s="27">
        <f>P$58*$C$34*P$61</f>
        <v>664124.0617858365</v>
      </c>
      <c r="Q64" s="27">
        <f>Q$58*$C$34*Q$61</f>
        <v>645658.9764936399</v>
      </c>
      <c r="R64" s="27">
        <f>R$58*$C$34*R$61</f>
        <v>627193.8912014432</v>
      </c>
      <c r="S64" s="27">
        <f>S$58*$C$34*S$61</f>
        <v>608728.8059092464</v>
      </c>
      <c r="T64" s="27">
        <f>T$58*$C$34*T$61</f>
        <v>867239.9999999999</v>
      </c>
      <c r="U64" s="27">
        <f>U$58*$C$34*U$61</f>
        <v>848774.9147078032</v>
      </c>
      <c r="V64" s="27">
        <f>V$58*$C$34*V$61</f>
        <v>830309.8294156066</v>
      </c>
      <c r="W64" s="27">
        <f>W$58*$C$34*W$61</f>
        <v>811844.7441234099</v>
      </c>
      <c r="X64" s="27">
        <f>X$58*$C$34*X$61</f>
        <v>793379.6588312131</v>
      </c>
      <c r="Y64" s="27">
        <f>Y$58*$C$34*Y$61</f>
        <v>774914.5735390165</v>
      </c>
      <c r="Z64" s="27">
        <f>Z$58*$C$34*Z$61</f>
        <v>756449.4882468198</v>
      </c>
      <c r="AA64" s="27">
        <f>AA$58*$C$34*AA$61</f>
        <v>737984.4029546232</v>
      </c>
      <c r="AB64" s="27">
        <f>AB$58*$C$34*AB$61</f>
        <v>719519.3176624265</v>
      </c>
      <c r="AC64" s="27">
        <f>AC$58*$C$34*AC$61</f>
        <v>701054.2323702298</v>
      </c>
    </row>
    <row r="65">
      <c r="A65" s="6" t="inlineStr">
        <is>
          <t>Energy bought</t>
        </is>
      </c>
      <c r="B65" s="2" t="inlineStr">
        <is>
          <t>MWh</t>
        </is>
      </c>
      <c r="E65" s="27">
        <f>E$58*$C$33*E$61</f>
        <v>1023810.2500937033</v>
      </c>
      <c r="F65" s="27">
        <f>F$58*$C$33*F$61</f>
        <v>1002011.5051199873</v>
      </c>
      <c r="G65" s="27">
        <f>G$58*$C$33*G$61</f>
        <v>980212.7601462713</v>
      </c>
      <c r="H65" s="27">
        <f>H$58*$C$33*H$61</f>
        <v>958414.0151725552</v>
      </c>
      <c r="I65" s="27">
        <f>I$58*$C$33*I$61</f>
        <v>936615.2701988393</v>
      </c>
      <c r="J65" s="27">
        <f>J$58*$C$33*J$61</f>
        <v>914816.5252251234</v>
      </c>
      <c r="K65" s="27">
        <f>K$58*$C$33*K$61</f>
        <v>893017.7802514074</v>
      </c>
      <c r="L65" s="27">
        <f>L$58*$C$33*L$61</f>
        <v>871219.0352776916</v>
      </c>
      <c r="M65" s="27">
        <f>M$58*$C$33*M$61</f>
        <v>849420.2903039755</v>
      </c>
      <c r="N65" s="27">
        <f>N$58*$C$33*N$61</f>
        <v>827621.5453302595</v>
      </c>
      <c r="O65" s="27">
        <f>O$58*$C$33*O$61</f>
        <v>805822.8003565435</v>
      </c>
      <c r="P65" s="27">
        <f>P$58*$C$33*P$61</f>
        <v>784024.0553828276</v>
      </c>
      <c r="Q65" s="27">
        <f>Q$58*$C$33*Q$61</f>
        <v>762225.3104091116</v>
      </c>
      <c r="R65" s="27">
        <f>R$58*$C$33*R$61</f>
        <v>740426.5654353956</v>
      </c>
      <c r="S65" s="27">
        <f>S$58*$C$33*S$61</f>
        <v>718627.8204616796</v>
      </c>
      <c r="T65" s="27">
        <f>T$58*$C$33*T$61</f>
        <v>1023810.2500937033</v>
      </c>
      <c r="U65" s="27">
        <f>U$58*$C$33*U$61</f>
        <v>1002011.5051199873</v>
      </c>
      <c r="V65" s="27">
        <f>V$58*$C$33*V$61</f>
        <v>980212.7601462713</v>
      </c>
      <c r="W65" s="27">
        <f>W$58*$C$33*W$61</f>
        <v>958414.0151725552</v>
      </c>
      <c r="X65" s="27">
        <f>X$58*$C$33*X$61</f>
        <v>936615.2701988393</v>
      </c>
      <c r="Y65" s="27">
        <f>Y$58*$C$33*Y$61</f>
        <v>914816.5252251234</v>
      </c>
      <c r="Z65" s="27">
        <f>Z$58*$C$33*Z$61</f>
        <v>893017.7802514074</v>
      </c>
      <c r="AA65" s="27">
        <f>AA$58*$C$33*AA$61</f>
        <v>871219.0352776916</v>
      </c>
      <c r="AB65" s="27">
        <f>AB$58*$C$33*AB$61</f>
        <v>849420.2903039755</v>
      </c>
      <c r="AC65" s="27">
        <f>AC$58*$C$33*AC$61</f>
        <v>827621.5453302595</v>
      </c>
    </row>
    <row r="66">
      <c r="A66" s="5" t="inlineStr">
        <is>
          <t>Revenue</t>
        </is>
      </c>
      <c r="B66" s="2" t="inlineStr">
        <is>
          <t>₹ Cr</t>
        </is>
      </c>
      <c r="E66" s="47">
        <f>E$58*$C$36*E$61*E$62</f>
        <v>518.2603745962499</v>
      </c>
      <c r="F66" s="47">
        <f>F$58*$C$36*F$61*F$62</f>
        <v>507.2256875194482</v>
      </c>
      <c r="G66" s="47">
        <f>G$58*$C$36*G$61*G$62</f>
        <v>496.19100044264644</v>
      </c>
      <c r="H66" s="47">
        <f>H$58*$C$36*H$61*H$62</f>
        <v>485.15631336584465</v>
      </c>
      <c r="I66" s="47">
        <f>I$58*$C$36*I$61*I$62</f>
        <v>474.12162628904287</v>
      </c>
      <c r="J66" s="47">
        <f>J$58*$C$36*J$61*J$62</f>
        <v>463.0869392122412</v>
      </c>
      <c r="K66" s="47">
        <f>K$58*$C$36*K$61*K$62</f>
        <v>452.0522521354394</v>
      </c>
      <c r="L66" s="47">
        <f>L$58*$C$36*L$61*L$62</f>
        <v>441.0175650586377</v>
      </c>
      <c r="M66" s="47">
        <f>M$58*$C$36*M$61*M$62</f>
        <v>429.98287798183594</v>
      </c>
      <c r="N66" s="47">
        <f>N$58*$C$36*N$61*N$62</f>
        <v>418.94819090503415</v>
      </c>
      <c r="O66" s="47">
        <f>O$58*$C$36*O$61*O$62</f>
        <v>407.91350382823236</v>
      </c>
      <c r="P66" s="47">
        <f>P$58*$C$36*P$61*P$62</f>
        <v>396.8788167514307</v>
      </c>
      <c r="Q66" s="47">
        <f>Q$58*$C$36*Q$61*Q$62</f>
        <v>385.8441296746289</v>
      </c>
      <c r="R66" s="47">
        <f>R$58*$C$36*R$61*R$62</f>
        <v>374.8094425978271</v>
      </c>
      <c r="S66" s="47">
        <f>S$58*$C$36*S$61*S$62</f>
        <v>363.7747555210253</v>
      </c>
      <c r="T66" s="47">
        <f>T$58*$C$36*T$61*T$62</f>
        <v>518.2603745962499</v>
      </c>
      <c r="U66" s="47">
        <f>U$58*$C$36*U$61*U$62</f>
        <v>507.2256875194482</v>
      </c>
      <c r="V66" s="47">
        <f>V$58*$C$36*V$61*V$62</f>
        <v>496.19100044264644</v>
      </c>
      <c r="W66" s="47">
        <f>W$58*$C$36*W$61*W$62</f>
        <v>485.15631336584465</v>
      </c>
      <c r="X66" s="47">
        <f>X$58*$C$36*X$61*X$62</f>
        <v>474.12162628904287</v>
      </c>
      <c r="Y66" s="47">
        <f>Y$58*$C$36*Y$61*Y$62</f>
        <v>463.0869392122412</v>
      </c>
      <c r="Z66" s="47">
        <f>Z$58*$C$36*Z$61*Z$62</f>
        <v>452.0522521354394</v>
      </c>
      <c r="AA66" s="47">
        <f>AA$58*$C$36*AA$61*AA$62</f>
        <v>441.0175650586377</v>
      </c>
      <c r="AB66" s="47">
        <f>AB$58*$C$36*AB$61*AB$62</f>
        <v>429.98287798183594</v>
      </c>
      <c r="AC66" s="47">
        <f>AC$58*$C$36*AC$61*AC$62</f>
        <v>418.94819090503415</v>
      </c>
    </row>
    <row r="67">
      <c r="A67" s="6" t="inlineStr">
        <is>
          <t>IEX purchase</t>
        </is>
      </c>
      <c r="B67" s="2" t="inlineStr">
        <is>
          <t>₹ Cr</t>
        </is>
      </c>
      <c r="E67" s="36">
        <f>E$58*$C$35*E$61*E$62</f>
        <v>345.9468575677874</v>
      </c>
      <c r="F67" s="36">
        <f>F$58*$C$35*F$61*F$62</f>
        <v>338.5810323849584</v>
      </c>
      <c r="G67" s="36">
        <f>G$58*$C$35*G$61*G$62</f>
        <v>331.2152072021294</v>
      </c>
      <c r="H67" s="36">
        <f>H$58*$C$35*H$61*H$62</f>
        <v>323.84938201930044</v>
      </c>
      <c r="I67" s="36">
        <f>I$58*$C$35*I$61*I$62</f>
        <v>316.48355683647145</v>
      </c>
      <c r="J67" s="36">
        <f>J$58*$C$35*J$61*J$62</f>
        <v>309.11773165364247</v>
      </c>
      <c r="K67" s="36">
        <f>K$58*$C$35*K$61*K$62</f>
        <v>301.7519064708135</v>
      </c>
      <c r="L67" s="36">
        <f>L$58*$C$35*L$61*L$62</f>
        <v>294.3860812879845</v>
      </c>
      <c r="M67" s="36">
        <f>M$58*$C$35*M$61*M$62</f>
        <v>287.0202561051555</v>
      </c>
      <c r="N67" s="36">
        <f>N$58*$C$35*N$61*N$62</f>
        <v>279.6544309223265</v>
      </c>
      <c r="O67" s="36">
        <f>O$58*$C$35*O$61*O$62</f>
        <v>272.28860573949754</v>
      </c>
      <c r="P67" s="36">
        <f>P$58*$C$35*P$61*P$62</f>
        <v>264.92278055666856</v>
      </c>
      <c r="Q67" s="36">
        <f>Q$58*$C$35*Q$61*Q$62</f>
        <v>257.55695537383957</v>
      </c>
      <c r="R67" s="36">
        <f>R$58*$C$35*R$61*R$62</f>
        <v>250.1911301910106</v>
      </c>
      <c r="S67" s="36">
        <f>S$58*$C$35*S$61*S$62</f>
        <v>242.8253050081816</v>
      </c>
      <c r="T67" s="36">
        <f>T$58*$C$35*T$61*T$62</f>
        <v>345.9468575677874</v>
      </c>
      <c r="U67" s="36">
        <f>U$58*$C$35*U$61*U$62</f>
        <v>338.5810323849584</v>
      </c>
      <c r="V67" s="36">
        <f>V$58*$C$35*V$61*V$62</f>
        <v>331.2152072021294</v>
      </c>
      <c r="W67" s="36">
        <f>W$58*$C$35*W$61*W$62</f>
        <v>323.84938201930044</v>
      </c>
      <c r="X67" s="36">
        <f>X$58*$C$35*X$61*X$62</f>
        <v>316.48355683647145</v>
      </c>
      <c r="Y67" s="36">
        <f>Y$58*$C$35*Y$61*Y$62</f>
        <v>309.11773165364247</v>
      </c>
      <c r="Z67" s="36">
        <f>Z$58*$C$35*Z$61*Z$62</f>
        <v>301.7519064708135</v>
      </c>
      <c r="AA67" s="36">
        <f>AA$58*$C$35*AA$61*AA$62</f>
        <v>294.3860812879845</v>
      </c>
      <c r="AB67" s="36">
        <f>AB$58*$C$35*AB$61*AB$62</f>
        <v>287.0202561051555</v>
      </c>
      <c r="AC67" s="36">
        <f>AC$58*$C$35*AC$61*AC$62</f>
        <v>279.6544309223265</v>
      </c>
    </row>
    <row r="68">
      <c r="A68" s="6" t="inlineStr">
        <is>
          <t>CTU charges</t>
        </is>
      </c>
      <c r="B68" s="2" t="inlineStr">
        <is>
          <t>₹ Cr</t>
        </is>
      </c>
      <c r="E68" s="36">
        <f>E$58*IF(Assumptions!$B$66="T-GNA",E$65*Assumptions!$B$46/10000000,$C$5*Assumptions!$B$47*100000*12/10000000)</f>
        <v>59.99528065549101</v>
      </c>
      <c r="F68" s="36">
        <f>F$58*IF(Assumptions!$B$66="T-GNA",F$65*Assumptions!$B$46/10000000,$C$5*Assumptions!$B$47*100000*12/10000000)</f>
        <v>58.717874200031254</v>
      </c>
      <c r="G68" s="36">
        <f>G$58*IF(Assumptions!$B$66="T-GNA",G$65*Assumptions!$B$46/10000000,$C$5*Assumptions!$B$47*100000*12/10000000)</f>
        <v>57.44046774457149</v>
      </c>
      <c r="H68" s="36">
        <f>H$58*IF(Assumptions!$B$66="T-GNA",H$65*Assumptions!$B$46/10000000,$C$5*Assumptions!$B$47*100000*12/10000000)</f>
        <v>56.16306128911173</v>
      </c>
      <c r="I68" s="36">
        <f>I$58*IF(Assumptions!$B$66="T-GNA",I$65*Assumptions!$B$46/10000000,$C$5*Assumptions!$B$47*100000*12/10000000)</f>
        <v>54.885654833651984</v>
      </c>
      <c r="J68" s="36">
        <f>J$58*IF(Assumptions!$B$66="T-GNA",J$65*Assumptions!$B$46/10000000,$C$5*Assumptions!$B$47*100000*12/10000000)</f>
        <v>53.60824837819223</v>
      </c>
      <c r="K68" s="36">
        <f>K$58*IF(Assumptions!$B$66="T-GNA",K$65*Assumptions!$B$46/10000000,$C$5*Assumptions!$B$47*100000*12/10000000)</f>
        <v>52.330841922732475</v>
      </c>
      <c r="L68" s="36">
        <f>L$58*IF(Assumptions!$B$66="T-GNA",L$65*Assumptions!$B$46/10000000,$C$5*Assumptions!$B$47*100000*12/10000000)</f>
        <v>51.05343546727272</v>
      </c>
      <c r="M68" s="36">
        <f>M$58*IF(Assumptions!$B$66="T-GNA",M$65*Assumptions!$B$46/10000000,$C$5*Assumptions!$B$47*100000*12/10000000)</f>
        <v>49.77602901181296</v>
      </c>
      <c r="N68" s="36">
        <f>N$58*IF(Assumptions!$B$66="T-GNA",N$65*Assumptions!$B$46/10000000,$C$5*Assumptions!$B$47*100000*12/10000000)</f>
        <v>48.498622556353205</v>
      </c>
      <c r="O68" s="36">
        <f>O$58*IF(Assumptions!$B$66="T-GNA",O$65*Assumptions!$B$46/10000000,$C$5*Assumptions!$B$47*100000*12/10000000)</f>
        <v>47.22121610089345</v>
      </c>
      <c r="P68" s="36">
        <f>P$58*IF(Assumptions!$B$66="T-GNA",P$65*Assumptions!$B$46/10000000,$C$5*Assumptions!$B$47*100000*12/10000000)</f>
        <v>45.9438096454337</v>
      </c>
      <c r="Q68" s="36">
        <f>Q$58*IF(Assumptions!$B$66="T-GNA",Q$65*Assumptions!$B$46/10000000,$C$5*Assumptions!$B$47*100000*12/10000000)</f>
        <v>44.66640318997394</v>
      </c>
      <c r="R68" s="36">
        <f>R$58*IF(Assumptions!$B$66="T-GNA",R$65*Assumptions!$B$46/10000000,$C$5*Assumptions!$B$47*100000*12/10000000)</f>
        <v>43.38899673451418</v>
      </c>
      <c r="S68" s="36">
        <f>S$58*IF(Assumptions!$B$66="T-GNA",S$65*Assumptions!$B$46/10000000,$C$5*Assumptions!$B$47*100000*12/10000000)</f>
        <v>42.111590279054425</v>
      </c>
      <c r="T68" s="36">
        <f>T$58*IF(Assumptions!$B$66="T-GNA",T$65*Assumptions!$B$46/10000000,$C$5*Assumptions!$B$47*100000*12/10000000)</f>
        <v>59.99528065549101</v>
      </c>
      <c r="U68" s="36">
        <f>U$58*IF(Assumptions!$B$66="T-GNA",U$65*Assumptions!$B$46/10000000,$C$5*Assumptions!$B$47*100000*12/10000000)</f>
        <v>58.717874200031254</v>
      </c>
      <c r="V68" s="36">
        <f>V$58*IF(Assumptions!$B$66="T-GNA",V$65*Assumptions!$B$46/10000000,$C$5*Assumptions!$B$47*100000*12/10000000)</f>
        <v>57.44046774457149</v>
      </c>
      <c r="W68" s="36">
        <f>W$58*IF(Assumptions!$B$66="T-GNA",W$65*Assumptions!$B$46/10000000,$C$5*Assumptions!$B$47*100000*12/10000000)</f>
        <v>56.16306128911173</v>
      </c>
      <c r="X68" s="36">
        <f>X$58*IF(Assumptions!$B$66="T-GNA",X$65*Assumptions!$B$46/10000000,$C$5*Assumptions!$B$47*100000*12/10000000)</f>
        <v>54.885654833651984</v>
      </c>
      <c r="Y68" s="36">
        <f>Y$58*IF(Assumptions!$B$66="T-GNA",Y$65*Assumptions!$B$46/10000000,$C$5*Assumptions!$B$47*100000*12/10000000)</f>
        <v>53.60824837819223</v>
      </c>
      <c r="Z68" s="36">
        <f>Z$58*IF(Assumptions!$B$66="T-GNA",Z$65*Assumptions!$B$46/10000000,$C$5*Assumptions!$B$47*100000*12/10000000)</f>
        <v>52.330841922732475</v>
      </c>
      <c r="AA68" s="36">
        <f>AA$58*IF(Assumptions!$B$66="T-GNA",AA$65*Assumptions!$B$46/10000000,$C$5*Assumptions!$B$47*100000*12/10000000)</f>
        <v>51.05343546727272</v>
      </c>
      <c r="AB68" s="36">
        <f>AB$58*IF(Assumptions!$B$66="T-GNA",AB$65*Assumptions!$B$46/10000000,$C$5*Assumptions!$B$47*100000*12/10000000)</f>
        <v>49.77602901181296</v>
      </c>
      <c r="AC68" s="36">
        <f>AC$58*IF(Assumptions!$B$66="T-GNA",AC$65*Assumptions!$B$46/10000000,$C$5*Assumptions!$B$47*100000*12/10000000)</f>
        <v>48.498622556353205</v>
      </c>
    </row>
    <row r="69">
      <c r="A69" s="6" t="inlineStr">
        <is>
          <t>IEX transaction fees</t>
        </is>
      </c>
      <c r="B69" s="2" t="inlineStr">
        <is>
          <t>₹ Cr</t>
        </is>
      </c>
      <c r="E69" s="36">
        <f>(E$65+E$64)*Assumptions!$B$48/10000000</f>
        <v>2.836575375140555</v>
      </c>
      <c r="F69" s="36">
        <f>(F$65+F$64)*Assumptions!$B$48/10000000</f>
        <v>2.776179629741686</v>
      </c>
      <c r="G69" s="36">
        <f>(G$65+G$64)*Assumptions!$B$48/10000000</f>
        <v>2.7157838843428164</v>
      </c>
      <c r="H69" s="36">
        <f>(H$65+H$64)*Assumptions!$B$48/10000000</f>
        <v>2.6553881389439473</v>
      </c>
      <c r="I69" s="36">
        <f>(I$65+I$64)*Assumptions!$B$48/10000000</f>
        <v>2.5949923935450783</v>
      </c>
      <c r="J69" s="36">
        <f>(J$65+J$64)*Assumptions!$B$48/10000000</f>
        <v>2.5345966481462097</v>
      </c>
      <c r="K69" s="36">
        <f>(K$65+K$64)*Assumptions!$B$48/10000000</f>
        <v>2.474200902747341</v>
      </c>
      <c r="L69" s="36">
        <f>(L$65+L$64)*Assumptions!$B$48/10000000</f>
        <v>2.4138051573484725</v>
      </c>
      <c r="M69" s="36">
        <f>(M$65+M$64)*Assumptions!$B$48/10000000</f>
        <v>2.3534094119496034</v>
      </c>
      <c r="N69" s="36">
        <f>(N$65+N$64)*Assumptions!$B$48/10000000</f>
        <v>2.293013666550734</v>
      </c>
      <c r="O69" s="36">
        <f>(O$65+O$64)*Assumptions!$B$48/10000000</f>
        <v>2.232617921151865</v>
      </c>
      <c r="P69" s="36">
        <f>(P$65+P$64)*Assumptions!$B$48/10000000</f>
        <v>2.172222175752996</v>
      </c>
      <c r="Q69" s="36">
        <f>(Q$65+Q$64)*Assumptions!$B$48/10000000</f>
        <v>2.1118264303541268</v>
      </c>
      <c r="R69" s="36">
        <f>(R$65+R$64)*Assumptions!$B$48/10000000</f>
        <v>2.0514306849552577</v>
      </c>
      <c r="S69" s="36">
        <f>(S$65+S$64)*Assumptions!$B$48/10000000</f>
        <v>1.9910349395563889</v>
      </c>
      <c r="T69" s="36">
        <f>(T$65+T$64)*Assumptions!$B$48/10000000</f>
        <v>2.836575375140555</v>
      </c>
      <c r="U69" s="36">
        <f>(U$65+U$64)*Assumptions!$B$48/10000000</f>
        <v>2.776179629741686</v>
      </c>
      <c r="V69" s="36">
        <f>(V$65+V$64)*Assumptions!$B$48/10000000</f>
        <v>2.7157838843428164</v>
      </c>
      <c r="W69" s="36">
        <f>(W$65+W$64)*Assumptions!$B$48/10000000</f>
        <v>2.6553881389439473</v>
      </c>
      <c r="X69" s="36">
        <f>(X$65+X$64)*Assumptions!$B$48/10000000</f>
        <v>2.5949923935450783</v>
      </c>
      <c r="Y69" s="36">
        <f>(Y$65+Y$64)*Assumptions!$B$48/10000000</f>
        <v>2.5345966481462097</v>
      </c>
      <c r="Z69" s="36">
        <f>(Z$65+Z$64)*Assumptions!$B$48/10000000</f>
        <v>2.474200902747341</v>
      </c>
      <c r="AA69" s="36">
        <f>(AA$65+AA$64)*Assumptions!$B$48/10000000</f>
        <v>2.4138051573484725</v>
      </c>
      <c r="AB69" s="36">
        <f>(AB$65+AB$64)*Assumptions!$B$48/10000000</f>
        <v>2.3534094119496034</v>
      </c>
      <c r="AC69" s="36">
        <f>(AC$65+AC$64)*Assumptions!$B$48/10000000</f>
        <v>2.293013666550734</v>
      </c>
    </row>
    <row r="70">
      <c r="A70" s="6" t="inlineStr">
        <is>
          <t>O&amp;M</t>
        </is>
      </c>
      <c r="B70" s="2" t="inlineStr">
        <is>
          <t>₹ Cr</t>
        </is>
      </c>
      <c r="E70" s="36">
        <f>E$58*$C$39*Assumptions!$B$55*E$63</f>
        <v>7.608611525219973</v>
      </c>
      <c r="F70" s="36">
        <f>F$58*$C$39*Assumptions!$B$55*F$63</f>
        <v>7.836869870976573</v>
      </c>
      <c r="G70" s="36">
        <f>G$58*$C$39*Assumptions!$B$55*G$63</f>
        <v>8.07197596710587</v>
      </c>
      <c r="H70" s="36">
        <f>H$58*$C$39*Assumptions!$B$55*H$63</f>
        <v>8.314135246119045</v>
      </c>
      <c r="I70" s="36">
        <f>I$58*$C$39*Assumptions!$B$55*I$63</f>
        <v>8.563559303502618</v>
      </c>
      <c r="J70" s="36">
        <f>J$58*$C$39*Assumptions!$B$55*J$63</f>
        <v>8.820466082607696</v>
      </c>
      <c r="K70" s="36">
        <f>K$58*$C$39*Assumptions!$B$55*K$63</f>
        <v>9.085080065085927</v>
      </c>
      <c r="L70" s="36">
        <f>L$58*$C$39*Assumptions!$B$55*L$63</f>
        <v>9.357632467038506</v>
      </c>
      <c r="M70" s="36">
        <f>M$58*$C$39*Assumptions!$B$55*M$63</f>
        <v>9.63836144104966</v>
      </c>
      <c r="N70" s="36">
        <f>N$58*$C$39*Assumptions!$B$55*N$63</f>
        <v>9.927512284281152</v>
      </c>
      <c r="O70" s="36">
        <f>O$58*$C$39*Assumptions!$B$55*O$63</f>
        <v>10.225337652809586</v>
      </c>
      <c r="P70" s="36">
        <f>P$58*$C$39*Assumptions!$B$55*P$63</f>
        <v>10.532097782393874</v>
      </c>
      <c r="Q70" s="36">
        <f>Q$58*$C$39*Assumptions!$B$55*Q$63</f>
        <v>10.84806071586569</v>
      </c>
      <c r="R70" s="36">
        <f>R$58*$C$39*Assumptions!$B$55*R$63</f>
        <v>11.173502537341662</v>
      </c>
      <c r="S70" s="36">
        <f>S$58*$C$39*Assumptions!$B$55*S$63</f>
        <v>11.508707613461912</v>
      </c>
      <c r="T70" s="36">
        <f>T$58*$C$39*Assumptions!$B$55*T$63</f>
        <v>11.853968841865768</v>
      </c>
      <c r="U70" s="36">
        <f>U$58*$C$39*Assumptions!$B$55*U$63</f>
        <v>12.209587907121742</v>
      </c>
      <c r="V70" s="36">
        <f>V$58*$C$39*Assumptions!$B$55*V$63</f>
        <v>12.575875544335394</v>
      </c>
      <c r="W70" s="36">
        <f>W$58*$C$39*Assumptions!$B$55*W$63</f>
        <v>12.953151810665458</v>
      </c>
      <c r="X70" s="36">
        <f>X$58*$C$39*Assumptions!$B$55*X$63</f>
        <v>13.341746364985422</v>
      </c>
      <c r="Y70" s="36">
        <f>Y$58*$C$39*Assumptions!$B$55*Y$63</f>
        <v>13.741998755934985</v>
      </c>
      <c r="Z70" s="36">
        <f>Z$58*$C$39*Assumptions!$B$55*Z$63</f>
        <v>14.154258718613034</v>
      </c>
      <c r="AA70" s="36">
        <f>AA$58*$C$39*Assumptions!$B$55*AA$63</f>
        <v>14.578886480171427</v>
      </c>
      <c r="AB70" s="36">
        <f>AB$58*$C$39*Assumptions!$B$55*AB$63</f>
        <v>15.01625307457657</v>
      </c>
      <c r="AC70" s="36">
        <f>AC$58*$C$39*Assumptions!$B$55*AC$63</f>
        <v>15.466740666813868</v>
      </c>
    </row>
    <row r="71">
      <c r="A71" s="6" t="inlineStr">
        <is>
          <t>Equity-funded cost</t>
        </is>
      </c>
      <c r="B71" s="2" t="inlineStr">
        <is>
          <t>₹ Cr</t>
        </is>
      </c>
      <c r="E71" s="36">
        <f>E$58*IF(AND(Assumptions!$B$21=1,E$57&lt;=Assumptions!$B$23),Assumptions!$B$22,0)</f>
        <v>20.0</v>
      </c>
      <c r="F71" s="36">
        <f>F$58*IF(AND(Assumptions!$B$21=1,F$57&lt;=Assumptions!$B$23),Assumptions!$B$22,0)</f>
        <v>20.0</v>
      </c>
      <c r="G71" s="36">
        <f>G$58*IF(AND(Assumptions!$B$21=1,G$57&lt;=Assumptions!$B$23),Assumptions!$B$22,0)</f>
        <v>0.0</v>
      </c>
      <c r="H71" s="36">
        <f>H$58*IF(AND(Assumptions!$B$21=1,H$57&lt;=Assumptions!$B$23),Assumptions!$B$22,0)</f>
        <v>0.0</v>
      </c>
      <c r="I71" s="36">
        <f>I$58*IF(AND(Assumptions!$B$21=1,I$57&lt;=Assumptions!$B$23),Assumptions!$B$22,0)</f>
        <v>0.0</v>
      </c>
      <c r="J71" s="36">
        <f>J$58*IF(AND(Assumptions!$B$21=1,J$57&lt;=Assumptions!$B$23),Assumptions!$B$22,0)</f>
        <v>0.0</v>
      </c>
      <c r="K71" s="36">
        <f>K$58*IF(AND(Assumptions!$B$21=1,K$57&lt;=Assumptions!$B$23),Assumptions!$B$22,0)</f>
        <v>0.0</v>
      </c>
      <c r="L71" s="36">
        <f>L$58*IF(AND(Assumptions!$B$21=1,L$57&lt;=Assumptions!$B$23),Assumptions!$B$22,0)</f>
        <v>0.0</v>
      </c>
      <c r="M71" s="36">
        <f>M$58*IF(AND(Assumptions!$B$21=1,M$57&lt;=Assumptions!$B$23),Assumptions!$B$22,0)</f>
        <v>0.0</v>
      </c>
      <c r="N71" s="36">
        <f>N$58*IF(AND(Assumptions!$B$21=1,N$57&lt;=Assumptions!$B$23),Assumptions!$B$22,0)</f>
        <v>0.0</v>
      </c>
      <c r="O71" s="36">
        <f>O$58*IF(AND(Assumptions!$B$21=1,O$57&lt;=Assumptions!$B$23),Assumptions!$B$22,0)</f>
        <v>0.0</v>
      </c>
      <c r="P71" s="36">
        <f>P$58*IF(AND(Assumptions!$B$21=1,P$57&lt;=Assumptions!$B$23),Assumptions!$B$22,0)</f>
        <v>0.0</v>
      </c>
      <c r="Q71" s="36">
        <f>Q$58*IF(AND(Assumptions!$B$21=1,Q$57&lt;=Assumptions!$B$23),Assumptions!$B$22,0)</f>
        <v>0.0</v>
      </c>
      <c r="R71" s="36">
        <f>R$58*IF(AND(Assumptions!$B$21=1,R$57&lt;=Assumptions!$B$23),Assumptions!$B$22,0)</f>
        <v>0.0</v>
      </c>
      <c r="S71" s="36">
        <f>S$58*IF(AND(Assumptions!$B$21=1,S$57&lt;=Assumptions!$B$23),Assumptions!$B$22,0)</f>
        <v>0.0</v>
      </c>
      <c r="T71" s="36">
        <f>T$58*IF(AND(Assumptions!$B$21=1,T$57&lt;=Assumptions!$B$23),Assumptions!$B$22,0)</f>
        <v>0.0</v>
      </c>
      <c r="U71" s="36">
        <f>U$58*IF(AND(Assumptions!$B$21=1,U$57&lt;=Assumptions!$B$23),Assumptions!$B$22,0)</f>
        <v>0.0</v>
      </c>
      <c r="V71" s="36">
        <f>V$58*IF(AND(Assumptions!$B$21=1,V$57&lt;=Assumptions!$B$23),Assumptions!$B$22,0)</f>
        <v>0.0</v>
      </c>
      <c r="W71" s="36">
        <f>W$58*IF(AND(Assumptions!$B$21=1,W$57&lt;=Assumptions!$B$23),Assumptions!$B$22,0)</f>
        <v>0.0</v>
      </c>
      <c r="X71" s="36">
        <f>X$58*IF(AND(Assumptions!$B$21=1,X$57&lt;=Assumptions!$B$23),Assumptions!$B$22,0)</f>
        <v>0.0</v>
      </c>
      <c r="Y71" s="36">
        <f>Y$58*IF(AND(Assumptions!$B$21=1,Y$57&lt;=Assumptions!$B$23),Assumptions!$B$22,0)</f>
        <v>0.0</v>
      </c>
      <c r="Z71" s="36">
        <f>Z$58*IF(AND(Assumptions!$B$21=1,Z$57&lt;=Assumptions!$B$23),Assumptions!$B$22,0)</f>
        <v>0.0</v>
      </c>
      <c r="AA71" s="36">
        <f>AA$58*IF(AND(Assumptions!$B$21=1,AA$57&lt;=Assumptions!$B$23),Assumptions!$B$22,0)</f>
        <v>0.0</v>
      </c>
      <c r="AB71" s="36">
        <f>AB$58*IF(AND(Assumptions!$B$21=1,AB$57&lt;=Assumptions!$B$23),Assumptions!$B$22,0)</f>
        <v>0.0</v>
      </c>
      <c r="AC71" s="36">
        <f>AC$58*IF(AND(Assumptions!$B$21=1,AC$57&lt;=Assumptions!$B$23),Assumptions!$B$22,0)</f>
        <v>0.0</v>
      </c>
    </row>
    <row r="72">
      <c r="A72" s="5" t="inlineStr">
        <is>
          <t>EBITDA</t>
        </is>
      </c>
      <c r="B72" s="2" t="inlineStr">
        <is>
          <t>₹ Cr</t>
        </is>
      </c>
      <c r="E72" s="47">
        <f>E$66-E$67-E$68-E$69-E$70-E$71</f>
        <v>81.87304947261099</v>
      </c>
      <c r="F72" s="47">
        <f>F$66-F$67-F$68-F$69-F$70-F$71</f>
        <v>79.31373143374026</v>
      </c>
      <c r="G72" s="47">
        <f>G$66-G$67-G$68-G$69-G$70-G$71</f>
        <v>96.74756564449685</v>
      </c>
      <c r="H72" s="47">
        <f>H$66-H$67-H$68-H$69-H$70-H$71</f>
        <v>94.17434667236948</v>
      </c>
      <c r="I72" s="47">
        <f>I$66-I$67-I$68-I$69-I$70-I$71</f>
        <v>91.59386292187173</v>
      </c>
      <c r="J72" s="47">
        <f>J$66-J$67-J$68-J$69-J$70-J$71</f>
        <v>89.0058964496526</v>
      </c>
      <c r="K72" s="47">
        <f>K$66-K$67-K$68-K$69-K$70-K$71</f>
        <v>86.41022277406017</v>
      </c>
      <c r="L72" s="47">
        <f>L$66-L$67-L$68-L$69-L$70-L$71</f>
        <v>83.80661067899348</v>
      </c>
      <c r="M72" s="47">
        <f>M$66-M$67-M$68-M$69-M$70-M$71</f>
        <v>81.19482201186821</v>
      </c>
      <c r="N72" s="47">
        <f>N$66-N$67-N$68-N$69-N$70-N$71</f>
        <v>78.57461147552253</v>
      </c>
      <c r="O72" s="47">
        <f>O$66-O$67-O$68-O$69-O$70-O$71</f>
        <v>75.94572641387991</v>
      </c>
      <c r="P72" s="47">
        <f>P$66-P$67-P$68-P$69-P$70-P$71</f>
        <v>73.30790659118156</v>
      </c>
      <c r="Q72" s="47">
        <f>Q$66-Q$67-Q$68-Q$69-Q$70-Q$71</f>
        <v>70.66088396459557</v>
      </c>
      <c r="R72" s="47">
        <f>R$66-R$67-R$68-R$69-R$70-R$71</f>
        <v>68.00438245000542</v>
      </c>
      <c r="S72" s="47">
        <f>S$66-S$67-S$68-S$69-S$70-S$71</f>
        <v>65.338117680771</v>
      </c>
      <c r="T72" s="47">
        <f>T$66-T$67-T$68-T$69-T$70-T$71</f>
        <v>97.62769215596519</v>
      </c>
      <c r="U72" s="47">
        <f>U$66-U$67-U$68-U$69-U$70-U$71</f>
        <v>94.94101339759509</v>
      </c>
      <c r="V72" s="47">
        <f>V$66-V$67-V$68-V$69-V$70-V$71</f>
        <v>92.24366606726733</v>
      </c>
      <c r="W72" s="47">
        <f>W$66-W$67-W$68-W$69-W$70-W$71</f>
        <v>89.53533010782307</v>
      </c>
      <c r="X72" s="47">
        <f>X$66-X$67-X$68-X$69-X$70-X$71</f>
        <v>86.81567586038892</v>
      </c>
      <c r="Y72" s="47">
        <f>Y$66-Y$67-Y$68-Y$69-Y$70-Y$71</f>
        <v>84.0843637763253</v>
      </c>
      <c r="Z72" s="47">
        <f>Z$66-Z$67-Z$68-Z$69-Z$70-Z$71</f>
        <v>81.34104412053307</v>
      </c>
      <c r="AA72" s="47">
        <f>AA$66-AA$67-AA$68-AA$69-AA$70-AA$71</f>
        <v>78.58535666586056</v>
      </c>
      <c r="AB72" s="47">
        <f>AB$66-AB$67-AB$68-AB$69-AB$70-AB$71</f>
        <v>75.8169303783413</v>
      </c>
      <c r="AC72" s="47">
        <f>AC$66-AC$67-AC$68-AC$69-AC$70-AC$71</f>
        <v>73.03538309298982</v>
      </c>
    </row>
    <row r="73">
      <c r="A73" s="6" t="inlineStr">
        <is>
          <t>Cell replacement at end of life</t>
        </is>
      </c>
      <c r="B73" s="2" t="inlineStr">
        <is>
          <t>₹ Cr</t>
        </is>
      </c>
      <c r="E73" s="36">
        <f>E$58*IF(AND(1-$C$19*(E$59+1)&lt;Assumptions!$B$71,E$57&lt;Assumptions!$B$51),$C$39*Assumptions!$B$77,0)</f>
        <v>0.0</v>
      </c>
      <c r="F73" s="36">
        <f>F$58*IF(AND(1-$C$19*(F$59+1)&lt;Assumptions!$B$71,F$57&lt;Assumptions!$B$51),$C$39*Assumptions!$B$77,0)</f>
        <v>0.0</v>
      </c>
      <c r="G73" s="36">
        <f>G$58*IF(AND(1-$C$19*(G$59+1)&lt;Assumptions!$B$71,G$57&lt;Assumptions!$B$51),$C$39*Assumptions!$B$77,0)</f>
        <v>0.0</v>
      </c>
      <c r="H73" s="36">
        <f>H$58*IF(AND(1-$C$19*(H$59+1)&lt;Assumptions!$B$71,H$57&lt;Assumptions!$B$51),$C$39*Assumptions!$B$77,0)</f>
        <v>0.0</v>
      </c>
      <c r="I73" s="36">
        <f>I$58*IF(AND(1-$C$19*(I$59+1)&lt;Assumptions!$B$71,I$57&lt;Assumptions!$B$51),$C$39*Assumptions!$B$77,0)</f>
        <v>0.0</v>
      </c>
      <c r="J73" s="36">
        <f>J$58*IF(AND(1-$C$19*(J$59+1)&lt;Assumptions!$B$71,J$57&lt;Assumptions!$B$51),$C$39*Assumptions!$B$77,0)</f>
        <v>0.0</v>
      </c>
      <c r="K73" s="36">
        <f>K$58*IF(AND(1-$C$19*(K$59+1)&lt;Assumptions!$B$71,K$57&lt;Assumptions!$B$51),$C$39*Assumptions!$B$77,0)</f>
        <v>0.0</v>
      </c>
      <c r="L73" s="36">
        <f>L$58*IF(AND(1-$C$19*(L$59+1)&lt;Assumptions!$B$71,L$57&lt;Assumptions!$B$51),$C$39*Assumptions!$B$77,0)</f>
        <v>0.0</v>
      </c>
      <c r="M73" s="36">
        <f>M$58*IF(AND(1-$C$19*(M$59+1)&lt;Assumptions!$B$71,M$57&lt;Assumptions!$B$51),$C$39*Assumptions!$B$77,0)</f>
        <v>0.0</v>
      </c>
      <c r="N73" s="36">
        <f>N$58*IF(AND(1-$C$19*(N$59+1)&lt;Assumptions!$B$71,N$57&lt;Assumptions!$B$51),$C$39*Assumptions!$B$77,0)</f>
        <v>0.0</v>
      </c>
      <c r="O73" s="36">
        <f>O$58*IF(AND(1-$C$19*(O$59+1)&lt;Assumptions!$B$71,O$57&lt;Assumptions!$B$51),$C$39*Assumptions!$B$77,0)</f>
        <v>0.0</v>
      </c>
      <c r="P73" s="36">
        <f>P$58*IF(AND(1-$C$19*(P$59+1)&lt;Assumptions!$B$71,P$57&lt;Assumptions!$B$51),$C$39*Assumptions!$B$77,0)</f>
        <v>0.0</v>
      </c>
      <c r="Q73" s="36">
        <f>Q$58*IF(AND(1-$C$19*(Q$59+1)&lt;Assumptions!$B$71,Q$57&lt;Assumptions!$B$51),$C$39*Assumptions!$B$77,0)</f>
        <v>0.0</v>
      </c>
      <c r="R73" s="36">
        <f>R$58*IF(AND(1-$C$19*(R$59+1)&lt;Assumptions!$B$71,R$57&lt;Assumptions!$B$51),$C$39*Assumptions!$B$77,0)</f>
        <v>0.0</v>
      </c>
      <c r="S73" s="36">
        <f>S$58*IF(AND(1-$C$19*(S$59+1)&lt;Assumptions!$B$71,S$57&lt;Assumptions!$B$51),$C$39*Assumptions!$B$77,0)</f>
        <v>532.6028067653981</v>
      </c>
      <c r="T73" s="36">
        <f>T$58*IF(AND(1-$C$19*(T$59+1)&lt;Assumptions!$B$71,T$57&lt;Assumptions!$B$51),$C$39*Assumptions!$B$77,0)</f>
        <v>0.0</v>
      </c>
      <c r="U73" s="36">
        <f>U$58*IF(AND(1-$C$19*(U$59+1)&lt;Assumptions!$B$71,U$57&lt;Assumptions!$B$51),$C$39*Assumptions!$B$77,0)</f>
        <v>0.0</v>
      </c>
      <c r="V73" s="36">
        <f>V$58*IF(AND(1-$C$19*(V$59+1)&lt;Assumptions!$B$71,V$57&lt;Assumptions!$B$51),$C$39*Assumptions!$B$77,0)</f>
        <v>0.0</v>
      </c>
      <c r="W73" s="36">
        <f>W$58*IF(AND(1-$C$19*(W$59+1)&lt;Assumptions!$B$71,W$57&lt;Assumptions!$B$51),$C$39*Assumptions!$B$77,0)</f>
        <v>0.0</v>
      </c>
      <c r="X73" s="36">
        <f>X$58*IF(AND(1-$C$19*(X$59+1)&lt;Assumptions!$B$71,X$57&lt;Assumptions!$B$51),$C$39*Assumptions!$B$77,0)</f>
        <v>0.0</v>
      </c>
      <c r="Y73" s="36">
        <f>Y$58*IF(AND(1-$C$19*(Y$59+1)&lt;Assumptions!$B$71,Y$57&lt;Assumptions!$B$51),$C$39*Assumptions!$B$77,0)</f>
        <v>0.0</v>
      </c>
      <c r="Z73" s="36">
        <f>Z$58*IF(AND(1-$C$19*(Z$59+1)&lt;Assumptions!$B$71,Z$57&lt;Assumptions!$B$51),$C$39*Assumptions!$B$77,0)</f>
        <v>0.0</v>
      </c>
      <c r="AA73" s="36">
        <f>AA$58*IF(AND(1-$C$19*(AA$59+1)&lt;Assumptions!$B$71,AA$57&lt;Assumptions!$B$51),$C$39*Assumptions!$B$77,0)</f>
        <v>0.0</v>
      </c>
      <c r="AB73" s="36">
        <f>AB$58*IF(AND(1-$C$19*(AB$59+1)&lt;Assumptions!$B$71,AB$57&lt;Assumptions!$B$51),$C$39*Assumptions!$B$77,0)</f>
        <v>0.0</v>
      </c>
      <c r="AC73" s="36">
        <f>AC$58*IF(AND(1-$C$19*(AC$59+1)&lt;Assumptions!$B$71,AC$57&lt;Assumptions!$B$51),$C$39*Assumptions!$B$77,0)</f>
        <v>0.0</v>
      </c>
    </row>
    <row r="74">
      <c r="A74" s="6" t="inlineStr">
        <is>
          <t>Depreciation</t>
        </is>
      </c>
      <c r="B74" s="2" t="inlineStr">
        <is>
          <t>₹ Cr</t>
        </is>
      </c>
      <c r="E74" s="36">
        <f>E$58*$C$40/Assumptions!$B$51</f>
        <v>60.868892201759785</v>
      </c>
      <c r="F74" s="36">
        <f>F$58*$C$40/Assumptions!$B$51</f>
        <v>60.868892201759785</v>
      </c>
      <c r="G74" s="36">
        <f>G$58*$C$40/Assumptions!$B$51</f>
        <v>60.868892201759785</v>
      </c>
      <c r="H74" s="36">
        <f>H$58*$C$40/Assumptions!$B$51</f>
        <v>60.868892201759785</v>
      </c>
      <c r="I74" s="36">
        <f>I$58*$C$40/Assumptions!$B$51</f>
        <v>60.868892201759785</v>
      </c>
      <c r="J74" s="36">
        <f>J$58*$C$40/Assumptions!$B$51</f>
        <v>60.868892201759785</v>
      </c>
      <c r="K74" s="36">
        <f>K$58*$C$40/Assumptions!$B$51</f>
        <v>60.868892201759785</v>
      </c>
      <c r="L74" s="36">
        <f>L$58*$C$40/Assumptions!$B$51</f>
        <v>60.868892201759785</v>
      </c>
      <c r="M74" s="36">
        <f>M$58*$C$40/Assumptions!$B$51</f>
        <v>60.868892201759785</v>
      </c>
      <c r="N74" s="36">
        <f>N$58*$C$40/Assumptions!$B$51</f>
        <v>60.868892201759785</v>
      </c>
      <c r="O74" s="36">
        <f>O$58*$C$40/Assumptions!$B$51</f>
        <v>60.868892201759785</v>
      </c>
      <c r="P74" s="36">
        <f>P$58*$C$40/Assumptions!$B$51</f>
        <v>60.868892201759785</v>
      </c>
      <c r="Q74" s="36">
        <f>Q$58*$C$40/Assumptions!$B$51</f>
        <v>60.868892201759785</v>
      </c>
      <c r="R74" s="36">
        <f>R$58*$C$40/Assumptions!$B$51</f>
        <v>60.868892201759785</v>
      </c>
      <c r="S74" s="36">
        <f>S$58*$C$40/Assumptions!$B$51</f>
        <v>60.868892201759785</v>
      </c>
      <c r="T74" s="36">
        <f>T$58*$C$40/Assumptions!$B$51</f>
        <v>60.868892201759785</v>
      </c>
      <c r="U74" s="36">
        <f>U$58*$C$40/Assumptions!$B$51</f>
        <v>60.868892201759785</v>
      </c>
      <c r="V74" s="36">
        <f>V$58*$C$40/Assumptions!$B$51</f>
        <v>60.868892201759785</v>
      </c>
      <c r="W74" s="36">
        <f>W$58*$C$40/Assumptions!$B$51</f>
        <v>60.868892201759785</v>
      </c>
      <c r="X74" s="36">
        <f>X$58*$C$40/Assumptions!$B$51</f>
        <v>60.868892201759785</v>
      </c>
      <c r="Y74" s="36">
        <f>Y$58*$C$40/Assumptions!$B$51</f>
        <v>60.868892201759785</v>
      </c>
      <c r="Z74" s="36">
        <f>Z$58*$C$40/Assumptions!$B$51</f>
        <v>60.868892201759785</v>
      </c>
      <c r="AA74" s="36">
        <f>AA$58*$C$40/Assumptions!$B$51</f>
        <v>60.868892201759785</v>
      </c>
      <c r="AB74" s="36">
        <f>AB$58*$C$40/Assumptions!$B$51</f>
        <v>60.868892201759785</v>
      </c>
      <c r="AC74" s="36">
        <f>AC$58*$C$40/Assumptions!$B$51</f>
        <v>60.868892201759785</v>
      </c>
    </row>
    <row r="75">
      <c r="A75" s="6" t="inlineStr">
        <is>
          <t>Tax, project basis</t>
        </is>
      </c>
      <c r="B75" s="2" t="inlineStr">
        <is>
          <t>₹ Cr</t>
        </is>
      </c>
      <c r="E75" s="36">
        <f>MAX(0,E$72-E$74-E$73)*Assumptions!$B$52</f>
        <v>5.286746385073247</v>
      </c>
      <c r="F75" s="36">
        <f>MAX(0,F$72-F$74-F$73)*Assumptions!$B$52</f>
        <v>4.642566034689485</v>
      </c>
      <c r="G75" s="36">
        <f>MAX(0,G$72-G$74-G$73)*Assumptions!$B$52</f>
        <v>9.030662105536917</v>
      </c>
      <c r="H75" s="36">
        <f>MAX(0,H$72-H$74-H$73)*Assumptions!$B$52</f>
        <v>8.38298289025246</v>
      </c>
      <c r="I75" s="36">
        <f>MAX(0,I$72-I$74-I$73)*Assumptions!$B$52</f>
        <v>7.7334751302521765</v>
      </c>
      <c r="J75" s="36">
        <f>MAX(0,J$72-J$74-J$73)*Assumptions!$B$52</f>
        <v>7.08208396919462</v>
      </c>
      <c r="K75" s="36">
        <f>MAX(0,K$72-K$74-K$73)*Assumptions!$B$52</f>
        <v>6.4287529050480074</v>
      </c>
      <c r="L75" s="36">
        <f>MAX(0,L$72-L$74-L$73)*Assumptions!$B$52</f>
        <v>5.77342374071972</v>
      </c>
      <c r="M75" s="36">
        <f>MAX(0,M$72-M$74-M$73)*Assumptions!$B$52</f>
        <v>5.116036533204291</v>
      </c>
      <c r="N75" s="36">
        <f>MAX(0,N$72-N$74-N$73)*Assumptions!$B$52</f>
        <v>4.456529541206083</v>
      </c>
      <c r="O75" s="36">
        <f>MAX(0,O$72-O$74-O$73)*Assumptions!$B$52</f>
        <v>3.7948391711906355</v>
      </c>
      <c r="P75" s="36">
        <f>MAX(0,P$72-P$74-P$73)*Assumptions!$B$52</f>
        <v>3.1308999218174614</v>
      </c>
      <c r="Q75" s="36">
        <f>MAX(0,Q$72-Q$74-Q$73)*Assumptions!$B$52</f>
        <v>2.4646443267057667</v>
      </c>
      <c r="R75" s="36">
        <f>MAX(0,R$72-R$74-R$73)*Assumptions!$B$52</f>
        <v>1.796002895483427</v>
      </c>
      <c r="S75" s="36">
        <f>MAX(0,S$72-S$74-S$73)*Assumptions!$B$52</f>
        <v>0.0</v>
      </c>
      <c r="T75" s="36">
        <f>MAX(0,T$72-T$74-T$73)*Assumptions!$B$52</f>
        <v>9.2521899484735</v>
      </c>
      <c r="U75" s="36">
        <f>MAX(0,U$72-U$74-U$73)*Assumptions!$B$52</f>
        <v>8.575952904991745</v>
      </c>
      <c r="V75" s="36">
        <f>MAX(0,V$72-V$74-V$73)*Assumptions!$B$52</f>
        <v>7.897030581948248</v>
      </c>
      <c r="W75" s="36">
        <f>MAX(0,W$72-W$74-W$73)*Assumptions!$B$52</f>
        <v>7.215342420956128</v>
      </c>
      <c r="X75" s="36">
        <f>MAX(0,X$72-X$74-X$73)*Assumptions!$B$52</f>
        <v>6.530805446876953</v>
      </c>
      <c r="Y75" s="36">
        <f>MAX(0,Y$72-Y$74-Y$73)*Assumptions!$B$52</f>
        <v>5.843334195318141</v>
      </c>
      <c r="Z75" s="36">
        <f>MAX(0,Z$72-Z$74-Z$73)*Assumptions!$B$52</f>
        <v>5.152840637955236</v>
      </c>
      <c r="AA75" s="36">
        <f>MAX(0,AA$72-AA$74-AA$73)*Assumptions!$B$52</f>
        <v>4.459234105614165</v>
      </c>
      <c r="AB75" s="36">
        <f>MAX(0,AB$72-AB$74-AB$73)*Assumptions!$B$52</f>
        <v>3.7624212090455664</v>
      </c>
      <c r="AC75" s="36">
        <f>MAX(0,AC$72-AC$74-AC$73)*Assumptions!$B$52</f>
        <v>3.062305757322599</v>
      </c>
    </row>
    <row r="76">
      <c r="A76" s="6" t="inlineStr">
        <is>
          <t>Project cash flow, pre-tax</t>
        </is>
      </c>
      <c r="B76" s="2" t="inlineStr">
        <is>
          <t>₹ Cr</t>
        </is>
      </c>
      <c r="D76" s="36">
        <f>-$C$40</f>
        <v>-1521.7223050439945</v>
      </c>
      <c r="E76" s="36">
        <f>E$72-E$73</f>
        <v>81.87304947261099</v>
      </c>
      <c r="F76" s="36">
        <f>F$72-F$73</f>
        <v>79.31373143374026</v>
      </c>
      <c r="G76" s="36">
        <f>G$72-G$73</f>
        <v>96.74756564449685</v>
      </c>
      <c r="H76" s="36">
        <f>H$72-H$73</f>
        <v>94.17434667236948</v>
      </c>
      <c r="I76" s="36">
        <f>I$72-I$73</f>
        <v>91.59386292187173</v>
      </c>
      <c r="J76" s="36">
        <f>J$72-J$73</f>
        <v>89.0058964496526</v>
      </c>
      <c r="K76" s="36">
        <f>K$72-K$73</f>
        <v>86.41022277406017</v>
      </c>
      <c r="L76" s="36">
        <f>L$72-L$73</f>
        <v>83.80661067899348</v>
      </c>
      <c r="M76" s="36">
        <f>M$72-M$73</f>
        <v>81.19482201186821</v>
      </c>
      <c r="N76" s="36">
        <f>N$72-N$73</f>
        <v>78.57461147552253</v>
      </c>
      <c r="O76" s="36">
        <f>O$72-O$73</f>
        <v>75.94572641387991</v>
      </c>
      <c r="P76" s="36">
        <f>P$72-P$73</f>
        <v>73.30790659118156</v>
      </c>
      <c r="Q76" s="36">
        <f>Q$72-Q$73</f>
        <v>70.66088396459557</v>
      </c>
      <c r="R76" s="36">
        <f>R$72-R$73</f>
        <v>68.00438245000542</v>
      </c>
      <c r="S76" s="36">
        <f>S$72-S$73</f>
        <v>-467.2646890846271</v>
      </c>
      <c r="T76" s="36">
        <f>T$72-T$73</f>
        <v>97.62769215596519</v>
      </c>
      <c r="U76" s="36">
        <f>U$72-U$73</f>
        <v>94.94101339759509</v>
      </c>
      <c r="V76" s="36">
        <f>V$72-V$73</f>
        <v>92.24366606726733</v>
      </c>
      <c r="W76" s="36">
        <f>W$72-W$73</f>
        <v>89.53533010782307</v>
      </c>
      <c r="X76" s="36">
        <f>X$72-X$73</f>
        <v>86.81567586038892</v>
      </c>
      <c r="Y76" s="36">
        <f>Y$72-Y$73</f>
        <v>84.0843637763253</v>
      </c>
      <c r="Z76" s="36">
        <f>Z$72-Z$73</f>
        <v>81.34104412053307</v>
      </c>
      <c r="AA76" s="36">
        <f>AA$72-AA$73</f>
        <v>78.58535666586056</v>
      </c>
      <c r="AB76" s="36">
        <f>AB$72-AB$73</f>
        <v>75.8169303783413</v>
      </c>
      <c r="AC76" s="36">
        <f>AC$72-AC$73</f>
        <v>73.03538309298982</v>
      </c>
    </row>
    <row r="77">
      <c r="A77" s="5" t="inlineStr">
        <is>
          <t>Project cash flow, post-tax</t>
        </is>
      </c>
      <c r="B77" s="2" t="inlineStr">
        <is>
          <t>₹ Cr</t>
        </is>
      </c>
      <c r="D77" s="47">
        <f>-$C$40</f>
        <v>-1521.7223050439945</v>
      </c>
      <c r="E77" s="47">
        <f>E$72-E$73-E$75</f>
        <v>76.58630308753774</v>
      </c>
      <c r="F77" s="47">
        <f>F$72-F$73-F$75</f>
        <v>74.67116539905078</v>
      </c>
      <c r="G77" s="47">
        <f>G$72-G$73-G$75</f>
        <v>87.71690353895993</v>
      </c>
      <c r="H77" s="47">
        <f>H$72-H$73-H$75</f>
        <v>85.79136378211702</v>
      </c>
      <c r="I77" s="47">
        <f>I$72-I$73-I$75</f>
        <v>83.86038779161956</v>
      </c>
      <c r="J77" s="47">
        <f>J$72-J$73-J$75</f>
        <v>81.92381248045798</v>
      </c>
      <c r="K77" s="47">
        <f>K$72-K$73-K$75</f>
        <v>79.98146986901216</v>
      </c>
      <c r="L77" s="47">
        <f>L$72-L$73-L$75</f>
        <v>78.03318693827376</v>
      </c>
      <c r="M77" s="47">
        <f>M$72-M$73-M$75</f>
        <v>76.07878547866392</v>
      </c>
      <c r="N77" s="47">
        <f>N$72-N$73-N$75</f>
        <v>74.11808193431645</v>
      </c>
      <c r="O77" s="47">
        <f>O$72-O$73-O$75</f>
        <v>72.15088724268928</v>
      </c>
      <c r="P77" s="47">
        <f>P$72-P$73-P$75</f>
        <v>70.1770066693641</v>
      </c>
      <c r="Q77" s="47">
        <f>Q$72-Q$73-Q$75</f>
        <v>68.1962396378898</v>
      </c>
      <c r="R77" s="47">
        <f>R$72-R$73-R$75</f>
        <v>66.208379554522</v>
      </c>
      <c r="S77" s="47">
        <f>S$72-S$73-S$75</f>
        <v>-467.2646890846271</v>
      </c>
      <c r="T77" s="47">
        <f>T$72-T$73-T$75</f>
        <v>88.37550220749169</v>
      </c>
      <c r="U77" s="47">
        <f>U$72-U$73-U$75</f>
        <v>86.36506049260333</v>
      </c>
      <c r="V77" s="47">
        <f>V$72-V$73-V$75</f>
        <v>84.34663548531908</v>
      </c>
      <c r="W77" s="47">
        <f>W$72-W$73-W$75</f>
        <v>82.31998768686694</v>
      </c>
      <c r="X77" s="47">
        <f>X$72-X$73-X$75</f>
        <v>80.28487041351197</v>
      </c>
      <c r="Y77" s="47">
        <f>Y$72-Y$73-Y$75</f>
        <v>78.24102958100717</v>
      </c>
      <c r="Z77" s="47">
        <f>Z$72-Z$73-Z$75</f>
        <v>76.18820348257783</v>
      </c>
      <c r="AA77" s="47">
        <f>AA$72-AA$73-AA$75</f>
        <v>74.12612256024639</v>
      </c>
      <c r="AB77" s="47">
        <f>AB$72-AB$73-AB$75</f>
        <v>72.05450916929573</v>
      </c>
      <c r="AC77" s="47">
        <f>AC$72-AC$73-AC$75</f>
        <v>69.97307733566721</v>
      </c>
    </row>
    <row r="78">
      <c r="A78" s="6" t="inlineStr">
        <is>
          <t>Debt opening balance</t>
        </is>
      </c>
      <c r="B78" s="2" t="inlineStr">
        <is>
          <t>₹ Cr</t>
        </is>
      </c>
      <c r="E78" s="36">
        <f>$C$43</f>
        <v>1065.2056135307962</v>
      </c>
      <c r="F78" s="36">
        <f>E$81</f>
        <v>994.1919059620765</v>
      </c>
      <c r="G78" s="36">
        <f>F$81</f>
        <v>923.1781983933568</v>
      </c>
      <c r="H78" s="36">
        <f>G$81</f>
        <v>852.164490824637</v>
      </c>
      <c r="I78" s="36">
        <f>H$81</f>
        <v>781.1507832559173</v>
      </c>
      <c r="J78" s="36">
        <f>I$81</f>
        <v>710.1370756871976</v>
      </c>
      <c r="K78" s="36">
        <f>J$81</f>
        <v>639.1233681184779</v>
      </c>
      <c r="L78" s="36">
        <f>K$81</f>
        <v>568.1096605497581</v>
      </c>
      <c r="M78" s="36">
        <f>L$81</f>
        <v>497.0959529810384</v>
      </c>
      <c r="N78" s="36">
        <f>M$81</f>
        <v>426.0822454123187</v>
      </c>
      <c r="O78" s="36">
        <f>N$81</f>
        <v>355.06853784359896</v>
      </c>
      <c r="P78" s="36">
        <f>O$81</f>
        <v>284.05483027487924</v>
      </c>
      <c r="Q78" s="36">
        <f>P$81</f>
        <v>213.04112270615948</v>
      </c>
      <c r="R78" s="36">
        <f>Q$81</f>
        <v>142.02741513743973</v>
      </c>
      <c r="S78" s="36">
        <f>R$81</f>
        <v>71.01370756871998</v>
      </c>
      <c r="T78" s="36">
        <f>S$81</f>
        <v>2.2737367544323206e-13</v>
      </c>
      <c r="U78" s="36">
        <f>T$81</f>
        <v>2.2737367544323206e-13</v>
      </c>
      <c r="V78" s="36">
        <f>U$81</f>
        <v>2.2737367544323206e-13</v>
      </c>
      <c r="W78" s="36">
        <f>V$81</f>
        <v>2.2737367544323206e-13</v>
      </c>
      <c r="X78" s="36">
        <f>W$81</f>
        <v>2.2737367544323206e-13</v>
      </c>
      <c r="Y78" s="36">
        <f>X$81</f>
        <v>2.2737367544323206e-13</v>
      </c>
      <c r="Z78" s="36">
        <f>Y$81</f>
        <v>2.2737367544323206e-13</v>
      </c>
      <c r="AA78" s="36">
        <f>Z$81</f>
        <v>2.2737367544323206e-13</v>
      </c>
      <c r="AB78" s="36">
        <f>AA$81</f>
        <v>2.2737367544323206e-13</v>
      </c>
      <c r="AC78" s="36">
        <f>AB$81</f>
        <v>2.2737367544323206e-13</v>
      </c>
    </row>
    <row r="79">
      <c r="A79" s="6" t="inlineStr">
        <is>
          <t>Interest</t>
        </is>
      </c>
      <c r="B79" s="2" t="inlineStr">
        <is>
          <t>₹ Cr</t>
        </is>
      </c>
      <c r="E79" s="36">
        <f>E$78*Assumptions!$B$59</f>
        <v>101.19453328542563</v>
      </c>
      <c r="F79" s="36">
        <f>F$78*Assumptions!$B$59</f>
        <v>94.44823106639727</v>
      </c>
      <c r="G79" s="36">
        <f>G$78*Assumptions!$B$59</f>
        <v>87.70192884736889</v>
      </c>
      <c r="H79" s="36">
        <f>H$78*Assumptions!$B$59</f>
        <v>80.95562662834053</v>
      </c>
      <c r="I79" s="36">
        <f>I$78*Assumptions!$B$59</f>
        <v>74.20932440931215</v>
      </c>
      <c r="J79" s="36">
        <f>J$78*Assumptions!$B$59</f>
        <v>67.46302219028377</v>
      </c>
      <c r="K79" s="36">
        <f>K$78*Assumptions!$B$59</f>
        <v>60.716719971255394</v>
      </c>
      <c r="L79" s="36">
        <f>L$78*Assumptions!$B$59</f>
        <v>53.97041775222702</v>
      </c>
      <c r="M79" s="36">
        <f>M$78*Assumptions!$B$59</f>
        <v>47.22411553319865</v>
      </c>
      <c r="N79" s="36">
        <f>N$78*Assumptions!$B$59</f>
        <v>40.47781331417028</v>
      </c>
      <c r="O79" s="36">
        <f>O$78*Assumptions!$B$59</f>
        <v>33.731511095141904</v>
      </c>
      <c r="P79" s="36">
        <f>P$78*Assumptions!$B$59</f>
        <v>26.98520887611353</v>
      </c>
      <c r="Q79" s="36">
        <f>Q$78*Assumptions!$B$59</f>
        <v>20.238906657085153</v>
      </c>
      <c r="R79" s="36">
        <f>R$78*Assumptions!$B$59</f>
        <v>13.492604438056775</v>
      </c>
      <c r="S79" s="36">
        <f>S$78*Assumptions!$B$59</f>
        <v>6.746302219028398</v>
      </c>
      <c r="T79" s="36">
        <f>T$78*Assumptions!$B$59</f>
        <v>2.1600499167107046e-14</v>
      </c>
      <c r="U79" s="36">
        <f>U$78*Assumptions!$B$59</f>
        <v>2.1600499167107046e-14</v>
      </c>
      <c r="V79" s="36">
        <f>V$78*Assumptions!$B$59</f>
        <v>2.1600499167107046e-14</v>
      </c>
      <c r="W79" s="36">
        <f>W$78*Assumptions!$B$59</f>
        <v>2.1600499167107046e-14</v>
      </c>
      <c r="X79" s="36">
        <f>X$78*Assumptions!$B$59</f>
        <v>2.1600499167107046e-14</v>
      </c>
      <c r="Y79" s="36">
        <f>Y$78*Assumptions!$B$59</f>
        <v>2.1600499167107046e-14</v>
      </c>
      <c r="Z79" s="36">
        <f>Z$78*Assumptions!$B$59</f>
        <v>2.1600499167107046e-14</v>
      </c>
      <c r="AA79" s="36">
        <f>AA$78*Assumptions!$B$59</f>
        <v>2.1600499167107046e-14</v>
      </c>
      <c r="AB79" s="36">
        <f>AB$78*Assumptions!$B$59</f>
        <v>2.1600499167107046e-14</v>
      </c>
      <c r="AC79" s="36">
        <f>AC$78*Assumptions!$B$59</f>
        <v>2.1600499167107046e-14</v>
      </c>
    </row>
    <row r="80">
      <c r="A80" s="6" t="inlineStr">
        <is>
          <t>Principal repayment</t>
        </is>
      </c>
      <c r="B80" s="2" t="inlineStr">
        <is>
          <t>₹ Cr</t>
        </is>
      </c>
      <c r="E80" s="36">
        <f>IF(E$57&lt;=Assumptions!$B$60,MIN(E$78,$C$45),0)</f>
        <v>71.01370756871975</v>
      </c>
      <c r="F80" s="36">
        <f>IF(F$57&lt;=Assumptions!$B$60,MIN(F$78,$C$45),0)</f>
        <v>71.01370756871975</v>
      </c>
      <c r="G80" s="36">
        <f>IF(G$57&lt;=Assumptions!$B$60,MIN(G$78,$C$45),0)</f>
        <v>71.01370756871975</v>
      </c>
      <c r="H80" s="36">
        <f>IF(H$57&lt;=Assumptions!$B$60,MIN(H$78,$C$45),0)</f>
        <v>71.01370756871975</v>
      </c>
      <c r="I80" s="36">
        <f>IF(I$57&lt;=Assumptions!$B$60,MIN(I$78,$C$45),0)</f>
        <v>71.01370756871975</v>
      </c>
      <c r="J80" s="36">
        <f>IF(J$57&lt;=Assumptions!$B$60,MIN(J$78,$C$45),0)</f>
        <v>71.01370756871975</v>
      </c>
      <c r="K80" s="36">
        <f>IF(K$57&lt;=Assumptions!$B$60,MIN(K$78,$C$45),0)</f>
        <v>71.01370756871975</v>
      </c>
      <c r="L80" s="36">
        <f>IF(L$57&lt;=Assumptions!$B$60,MIN(L$78,$C$45),0)</f>
        <v>71.01370756871975</v>
      </c>
      <c r="M80" s="36">
        <f>IF(M$57&lt;=Assumptions!$B$60,MIN(M$78,$C$45),0)</f>
        <v>71.01370756871975</v>
      </c>
      <c r="N80" s="36">
        <f>IF(N$57&lt;=Assumptions!$B$60,MIN(N$78,$C$45),0)</f>
        <v>71.01370756871975</v>
      </c>
      <c r="O80" s="36">
        <f>IF(O$57&lt;=Assumptions!$B$60,MIN(O$78,$C$45),0)</f>
        <v>71.01370756871975</v>
      </c>
      <c r="P80" s="36">
        <f>IF(P$57&lt;=Assumptions!$B$60,MIN(P$78,$C$45),0)</f>
        <v>71.01370756871975</v>
      </c>
      <c r="Q80" s="36">
        <f>IF(Q$57&lt;=Assumptions!$B$60,MIN(Q$78,$C$45),0)</f>
        <v>71.01370756871975</v>
      </c>
      <c r="R80" s="36">
        <f>IF(R$57&lt;=Assumptions!$B$60,MIN(R$78,$C$45),0)</f>
        <v>71.01370756871975</v>
      </c>
      <c r="S80" s="36">
        <f>IF(S$57&lt;=Assumptions!$B$60,MIN(S$78,$C$45),0)</f>
        <v>71.01370756871975</v>
      </c>
      <c r="T80" s="36">
        <f>IF(T$57&lt;=Assumptions!$B$60,MIN(T$78,$C$45),0)</f>
        <v>0.0</v>
      </c>
      <c r="U80" s="36">
        <f>IF(U$57&lt;=Assumptions!$B$60,MIN(U$78,$C$45),0)</f>
        <v>0.0</v>
      </c>
      <c r="V80" s="36">
        <f>IF(V$57&lt;=Assumptions!$B$60,MIN(V$78,$C$45),0)</f>
        <v>0.0</v>
      </c>
      <c r="W80" s="36">
        <f>IF(W$57&lt;=Assumptions!$B$60,MIN(W$78,$C$45),0)</f>
        <v>0.0</v>
      </c>
      <c r="X80" s="36">
        <f>IF(X$57&lt;=Assumptions!$B$60,MIN(X$78,$C$45),0)</f>
        <v>0.0</v>
      </c>
      <c r="Y80" s="36">
        <f>IF(Y$57&lt;=Assumptions!$B$60,MIN(Y$78,$C$45),0)</f>
        <v>0.0</v>
      </c>
      <c r="Z80" s="36">
        <f>IF(Z$57&lt;=Assumptions!$B$60,MIN(Z$78,$C$45),0)</f>
        <v>0.0</v>
      </c>
      <c r="AA80" s="36">
        <f>IF(AA$57&lt;=Assumptions!$B$60,MIN(AA$78,$C$45),0)</f>
        <v>0.0</v>
      </c>
      <c r="AB80" s="36">
        <f>IF(AB$57&lt;=Assumptions!$B$60,MIN(AB$78,$C$45),0)</f>
        <v>0.0</v>
      </c>
      <c r="AC80" s="36">
        <f>IF(AC$57&lt;=Assumptions!$B$60,MIN(AC$78,$C$45),0)</f>
        <v>0.0</v>
      </c>
    </row>
    <row r="81">
      <c r="A81" s="6" t="inlineStr">
        <is>
          <t>Debt closing balance</t>
        </is>
      </c>
      <c r="B81" s="2" t="inlineStr">
        <is>
          <t>₹ Cr</t>
        </is>
      </c>
      <c r="E81" s="36">
        <f>E$78-E$80</f>
        <v>994.1919059620765</v>
      </c>
      <c r="F81" s="36">
        <f>F$78-F$80</f>
        <v>923.1781983933568</v>
      </c>
      <c r="G81" s="36">
        <f>G$78-G$80</f>
        <v>852.164490824637</v>
      </c>
      <c r="H81" s="36">
        <f>H$78-H$80</f>
        <v>781.1507832559173</v>
      </c>
      <c r="I81" s="36">
        <f>I$78-I$80</f>
        <v>710.1370756871976</v>
      </c>
      <c r="J81" s="36">
        <f>J$78-J$80</f>
        <v>639.1233681184779</v>
      </c>
      <c r="K81" s="36">
        <f>K$78-K$80</f>
        <v>568.1096605497581</v>
      </c>
      <c r="L81" s="36">
        <f>L$78-L$80</f>
        <v>497.0959529810384</v>
      </c>
      <c r="M81" s="36">
        <f>M$78-M$80</f>
        <v>426.0822454123187</v>
      </c>
      <c r="N81" s="36">
        <f>N$78-N$80</f>
        <v>355.06853784359896</v>
      </c>
      <c r="O81" s="36">
        <f>O$78-O$80</f>
        <v>284.05483027487924</v>
      </c>
      <c r="P81" s="36">
        <f>P$78-P$80</f>
        <v>213.04112270615948</v>
      </c>
      <c r="Q81" s="36">
        <f>Q$78-Q$80</f>
        <v>142.02741513743973</v>
      </c>
      <c r="R81" s="36">
        <f>R$78-R$80</f>
        <v>71.01370756871998</v>
      </c>
      <c r="S81" s="36">
        <f>S$78-S$80</f>
        <v>2.2737367544323206e-13</v>
      </c>
      <c r="T81" s="36">
        <f>T$78-T$80</f>
        <v>2.2737367544323206e-13</v>
      </c>
      <c r="U81" s="36">
        <f>U$78-U$80</f>
        <v>2.2737367544323206e-13</v>
      </c>
      <c r="V81" s="36">
        <f>V$78-V$80</f>
        <v>2.2737367544323206e-13</v>
      </c>
      <c r="W81" s="36">
        <f>W$78-W$80</f>
        <v>2.2737367544323206e-13</v>
      </c>
      <c r="X81" s="36">
        <f>X$78-X$80</f>
        <v>2.2737367544323206e-13</v>
      </c>
      <c r="Y81" s="36">
        <f>Y$78-Y$80</f>
        <v>2.2737367544323206e-13</v>
      </c>
      <c r="Z81" s="36">
        <f>Z$78-Z$80</f>
        <v>2.2737367544323206e-13</v>
      </c>
      <c r="AA81" s="36">
        <f>AA$78-AA$80</f>
        <v>2.2737367544323206e-13</v>
      </c>
      <c r="AB81" s="36">
        <f>AB$78-AB$80</f>
        <v>2.2737367544323206e-13</v>
      </c>
      <c r="AC81" s="36">
        <f>AC$78-AC$80</f>
        <v>2.2737367544323206e-13</v>
      </c>
    </row>
    <row r="82">
      <c r="A82" s="6" t="inlineStr">
        <is>
          <t>Tax, after interest</t>
        </is>
      </c>
      <c r="B82" s="2" t="inlineStr">
        <is>
          <t>₹ Cr</t>
        </is>
      </c>
      <c r="E82" s="36">
        <f>MAX(0,E$72-E$74-E$73-E$79)*Assumptions!$B$52</f>
        <v>0.0</v>
      </c>
      <c r="F82" s="36">
        <f>MAX(0,F$72-F$74-F$73-F$79)*Assumptions!$B$52</f>
        <v>0.0</v>
      </c>
      <c r="G82" s="36">
        <f>MAX(0,G$72-G$74-G$73-G$79)*Assumptions!$B$52</f>
        <v>0.0</v>
      </c>
      <c r="H82" s="36">
        <f>MAX(0,H$72-H$74-H$73-H$79)*Assumptions!$B$52</f>
        <v>0.0</v>
      </c>
      <c r="I82" s="36">
        <f>MAX(0,I$72-I$74-I$73-I$79)*Assumptions!$B$52</f>
        <v>0.0</v>
      </c>
      <c r="J82" s="36">
        <f>MAX(0,J$72-J$74-J$73-J$79)*Assumptions!$B$52</f>
        <v>0.0</v>
      </c>
      <c r="K82" s="36">
        <f>MAX(0,K$72-K$74-K$73-K$79)*Assumptions!$B$52</f>
        <v>0.0</v>
      </c>
      <c r="L82" s="36">
        <f>MAX(0,L$72-L$74-L$73-L$79)*Assumptions!$B$52</f>
        <v>0.0</v>
      </c>
      <c r="M82" s="36">
        <f>MAX(0,M$72-M$74-M$73-M$79)*Assumptions!$B$52</f>
        <v>0.0</v>
      </c>
      <c r="N82" s="36">
        <f>MAX(0,N$72-N$74-N$73-N$79)*Assumptions!$B$52</f>
        <v>0.0</v>
      </c>
      <c r="O82" s="36">
        <f>MAX(0,O$72-O$74-O$73-O$79)*Assumptions!$B$52</f>
        <v>0.0</v>
      </c>
      <c r="P82" s="36">
        <f>MAX(0,P$72-P$74-P$73-P$79)*Assumptions!$B$52</f>
        <v>0.0</v>
      </c>
      <c r="Q82" s="36">
        <f>MAX(0,Q$72-Q$74-Q$73-Q$79)*Assumptions!$B$52</f>
        <v>0.0</v>
      </c>
      <c r="R82" s="36">
        <f>MAX(0,R$72-R$74-R$73-R$79)*Assumptions!$B$52</f>
        <v>0.0</v>
      </c>
      <c r="S82" s="36">
        <f>MAX(0,S$72-S$74-S$73-S$79)*Assumptions!$B$52</f>
        <v>0.0</v>
      </c>
      <c r="T82" s="36">
        <f>MAX(0,T$72-T$74-T$73-T$79)*Assumptions!$B$52</f>
        <v>9.252189948473495</v>
      </c>
      <c r="U82" s="36">
        <f>MAX(0,U$72-U$74-U$73-U$79)*Assumptions!$B$52</f>
        <v>8.57595290499174</v>
      </c>
      <c r="V82" s="36">
        <f>MAX(0,V$72-V$74-V$73-V$79)*Assumptions!$B$52</f>
        <v>7.8970305819482425</v>
      </c>
      <c r="W82" s="36">
        <f>MAX(0,W$72-W$74-W$73-W$79)*Assumptions!$B$52</f>
        <v>7.215342420956123</v>
      </c>
      <c r="X82" s="36">
        <f>MAX(0,X$72-X$74-X$73-X$79)*Assumptions!$B$52</f>
        <v>6.530805446876948</v>
      </c>
      <c r="Y82" s="36">
        <f>MAX(0,Y$72-Y$74-Y$73-Y$79)*Assumptions!$B$52</f>
        <v>5.8433341953181355</v>
      </c>
      <c r="Z82" s="36">
        <f>MAX(0,Z$72-Z$74-Z$73-Z$79)*Assumptions!$B$52</f>
        <v>5.15284063795523</v>
      </c>
      <c r="AA82" s="36">
        <f>MAX(0,AA$72-AA$74-AA$73-AA$79)*Assumptions!$B$52</f>
        <v>4.459234105614159</v>
      </c>
      <c r="AB82" s="36">
        <f>MAX(0,AB$72-AB$74-AB$73-AB$79)*Assumptions!$B$52</f>
        <v>3.762421209045561</v>
      </c>
      <c r="AC82" s="36">
        <f>MAX(0,AC$72-AC$74-AC$73-AC$79)*Assumptions!$B$52</f>
        <v>3.062305757322594</v>
      </c>
    </row>
    <row r="83">
      <c r="A83" s="5" t="inlineStr">
        <is>
          <t>Equity cash flow</t>
        </is>
      </c>
      <c r="B83" s="2" t="inlineStr">
        <is>
          <t>₹ Cr</t>
        </is>
      </c>
      <c r="D83" s="47">
        <f>-$C$44</f>
        <v>-456.51669151319834</v>
      </c>
      <c r="E83" s="47">
        <f>E$72-E$73-E$82-E$79-E$80</f>
        <v>-90.3351913815344</v>
      </c>
      <c r="F83" s="47">
        <f>F$72-F$73-F$82-F$79-F$80</f>
        <v>-86.14820720137676</v>
      </c>
      <c r="G83" s="47">
        <f>G$72-G$73-G$82-G$79-G$80</f>
        <v>-61.9680707715918</v>
      </c>
      <c r="H83" s="47">
        <f>H$72-H$73-H$82-H$79-H$80</f>
        <v>-57.7949875246908</v>
      </c>
      <c r="I83" s="47">
        <f>I$72-I$73-I$82-I$79-I$80</f>
        <v>-53.629169056160165</v>
      </c>
      <c r="J83" s="47">
        <f>J$72-J$73-J$82-J$79-J$80</f>
        <v>-49.47083330935092</v>
      </c>
      <c r="K83" s="47">
        <f>K$72-K$73-K$82-K$79-K$80</f>
        <v>-45.32020476591497</v>
      </c>
      <c r="L83" s="47">
        <f>L$72-L$73-L$82-L$79-L$80</f>
        <v>-41.177514641953294</v>
      </c>
      <c r="M83" s="47">
        <f>M$72-M$73-M$82-M$79-M$80</f>
        <v>-37.04300109005019</v>
      </c>
      <c r="N83" s="47">
        <f>N$72-N$73-N$82-N$79-N$80</f>
        <v>-32.9169094073675</v>
      </c>
      <c r="O83" s="47">
        <f>O$72-O$73-O$82-O$79-O$80</f>
        <v>-28.799492249981746</v>
      </c>
      <c r="P83" s="47">
        <f>P$72-P$73-P$82-P$79-P$80</f>
        <v>-24.69100985365172</v>
      </c>
      <c r="Q83" s="47">
        <f>Q$72-Q$73-Q$82-Q$79-Q$80</f>
        <v>-20.591730261209335</v>
      </c>
      <c r="R83" s="47">
        <f>R$72-R$73-R$82-R$79-R$80</f>
        <v>-16.501929556771103</v>
      </c>
      <c r="S83" s="47">
        <f>S$72-S$73-S$82-S$79-S$80</f>
        <v>-545.0246988723752</v>
      </c>
      <c r="T83" s="47">
        <f>T$72-T$73-T$82-T$79-T$80</f>
        <v>88.37550220749166</v>
      </c>
      <c r="U83" s="47">
        <f>U$72-U$73-U$82-U$79-U$80</f>
        <v>86.36506049260332</v>
      </c>
      <c r="V83" s="47">
        <f>V$72-V$73-V$82-V$79-V$80</f>
        <v>84.34663548531906</v>
      </c>
      <c r="W83" s="47">
        <f>W$72-W$73-W$82-W$79-W$80</f>
        <v>82.31998768686692</v>
      </c>
      <c r="X83" s="47">
        <f>X$72-X$73-X$82-X$79-X$80</f>
        <v>80.28487041351194</v>
      </c>
      <c r="Y83" s="47">
        <f>Y$72-Y$73-Y$82-Y$79-Y$80</f>
        <v>78.24102958100714</v>
      </c>
      <c r="Z83" s="47">
        <f>Z$72-Z$73-Z$82-Z$79-Z$80</f>
        <v>76.1882034825778</v>
      </c>
      <c r="AA83" s="47">
        <f>AA$72-AA$73-AA$82-AA$79-AA$80</f>
        <v>74.12612256024637</v>
      </c>
      <c r="AB83" s="47">
        <f>AB$72-AB$73-AB$82-AB$79-AB$80</f>
        <v>72.05450916929571</v>
      </c>
      <c r="AC83" s="47">
        <f>AC$72-AC$73-AC$82-AC$79-AC$80</f>
        <v>69.9730773356672</v>
      </c>
    </row>
    <row r="84">
      <c r="A84" s="6" t="inlineStr">
        <is>
          <t>DSCR (excl. replacement and equity-funded cost)</t>
        </is>
      </c>
      <c r="B84" s="2" t="inlineStr">
        <is>
          <t>x</t>
        </is>
      </c>
      <c r="E84" s="48">
        <f>IF(E$79+E$80&gt;0,(E$72+E$71-E$82)/(E$79+E$80),"")</f>
        <v>0.5915689572538753</v>
      </c>
      <c r="F84" s="48">
        <f>IF(F$79+F$80&gt;0,(F$72+F$71-F$82)/(F$79+F$80),"")</f>
        <v>0.6002210070362508</v>
      </c>
      <c r="G84" s="48">
        <f>IF(G$79+G$80&gt;0,(G$72+G$71-G$82)/(G$79+G$80),"")</f>
        <v>0.6095654330545202</v>
      </c>
      <c r="H84" s="48">
        <f>IF(H$79+H$80&gt;0,(H$72+H$71-H$82)/(H$79+H$80),"")</f>
        <v>0.6196930924909666</v>
      </c>
      <c r="I84" s="48">
        <f>IF(I$79+I$80&gt;0,(I$72+I$71-I$82)/(I$79+I$80),"")</f>
        <v>0.630711683087069</v>
      </c>
      <c r="J84" s="48">
        <f>IF(J$79+J$80&gt;0,(J$72+J$71-J$82)/(J$79+J$80),"")</f>
        <v>0.6427498439958327</v>
      </c>
      <c r="K84" s="48">
        <f>IF(K$79+K$80&gt;0,(K$72+K$71-K$82)/(K$79+K$80),"")</f>
        <v>0.6559625166921892</v>
      </c>
      <c r="L84" s="48">
        <f>IF(L$79+L$80&gt;0,(L$72+L$71-L$82)/(L$79+L$80),"")</f>
        <v>0.6705380420416309</v>
      </c>
      <c r="M84" s="48">
        <f>IF(M$79+M$80&gt;0,(M$72+M$71-M$82)/(M$79+M$80),"")</f>
        <v>0.686707686946165</v>
      </c>
      <c r="N84" s="48">
        <f>IF(N$79+N$80&gt;0,(N$72+N$71-N$82)/(N$79+N$80),"")</f>
        <v>0.704758629654508</v>
      </c>
      <c r="O84" s="48">
        <f>IF(O$79+O$80&gt;0,(O$72+O$71-O$82)/(O$79+O$80),"")</f>
        <v>0.725051963064755</v>
      </c>
      <c r="P84" s="48">
        <f>IF(P$79+P$80&gt;0,(P$72+P$71-P$82)/(P$79+P$80),"")</f>
        <v>0.748048134108186</v>
      </c>
      <c r="Q84" s="48">
        <f>IF(Q$79+Q$80&gt;0,(Q$72+Q$71-Q$82)/(Q$79+Q$80),"")</f>
        <v>0.774343667456419</v>
      </c>
      <c r="R84" s="48">
        <f>IF(R$79+R$80&gt;0,(R$72+R$71-R$82)/(R$79+R$80),"")</f>
        <v>0.8047254794949776</v>
      </c>
      <c r="S84" s="48">
        <f>IF(S$79+S$80&gt;0,(S$72+S$71-S$82)/(S$79+S$80),"")</f>
        <v>0.8402534652338183</v>
      </c>
      <c r="T84" s="48">
        <f>IF(T$79+T$80&gt;0,(T$72+T$71-T$82)/(T$79+T$80),"")</f>
        <v>4091363885797081.0</v>
      </c>
      <c r="U84" s="48">
        <f>IF(U$79+U$80&gt;0,(U$72+U$71-U$82)/(U$79+U$80),"")</f>
        <v>3998290031376632.0</v>
      </c>
      <c r="V84" s="48">
        <f>IF(V$79+V$80&gt;0,(V$72+V$71-V$82)/(V$79+V$80),"")</f>
        <v>3904846588627036.0</v>
      </c>
      <c r="W84" s="48">
        <f>IF(W$79+W$80&gt;0,(W$72+W$71-W$82)/(W$79+W$80),"")</f>
        <v>3811022469898415.0</v>
      </c>
      <c r="X84" s="48">
        <f>IF(X$79+X$80&gt;0,(X$72+X$71-X$82)/(X$79+X$80),"")</f>
        <v>3716806254911400.5</v>
      </c>
      <c r="Y84" s="48">
        <f>IF(Y$79+Y$80&gt;0,(Y$72+Y$71-Y$82)/(Y$79+Y$80),"")</f>
        <v>3622186180778246.5</v>
      </c>
      <c r="Z84" s="48">
        <f>IF(Z$79+Z$80&gt;0,(Z$72+Z$71-Z$82)/(Z$79+Z$80),"")</f>
        <v>3527150131724558.5</v>
      </c>
      <c r="AA84" s="48">
        <f>IF(AA$79+AA$80&gt;0,(AA$72+AA$71-AA$82)/(AA$79+AA$80),"")</f>
        <v>3431685628502728.0</v>
      </c>
      <c r="AB84" s="48">
        <f>IF(AB$79+AB$80&gt;0,(AB$72+AB$71-AB$82)/(AB$79+AB$80),"")</f>
        <v>3335779817487708.5</v>
      </c>
      <c r="AC84" s="48">
        <f>IF(AC$79+AC$80&gt;0,(AC$72+AC$71-AC$82)/(AC$79+AC$80),"")</f>
        <v>3239419459445701.5</v>
      </c>
    </row>
    <row r="85">
      <c r="A85" s="6" t="inlineStr">
        <is>
          <t>Cumulative post-tax cash flow</t>
        </is>
      </c>
      <c r="B85" s="2" t="inlineStr">
        <is>
          <t>₹ Cr</t>
        </is>
      </c>
      <c r="D85" s="36">
        <f>D$77</f>
        <v>-1521.7223050439945</v>
      </c>
      <c r="E85" s="36">
        <f>D$85+E$77</f>
        <v>-1445.1360019564568</v>
      </c>
      <c r="F85" s="36">
        <f>E$85+F$77</f>
        <v>-1370.464836557406</v>
      </c>
      <c r="G85" s="36">
        <f>F$85+G$77</f>
        <v>-1282.747933018446</v>
      </c>
      <c r="H85" s="36">
        <f>G$85+H$77</f>
        <v>-1196.956569236329</v>
      </c>
      <c r="I85" s="36">
        <f>H$85+I$77</f>
        <v>-1113.0961814447094</v>
      </c>
      <c r="J85" s="36">
        <f>I$85+J$77</f>
        <v>-1031.1723689642513</v>
      </c>
      <c r="K85" s="36">
        <f>J$85+K$77</f>
        <v>-951.1908990952392</v>
      </c>
      <c r="L85" s="36">
        <f>K$85+L$77</f>
        <v>-873.1577121569654</v>
      </c>
      <c r="M85" s="36">
        <f>L$85+M$77</f>
        <v>-797.0789266783015</v>
      </c>
      <c r="N85" s="36">
        <f>M$85+N$77</f>
        <v>-722.960844743985</v>
      </c>
      <c r="O85" s="36">
        <f>N$85+O$77</f>
        <v>-650.8099575012958</v>
      </c>
      <c r="P85" s="36">
        <f>O$85+P$77</f>
        <v>-580.6329508319317</v>
      </c>
      <c r="Q85" s="36">
        <f>P$85+Q$77</f>
        <v>-512.4367111940419</v>
      </c>
      <c r="R85" s="36">
        <f>Q$85+R$77</f>
        <v>-446.22833163951987</v>
      </c>
      <c r="S85" s="36">
        <f>R$85+S$77</f>
        <v>-913.493020724147</v>
      </c>
      <c r="T85" s="36">
        <f>S$85+T$77</f>
        <v>-825.1175185166553</v>
      </c>
      <c r="U85" s="36">
        <f>T$85+U$77</f>
        <v>-738.752458024052</v>
      </c>
      <c r="V85" s="36">
        <f>U$85+V$77</f>
        <v>-654.4058225387329</v>
      </c>
      <c r="W85" s="36">
        <f>V$85+W$77</f>
        <v>-572.0858348518659</v>
      </c>
      <c r="X85" s="36">
        <f>W$85+X$77</f>
        <v>-491.80096443835396</v>
      </c>
      <c r="Y85" s="36">
        <f>X$85+Y$77</f>
        <v>-413.5599348573468</v>
      </c>
      <c r="Z85" s="36">
        <f>Y$85+Z$77</f>
        <v>-337.37173137476896</v>
      </c>
      <c r="AA85" s="36">
        <f>Z$85+AA$77</f>
        <v>-263.2456088145226</v>
      </c>
      <c r="AB85" s="36">
        <f>AA$85+AB$77</f>
        <v>-191.19109964522687</v>
      </c>
      <c r="AC85" s="36">
        <f>AB$85+AC$77</f>
        <v>-121.21802230955966</v>
      </c>
    </row>
    <row r="86">
      <c r="A86" s="6" t="inlineStr">
        <is>
          <t>Payback helper</t>
        </is>
      </c>
      <c r="B86" s="2" t="inlineStr">
        <is>
          <t>years</t>
        </is>
      </c>
      <c r="E86" s="49">
        <f>IF(AND(D$85&lt;0,E$85&gt;=0),E$57-1+(-D$85)/E$77,0)</f>
        <v>0.0</v>
      </c>
      <c r="F86" s="49">
        <f>IF(AND(E$85&lt;0,F$85&gt;=0),F$57-1+(-E$85)/F$77,0)</f>
        <v>0.0</v>
      </c>
      <c r="G86" s="49">
        <f>IF(AND(F$85&lt;0,G$85&gt;=0),G$57-1+(-F$85)/G$77,0)</f>
        <v>0.0</v>
      </c>
      <c r="H86" s="49">
        <f>IF(AND(G$85&lt;0,H$85&gt;=0),H$57-1+(-G$85)/H$77,0)</f>
        <v>0.0</v>
      </c>
      <c r="I86" s="49">
        <f>IF(AND(H$85&lt;0,I$85&gt;=0),I$57-1+(-H$85)/I$77,0)</f>
        <v>0.0</v>
      </c>
      <c r="J86" s="49">
        <f>IF(AND(I$85&lt;0,J$85&gt;=0),J$57-1+(-I$85)/J$77,0)</f>
        <v>0.0</v>
      </c>
      <c r="K86" s="49">
        <f>IF(AND(J$85&lt;0,K$85&gt;=0),K$57-1+(-J$85)/K$77,0)</f>
        <v>0.0</v>
      </c>
      <c r="L86" s="49">
        <f>IF(AND(K$85&lt;0,L$85&gt;=0),L$57-1+(-K$85)/L$77,0)</f>
        <v>0.0</v>
      </c>
      <c r="M86" s="49">
        <f>IF(AND(L$85&lt;0,M$85&gt;=0),M$57-1+(-L$85)/M$77,0)</f>
        <v>0.0</v>
      </c>
      <c r="N86" s="49">
        <f>IF(AND(M$85&lt;0,N$85&gt;=0),N$57-1+(-M$85)/N$77,0)</f>
        <v>0.0</v>
      </c>
      <c r="O86" s="49">
        <f>IF(AND(N$85&lt;0,O$85&gt;=0),O$57-1+(-N$85)/O$77,0)</f>
        <v>0.0</v>
      </c>
      <c r="P86" s="49">
        <f>IF(AND(O$85&lt;0,P$85&gt;=0),P$57-1+(-O$85)/P$77,0)</f>
        <v>0.0</v>
      </c>
      <c r="Q86" s="49">
        <f>IF(AND(P$85&lt;0,Q$85&gt;=0),Q$57-1+(-P$85)/Q$77,0)</f>
        <v>0.0</v>
      </c>
      <c r="R86" s="49">
        <f>IF(AND(Q$85&lt;0,R$85&gt;=0),R$57-1+(-Q$85)/R$77,0)</f>
        <v>0.0</v>
      </c>
      <c r="S86" s="49">
        <f>IF(AND(R$85&lt;0,S$85&gt;=0),S$57-1+(-R$85)/S$77,0)</f>
        <v>0.0</v>
      </c>
      <c r="T86" s="49">
        <f>IF(AND(S$85&lt;0,T$85&gt;=0),T$57-1+(-S$85)/T$77,0)</f>
        <v>0.0</v>
      </c>
      <c r="U86" s="49">
        <f>IF(AND(T$85&lt;0,U$85&gt;=0),U$57-1+(-T$85)/U$77,0)</f>
        <v>0.0</v>
      </c>
      <c r="V86" s="49">
        <f>IF(AND(U$85&lt;0,V$85&gt;=0),V$57-1+(-U$85)/V$77,0)</f>
        <v>0.0</v>
      </c>
      <c r="W86" s="49">
        <f>IF(AND(V$85&lt;0,W$85&gt;=0),W$57-1+(-V$85)/W$77,0)</f>
        <v>0.0</v>
      </c>
      <c r="X86" s="49">
        <f>IF(AND(W$85&lt;0,X$85&gt;=0),X$57-1+(-W$85)/X$77,0)</f>
        <v>0.0</v>
      </c>
      <c r="Y86" s="49">
        <f>IF(AND(X$85&lt;0,Y$85&gt;=0),Y$57-1+(-X$85)/Y$77,0)</f>
        <v>0.0</v>
      </c>
      <c r="Z86" s="49">
        <f>IF(AND(Y$85&lt;0,Z$85&gt;=0),Z$57-1+(-Y$85)/Z$77,0)</f>
        <v>0.0</v>
      </c>
      <c r="AA86" s="49">
        <f>IF(AND(Z$85&lt;0,AA$85&gt;=0),AA$57-1+(-Z$85)/AA$77,0)</f>
        <v>0.0</v>
      </c>
      <c r="AB86" s="49">
        <f>IF(AND(AA$85&lt;0,AB$85&gt;=0),AB$57-1+(-AA$85)/AB$77,0)</f>
        <v>0.0</v>
      </c>
      <c r="AC86" s="49">
        <f>IF(AND(AB$85&lt;0,AC$85&gt;=0),AC$57-1+(-AB$85)/AC$77,0)</f>
        <v>0.0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10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>
      <c r="A1" s="18" t="inlineStr">
        <is>
          <t>Solar bought at a fixed tariff · BESS sale on IEX or flexible (₹ Crore unless stated)</t>
        </is>
      </c>
    </row>
    <row r="2">
      <c r="A2" s="2" t="inlineStr">
        <is>
          <t>Inputs: Assumptions → "Solar bought at a fixed tariff", plus plant, BESS technical, fee, O&amp;M, tax, financing and equity-cost inputs. No solar capex.</t>
        </is>
      </c>
    </row>
    <row r="4">
      <c r="A4" s="3" t="inlineStr">
        <is>
          <t>Scenario &amp; sizing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>
      <c r="A5" s="6" t="inlineStr">
        <is>
          <t>Night connectivity</t>
        </is>
      </c>
      <c r="B5" s="2" t="inlineStr">
        <is>
          <t>MW</t>
        </is>
      </c>
      <c r="C5" s="16">
        <f>INDEX(Assumptions!$B$102:$B$104,MATCH(Assumptions!$B$6,Assumptions!$A$102:$A$104,0))</f>
        <v>300.0</v>
      </c>
    </row>
    <row r="6">
      <c r="A6" s="6" t="inlineStr">
        <is>
          <t>Plant solar AC (supplies the BESS)</t>
        </is>
      </c>
      <c r="B6" s="2" t="inlineStr">
        <is>
          <t>MWac</t>
        </is>
      </c>
      <c r="C6" s="16">
        <f>INDEX(Assumptions!$C$102:$C$104,MATCH(Assumptions!$B$6,Assumptions!$A$102:$A$104,0))</f>
        <v>300.0</v>
      </c>
    </row>
    <row r="7">
      <c r="A7" s="6" t="inlineStr">
        <is>
          <t>Duration</t>
        </is>
      </c>
      <c r="B7" s="2" t="inlineStr">
        <is>
          <t>hours</t>
        </is>
      </c>
      <c r="C7" s="29">
        <f>Assumptions!$B$92</f>
        <v>2.0</v>
      </c>
    </row>
    <row r="8">
      <c r="A8" s="6" t="inlineStr">
        <is>
          <t>Sale of BESS power</t>
        </is>
      </c>
      <c r="B8" s="2" t="inlineStr">
        <is>
          <t>market</t>
        </is>
      </c>
      <c r="C8" s="10" t="str">
        <f>Assumptions!$B$93</f>
        <v>GDAM</v>
      </c>
    </row>
    <row r="9">
      <c r="A9" s="6" t="inlineStr">
        <is>
          <t>Flexible sale (1 = yes)</t>
        </is>
      </c>
      <c r="B9" s="2" t="inlineStr">
        <is>
          <t>flag</t>
        </is>
      </c>
      <c r="C9" s="30">
        <f>IF($C$8="Flexible",1,0)</f>
        <v>0.0</v>
      </c>
    </row>
    <row r="10">
      <c r="A10" s="6" t="inlineStr">
        <is>
          <t>Solar purchase tariff</t>
        </is>
      </c>
      <c r="B10" s="2" t="inlineStr">
        <is>
          <t>₹ / MWh</t>
        </is>
      </c>
      <c r="C10" s="27">
        <f>Assumptions!$B$94*1000</f>
        <v>2545.0</v>
      </c>
    </row>
    <row r="11">
      <c r="A11" s="6" t="inlineStr">
        <is>
          <t>One-way efficiency = √RTE</t>
        </is>
      </c>
      <c r="B11" s="2" t="inlineStr">
        <is>
          <t>%</t>
        </is>
      </c>
      <c r="C11" s="31">
        <f>SQRT(Assumptions!$B$36)</f>
        <v>0.9486832980505138</v>
      </c>
    </row>
    <row r="12">
      <c r="A12" s="6" t="inlineStr">
        <is>
          <t>Year-1 average capacity</t>
        </is>
      </c>
      <c r="B12" s="2" t="inlineStr">
        <is>
          <t>%</t>
        </is>
      </c>
      <c r="C12" s="32">
        <f>1-Assumptions!$B$37/2</f>
        <v>0.9925</v>
      </c>
    </row>
    <row r="13">
      <c r="A13" s="6" t="inlineStr">
        <is>
          <t>Discharge chain = η × (1 − HVAC) × (1 − line)</t>
        </is>
      </c>
      <c r="B13" s="2" t="inlineStr">
        <is>
          <t>%</t>
        </is>
      </c>
      <c r="C13" s="31">
        <f>$C$11*(1-Assumptions!$B$38)*(1-Assumptions!$B$39)</f>
        <v>0.9298045004193085</v>
      </c>
    </row>
    <row r="14">
      <c r="A14" s="5" t="inlineStr">
        <is>
          <t>Energy sold per cycle</t>
        </is>
      </c>
      <c r="B14" s="2" t="inlineStr">
        <is>
          <t>MWh</t>
        </is>
      </c>
      <c r="C14" s="33">
        <f>$C$5*$C$7</f>
        <v>600.0</v>
      </c>
    </row>
    <row r="15">
      <c r="A15" s="6" t="inlineStr">
        <is>
          <t>Stored energy needed</t>
        </is>
      </c>
      <c r="B15" s="2" t="inlineStr">
        <is>
          <t>MWh</t>
        </is>
      </c>
      <c r="C15" s="34">
        <f>$C$14/$C$13</f>
        <v>645.296941162816</v>
      </c>
    </row>
    <row r="16">
      <c r="A16" s="5" t="inlineStr">
        <is>
          <t>BESS nameplate</t>
        </is>
      </c>
      <c r="B16" s="2" t="inlineStr">
        <is>
          <t>MWh</t>
        </is>
      </c>
      <c r="C16" s="33">
        <f>$C$15/Assumptions!$B$35/$C$12</f>
        <v>722.414711629237</v>
      </c>
    </row>
    <row r="17">
      <c r="A17" s="6" t="inlineStr">
        <is>
          <t>Solar bought per cycle (into the PCS)</t>
        </is>
      </c>
      <c r="B17" s="2" t="inlineStr">
        <is>
          <t>MWh</t>
        </is>
      </c>
      <c r="C17" s="34">
        <f>$C$15/$C$11</f>
        <v>680.2027004047208</v>
      </c>
    </row>
    <row r="18">
      <c r="A18" s="6" t="inlineStr">
        <is>
          <t>Discharge window length</t>
        </is>
      </c>
      <c r="B18" s="2" t="inlineStr">
        <is>
          <t>blocks</t>
        </is>
      </c>
      <c r="C18" s="30">
        <f>$C$7*4</f>
        <v>8.0</v>
      </c>
    </row>
    <row r="19">
      <c r="A19" s="6" t="inlineStr">
        <is>
          <t>Discharge window start</t>
        </is>
      </c>
      <c r="B19" s="2" t="inlineStr">
        <is>
          <t>block</t>
        </is>
      </c>
      <c r="C19" s="29">
        <f>IF($C$7=2,Assumptions!$B$97,Assumptions!$B$98)</f>
        <v>76.0</v>
      </c>
    </row>
    <row r="20">
      <c r="A20" s="6" t="inlineStr">
        <is>
          <t>Solar cost per kWh sold</t>
        </is>
      </c>
      <c r="B20" s="2" t="inlineStr">
        <is>
          <t>₹ / kWh</t>
        </is>
      </c>
      <c r="C20" s="49">
        <f>Assumptions!$B$94*$C$17/$C$14</f>
        <v>2.885193120883357</v>
      </c>
    </row>
    <row r="22">
      <c r="A22" s="3" t="inlineStr">
        <is>
          <t>Plant solar by month and 15-minute block (MW, clipped at connectivity)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>
      <c r="A23" s="5" t="inlineStr">
        <is>
          <t>Block</t>
        </is>
      </c>
      <c r="D23" s="5" t="n">
        <v>0</v>
      </c>
      <c r="E23" s="5" t="n">
        <v>1</v>
      </c>
      <c r="F23" s="5" t="n">
        <v>2</v>
      </c>
      <c r="G23" s="5" t="n">
        <v>3</v>
      </c>
      <c r="H23" s="5" t="n">
        <v>4</v>
      </c>
      <c r="I23" s="5" t="n">
        <v>5</v>
      </c>
      <c r="J23" s="5" t="n">
        <v>6</v>
      </c>
      <c r="K23" s="5" t="n">
        <v>7</v>
      </c>
      <c r="L23" s="5" t="n">
        <v>8</v>
      </c>
      <c r="M23" s="5" t="n">
        <v>9</v>
      </c>
      <c r="N23" s="5" t="n">
        <v>10</v>
      </c>
      <c r="O23" s="5" t="n">
        <v>11</v>
      </c>
      <c r="P23" s="5" t="n">
        <v>12</v>
      </c>
      <c r="Q23" s="5" t="n">
        <v>13</v>
      </c>
      <c r="R23" s="5" t="n">
        <v>14</v>
      </c>
      <c r="S23" s="5" t="n">
        <v>15</v>
      </c>
      <c r="T23" s="5" t="n">
        <v>16</v>
      </c>
      <c r="U23" s="5" t="n">
        <v>17</v>
      </c>
      <c r="V23" s="5" t="n">
        <v>18</v>
      </c>
      <c r="W23" s="5" t="n">
        <v>19</v>
      </c>
      <c r="X23" s="5" t="n">
        <v>20</v>
      </c>
      <c r="Y23" s="5" t="n">
        <v>21</v>
      </c>
      <c r="Z23" s="5" t="n">
        <v>22</v>
      </c>
      <c r="AA23" s="5" t="n">
        <v>23</v>
      </c>
      <c r="AB23" s="5" t="n">
        <v>24</v>
      </c>
      <c r="AC23" s="5" t="n">
        <v>25</v>
      </c>
      <c r="AD23" s="5" t="n">
        <v>26</v>
      </c>
      <c r="AE23" s="5" t="n">
        <v>27</v>
      </c>
      <c r="AF23" s="5" t="n">
        <v>28</v>
      </c>
      <c r="AG23" s="5" t="n">
        <v>29</v>
      </c>
      <c r="AH23" s="5" t="n">
        <v>30</v>
      </c>
      <c r="AI23" s="5" t="n">
        <v>31</v>
      </c>
      <c r="AJ23" s="5" t="n">
        <v>32</v>
      </c>
      <c r="AK23" s="5" t="n">
        <v>33</v>
      </c>
      <c r="AL23" s="5" t="n">
        <v>34</v>
      </c>
      <c r="AM23" s="5" t="n">
        <v>35</v>
      </c>
      <c r="AN23" s="5" t="n">
        <v>36</v>
      </c>
      <c r="AO23" s="5" t="n">
        <v>37</v>
      </c>
      <c r="AP23" s="5" t="n">
        <v>38</v>
      </c>
      <c r="AQ23" s="5" t="n">
        <v>39</v>
      </c>
      <c r="AR23" s="5" t="n">
        <v>40</v>
      </c>
      <c r="AS23" s="5" t="n">
        <v>41</v>
      </c>
      <c r="AT23" s="5" t="n">
        <v>42</v>
      </c>
      <c r="AU23" s="5" t="n">
        <v>43</v>
      </c>
      <c r="AV23" s="5" t="n">
        <v>44</v>
      </c>
      <c r="AW23" s="5" t="n">
        <v>45</v>
      </c>
      <c r="AX23" s="5" t="n">
        <v>46</v>
      </c>
      <c r="AY23" s="5" t="n">
        <v>47</v>
      </c>
      <c r="AZ23" s="5" t="n">
        <v>48</v>
      </c>
      <c r="BA23" s="5" t="n">
        <v>49</v>
      </c>
      <c r="BB23" s="5" t="n">
        <v>50</v>
      </c>
      <c r="BC23" s="5" t="n">
        <v>51</v>
      </c>
      <c r="BD23" s="5" t="n">
        <v>52</v>
      </c>
      <c r="BE23" s="5" t="n">
        <v>53</v>
      </c>
      <c r="BF23" s="5" t="n">
        <v>54</v>
      </c>
      <c r="BG23" s="5" t="n">
        <v>55</v>
      </c>
      <c r="BH23" s="5" t="n">
        <v>56</v>
      </c>
      <c r="BI23" s="5" t="n">
        <v>57</v>
      </c>
      <c r="BJ23" s="5" t="n">
        <v>58</v>
      </c>
      <c r="BK23" s="5" t="n">
        <v>59</v>
      </c>
      <c r="BL23" s="5" t="n">
        <v>60</v>
      </c>
      <c r="BM23" s="5" t="n">
        <v>61</v>
      </c>
      <c r="BN23" s="5" t="n">
        <v>62</v>
      </c>
      <c r="BO23" s="5" t="n">
        <v>63</v>
      </c>
      <c r="BP23" s="5" t="n">
        <v>64</v>
      </c>
      <c r="BQ23" s="5" t="n">
        <v>65</v>
      </c>
      <c r="BR23" s="5" t="n">
        <v>66</v>
      </c>
      <c r="BS23" s="5" t="n">
        <v>67</v>
      </c>
      <c r="BT23" s="5" t="n">
        <v>68</v>
      </c>
      <c r="BU23" s="5" t="n">
        <v>69</v>
      </c>
      <c r="BV23" s="5" t="n">
        <v>70</v>
      </c>
      <c r="BW23" s="5" t="n">
        <v>71</v>
      </c>
      <c r="BX23" s="5" t="n">
        <v>72</v>
      </c>
      <c r="BY23" s="5" t="n">
        <v>73</v>
      </c>
      <c r="BZ23" s="5" t="n">
        <v>74</v>
      </c>
      <c r="CA23" s="5" t="n">
        <v>75</v>
      </c>
      <c r="CB23" s="5" t="n">
        <v>76</v>
      </c>
      <c r="CC23" s="5" t="n">
        <v>77</v>
      </c>
      <c r="CD23" s="5" t="n">
        <v>78</v>
      </c>
      <c r="CE23" s="5" t="n">
        <v>79</v>
      </c>
      <c r="CF23" s="5" t="n">
        <v>80</v>
      </c>
      <c r="CG23" s="5" t="n">
        <v>81</v>
      </c>
      <c r="CH23" s="5" t="n">
        <v>82</v>
      </c>
      <c r="CI23" s="5" t="n">
        <v>83</v>
      </c>
      <c r="CJ23" s="5" t="n">
        <v>84</v>
      </c>
      <c r="CK23" s="5" t="n">
        <v>85</v>
      </c>
      <c r="CL23" s="5" t="n">
        <v>86</v>
      </c>
      <c r="CM23" s="5" t="n">
        <v>87</v>
      </c>
      <c r="CN23" s="5" t="n">
        <v>88</v>
      </c>
      <c r="CO23" s="5" t="n">
        <v>89</v>
      </c>
      <c r="CP23" s="5" t="n">
        <v>90</v>
      </c>
      <c r="CQ23" s="5" t="n">
        <v>91</v>
      </c>
      <c r="CR23" s="5" t="n">
        <v>92</v>
      </c>
      <c r="CS23" s="5" t="n">
        <v>93</v>
      </c>
      <c r="CT23" s="5" t="n">
        <v>94</v>
      </c>
      <c r="CU23" s="5" t="n">
        <v>95</v>
      </c>
    </row>
    <row r="24">
      <c r="A24" s="6" t="inlineStr">
        <is>
          <t>In discharge window (1/0)</t>
        </is>
      </c>
      <c r="D24" s="6">
        <f>IF(MOD(D$23-$C$19,96)&lt;$C$18,1,0)</f>
        <v>0.0</v>
      </c>
      <c r="E24" s="6">
        <f>IF(MOD(E$23-$C$19,96)&lt;$C$18,1,0)</f>
        <v>0.0</v>
      </c>
      <c r="F24" s="6">
        <f>IF(MOD(F$23-$C$19,96)&lt;$C$18,1,0)</f>
        <v>0.0</v>
      </c>
      <c r="G24" s="6">
        <f>IF(MOD(G$23-$C$19,96)&lt;$C$18,1,0)</f>
        <v>0.0</v>
      </c>
      <c r="H24" s="6">
        <f>IF(MOD(H$23-$C$19,96)&lt;$C$18,1,0)</f>
        <v>0.0</v>
      </c>
      <c r="I24" s="6">
        <f>IF(MOD(I$23-$C$19,96)&lt;$C$18,1,0)</f>
        <v>0.0</v>
      </c>
      <c r="J24" s="6">
        <f>IF(MOD(J$23-$C$19,96)&lt;$C$18,1,0)</f>
        <v>0.0</v>
      </c>
      <c r="K24" s="6">
        <f>IF(MOD(K$23-$C$19,96)&lt;$C$18,1,0)</f>
        <v>0.0</v>
      </c>
      <c r="L24" s="6">
        <f>IF(MOD(L$23-$C$19,96)&lt;$C$18,1,0)</f>
        <v>0.0</v>
      </c>
      <c r="M24" s="6">
        <f>IF(MOD(M$23-$C$19,96)&lt;$C$18,1,0)</f>
        <v>0.0</v>
      </c>
      <c r="N24" s="6">
        <f>IF(MOD(N$23-$C$19,96)&lt;$C$18,1,0)</f>
        <v>0.0</v>
      </c>
      <c r="O24" s="6">
        <f>IF(MOD(O$23-$C$19,96)&lt;$C$18,1,0)</f>
        <v>0.0</v>
      </c>
      <c r="P24" s="6">
        <f>IF(MOD(P$23-$C$19,96)&lt;$C$18,1,0)</f>
        <v>0.0</v>
      </c>
      <c r="Q24" s="6">
        <f>IF(MOD(Q$23-$C$19,96)&lt;$C$18,1,0)</f>
        <v>0.0</v>
      </c>
      <c r="R24" s="6">
        <f>IF(MOD(R$23-$C$19,96)&lt;$C$18,1,0)</f>
        <v>0.0</v>
      </c>
      <c r="S24" s="6">
        <f>IF(MOD(S$23-$C$19,96)&lt;$C$18,1,0)</f>
        <v>0.0</v>
      </c>
      <c r="T24" s="6">
        <f>IF(MOD(T$23-$C$19,96)&lt;$C$18,1,0)</f>
        <v>0.0</v>
      </c>
      <c r="U24" s="6">
        <f>IF(MOD(U$23-$C$19,96)&lt;$C$18,1,0)</f>
        <v>0.0</v>
      </c>
      <c r="V24" s="6">
        <f>IF(MOD(V$23-$C$19,96)&lt;$C$18,1,0)</f>
        <v>0.0</v>
      </c>
      <c r="W24" s="6">
        <f>IF(MOD(W$23-$C$19,96)&lt;$C$18,1,0)</f>
        <v>0.0</v>
      </c>
      <c r="X24" s="6">
        <f>IF(MOD(X$23-$C$19,96)&lt;$C$18,1,0)</f>
        <v>0.0</v>
      </c>
      <c r="Y24" s="6">
        <f>IF(MOD(Y$23-$C$19,96)&lt;$C$18,1,0)</f>
        <v>0.0</v>
      </c>
      <c r="Z24" s="6">
        <f>IF(MOD(Z$23-$C$19,96)&lt;$C$18,1,0)</f>
        <v>0.0</v>
      </c>
      <c r="AA24" s="6">
        <f>IF(MOD(AA$23-$C$19,96)&lt;$C$18,1,0)</f>
        <v>0.0</v>
      </c>
      <c r="AB24" s="6">
        <f>IF(MOD(AB$23-$C$19,96)&lt;$C$18,1,0)</f>
        <v>0.0</v>
      </c>
      <c r="AC24" s="6">
        <f>IF(MOD(AC$23-$C$19,96)&lt;$C$18,1,0)</f>
        <v>0.0</v>
      </c>
      <c r="AD24" s="6">
        <f>IF(MOD(AD$23-$C$19,96)&lt;$C$18,1,0)</f>
        <v>0.0</v>
      </c>
      <c r="AE24" s="6">
        <f>IF(MOD(AE$23-$C$19,96)&lt;$C$18,1,0)</f>
        <v>0.0</v>
      </c>
      <c r="AF24" s="6">
        <f>IF(MOD(AF$23-$C$19,96)&lt;$C$18,1,0)</f>
        <v>0.0</v>
      </c>
      <c r="AG24" s="6">
        <f>IF(MOD(AG$23-$C$19,96)&lt;$C$18,1,0)</f>
        <v>0.0</v>
      </c>
      <c r="AH24" s="6">
        <f>IF(MOD(AH$23-$C$19,96)&lt;$C$18,1,0)</f>
        <v>0.0</v>
      </c>
      <c r="AI24" s="6">
        <f>IF(MOD(AI$23-$C$19,96)&lt;$C$18,1,0)</f>
        <v>0.0</v>
      </c>
      <c r="AJ24" s="6">
        <f>IF(MOD(AJ$23-$C$19,96)&lt;$C$18,1,0)</f>
        <v>0.0</v>
      </c>
      <c r="AK24" s="6">
        <f>IF(MOD(AK$23-$C$19,96)&lt;$C$18,1,0)</f>
        <v>0.0</v>
      </c>
      <c r="AL24" s="6">
        <f>IF(MOD(AL$23-$C$19,96)&lt;$C$18,1,0)</f>
        <v>0.0</v>
      </c>
      <c r="AM24" s="6">
        <f>IF(MOD(AM$23-$C$19,96)&lt;$C$18,1,0)</f>
        <v>0.0</v>
      </c>
      <c r="AN24" s="6">
        <f>IF(MOD(AN$23-$C$19,96)&lt;$C$18,1,0)</f>
        <v>0.0</v>
      </c>
      <c r="AO24" s="6">
        <f>IF(MOD(AO$23-$C$19,96)&lt;$C$18,1,0)</f>
        <v>0.0</v>
      </c>
      <c r="AP24" s="6">
        <f>IF(MOD(AP$23-$C$19,96)&lt;$C$18,1,0)</f>
        <v>0.0</v>
      </c>
      <c r="AQ24" s="6">
        <f>IF(MOD(AQ$23-$C$19,96)&lt;$C$18,1,0)</f>
        <v>0.0</v>
      </c>
      <c r="AR24" s="6">
        <f>IF(MOD(AR$23-$C$19,96)&lt;$C$18,1,0)</f>
        <v>0.0</v>
      </c>
      <c r="AS24" s="6">
        <f>IF(MOD(AS$23-$C$19,96)&lt;$C$18,1,0)</f>
        <v>0.0</v>
      </c>
      <c r="AT24" s="6">
        <f>IF(MOD(AT$23-$C$19,96)&lt;$C$18,1,0)</f>
        <v>0.0</v>
      </c>
      <c r="AU24" s="6">
        <f>IF(MOD(AU$23-$C$19,96)&lt;$C$18,1,0)</f>
        <v>0.0</v>
      </c>
      <c r="AV24" s="6">
        <f>IF(MOD(AV$23-$C$19,96)&lt;$C$18,1,0)</f>
        <v>0.0</v>
      </c>
      <c r="AW24" s="6">
        <f>IF(MOD(AW$23-$C$19,96)&lt;$C$18,1,0)</f>
        <v>0.0</v>
      </c>
      <c r="AX24" s="6">
        <f>IF(MOD(AX$23-$C$19,96)&lt;$C$18,1,0)</f>
        <v>0.0</v>
      </c>
      <c r="AY24" s="6">
        <f>IF(MOD(AY$23-$C$19,96)&lt;$C$18,1,0)</f>
        <v>0.0</v>
      </c>
      <c r="AZ24" s="6">
        <f>IF(MOD(AZ$23-$C$19,96)&lt;$C$18,1,0)</f>
        <v>0.0</v>
      </c>
      <c r="BA24" s="6">
        <f>IF(MOD(BA$23-$C$19,96)&lt;$C$18,1,0)</f>
        <v>0.0</v>
      </c>
      <c r="BB24" s="6">
        <f>IF(MOD(BB$23-$C$19,96)&lt;$C$18,1,0)</f>
        <v>0.0</v>
      </c>
      <c r="BC24" s="6">
        <f>IF(MOD(BC$23-$C$19,96)&lt;$C$18,1,0)</f>
        <v>0.0</v>
      </c>
      <c r="BD24" s="6">
        <f>IF(MOD(BD$23-$C$19,96)&lt;$C$18,1,0)</f>
        <v>0.0</v>
      </c>
      <c r="BE24" s="6">
        <f>IF(MOD(BE$23-$C$19,96)&lt;$C$18,1,0)</f>
        <v>0.0</v>
      </c>
      <c r="BF24" s="6">
        <f>IF(MOD(BF$23-$C$19,96)&lt;$C$18,1,0)</f>
        <v>0.0</v>
      </c>
      <c r="BG24" s="6">
        <f>IF(MOD(BG$23-$C$19,96)&lt;$C$18,1,0)</f>
        <v>0.0</v>
      </c>
      <c r="BH24" s="6">
        <f>IF(MOD(BH$23-$C$19,96)&lt;$C$18,1,0)</f>
        <v>0.0</v>
      </c>
      <c r="BI24" s="6">
        <f>IF(MOD(BI$23-$C$19,96)&lt;$C$18,1,0)</f>
        <v>0.0</v>
      </c>
      <c r="BJ24" s="6">
        <f>IF(MOD(BJ$23-$C$19,96)&lt;$C$18,1,0)</f>
        <v>0.0</v>
      </c>
      <c r="BK24" s="6">
        <f>IF(MOD(BK$23-$C$19,96)&lt;$C$18,1,0)</f>
        <v>0.0</v>
      </c>
      <c r="BL24" s="6">
        <f>IF(MOD(BL$23-$C$19,96)&lt;$C$18,1,0)</f>
        <v>0.0</v>
      </c>
      <c r="BM24" s="6">
        <f>IF(MOD(BM$23-$C$19,96)&lt;$C$18,1,0)</f>
        <v>0.0</v>
      </c>
      <c r="BN24" s="6">
        <f>IF(MOD(BN$23-$C$19,96)&lt;$C$18,1,0)</f>
        <v>0.0</v>
      </c>
      <c r="BO24" s="6">
        <f>IF(MOD(BO$23-$C$19,96)&lt;$C$18,1,0)</f>
        <v>0.0</v>
      </c>
      <c r="BP24" s="6">
        <f>IF(MOD(BP$23-$C$19,96)&lt;$C$18,1,0)</f>
        <v>0.0</v>
      </c>
      <c r="BQ24" s="6">
        <f>IF(MOD(BQ$23-$C$19,96)&lt;$C$18,1,0)</f>
        <v>0.0</v>
      </c>
      <c r="BR24" s="6">
        <f>IF(MOD(BR$23-$C$19,96)&lt;$C$18,1,0)</f>
        <v>0.0</v>
      </c>
      <c r="BS24" s="6">
        <f>IF(MOD(BS$23-$C$19,96)&lt;$C$18,1,0)</f>
        <v>0.0</v>
      </c>
      <c r="BT24" s="6">
        <f>IF(MOD(BT$23-$C$19,96)&lt;$C$18,1,0)</f>
        <v>0.0</v>
      </c>
      <c r="BU24" s="6">
        <f>IF(MOD(BU$23-$C$19,96)&lt;$C$18,1,0)</f>
        <v>0.0</v>
      </c>
      <c r="BV24" s="6">
        <f>IF(MOD(BV$23-$C$19,96)&lt;$C$18,1,0)</f>
        <v>0.0</v>
      </c>
      <c r="BW24" s="6">
        <f>IF(MOD(BW$23-$C$19,96)&lt;$C$18,1,0)</f>
        <v>0.0</v>
      </c>
      <c r="BX24" s="6">
        <f>IF(MOD(BX$23-$C$19,96)&lt;$C$18,1,0)</f>
        <v>0.0</v>
      </c>
      <c r="BY24" s="6">
        <f>IF(MOD(BY$23-$C$19,96)&lt;$C$18,1,0)</f>
        <v>0.0</v>
      </c>
      <c r="BZ24" s="6">
        <f>IF(MOD(BZ$23-$C$19,96)&lt;$C$18,1,0)</f>
        <v>0.0</v>
      </c>
      <c r="CA24" s="6">
        <f>IF(MOD(CA$23-$C$19,96)&lt;$C$18,1,0)</f>
        <v>0.0</v>
      </c>
      <c r="CB24" s="6">
        <f>IF(MOD(CB$23-$C$19,96)&lt;$C$18,1,0)</f>
        <v>1.0</v>
      </c>
      <c r="CC24" s="6">
        <f>IF(MOD(CC$23-$C$19,96)&lt;$C$18,1,0)</f>
        <v>1.0</v>
      </c>
      <c r="CD24" s="6">
        <f>IF(MOD(CD$23-$C$19,96)&lt;$C$18,1,0)</f>
        <v>1.0</v>
      </c>
      <c r="CE24" s="6">
        <f>IF(MOD(CE$23-$C$19,96)&lt;$C$18,1,0)</f>
        <v>1.0</v>
      </c>
      <c r="CF24" s="6">
        <f>IF(MOD(CF$23-$C$19,96)&lt;$C$18,1,0)</f>
        <v>1.0</v>
      </c>
      <c r="CG24" s="6">
        <f>IF(MOD(CG$23-$C$19,96)&lt;$C$18,1,0)</f>
        <v>1.0</v>
      </c>
      <c r="CH24" s="6">
        <f>IF(MOD(CH$23-$C$19,96)&lt;$C$18,1,0)</f>
        <v>1.0</v>
      </c>
      <c r="CI24" s="6">
        <f>IF(MOD(CI$23-$C$19,96)&lt;$C$18,1,0)</f>
        <v>1.0</v>
      </c>
      <c r="CJ24" s="6">
        <f>IF(MOD(CJ$23-$C$19,96)&lt;$C$18,1,0)</f>
        <v>0.0</v>
      </c>
      <c r="CK24" s="6">
        <f>IF(MOD(CK$23-$C$19,96)&lt;$C$18,1,0)</f>
        <v>0.0</v>
      </c>
      <c r="CL24" s="6">
        <f>IF(MOD(CL$23-$C$19,96)&lt;$C$18,1,0)</f>
        <v>0.0</v>
      </c>
      <c r="CM24" s="6">
        <f>IF(MOD(CM$23-$C$19,96)&lt;$C$18,1,0)</f>
        <v>0.0</v>
      </c>
      <c r="CN24" s="6">
        <f>IF(MOD(CN$23-$C$19,96)&lt;$C$18,1,0)</f>
        <v>0.0</v>
      </c>
      <c r="CO24" s="6">
        <f>IF(MOD(CO$23-$C$19,96)&lt;$C$18,1,0)</f>
        <v>0.0</v>
      </c>
      <c r="CP24" s="6">
        <f>IF(MOD(CP$23-$C$19,96)&lt;$C$18,1,0)</f>
        <v>0.0</v>
      </c>
      <c r="CQ24" s="6">
        <f>IF(MOD(CQ$23-$C$19,96)&lt;$C$18,1,0)</f>
        <v>0.0</v>
      </c>
      <c r="CR24" s="6">
        <f>IF(MOD(CR$23-$C$19,96)&lt;$C$18,1,0)</f>
        <v>0.0</v>
      </c>
      <c r="CS24" s="6">
        <f>IF(MOD(CS$23-$C$19,96)&lt;$C$18,1,0)</f>
        <v>0.0</v>
      </c>
      <c r="CT24" s="6">
        <f>IF(MOD(CT$23-$C$19,96)&lt;$C$18,1,0)</f>
        <v>0.0</v>
      </c>
      <c r="CU24" s="6">
        <f>IF(MOD(CU$23-$C$19,96)&lt;$C$18,1,0)</f>
        <v>0.0</v>
      </c>
    </row>
    <row r="25">
      <c r="A25" s="6" t="inlineStr">
        <is>
          <t>Jan</t>
        </is>
      </c>
      <c r="D25" s="45">
        <f>MIN($C$5,$C$6*INDEX(SolarProfile!$C$4:$CT$39,MATCH(Assumptions!$B$6&amp;"|1",SolarProfile!$A$4:$A$39,0),D$23+1))</f>
        <v>0.0</v>
      </c>
      <c r="E25" s="45">
        <f>MIN($C$5,$C$6*INDEX(SolarProfile!$C$4:$CT$39,MATCH(Assumptions!$B$6&amp;"|1",SolarProfile!$A$4:$A$39,0),E$23+1))</f>
        <v>0.0</v>
      </c>
      <c r="F25" s="45">
        <f>MIN($C$5,$C$6*INDEX(SolarProfile!$C$4:$CT$39,MATCH(Assumptions!$B$6&amp;"|1",SolarProfile!$A$4:$A$39,0),F$23+1))</f>
        <v>0.0</v>
      </c>
      <c r="G25" s="45">
        <f>MIN($C$5,$C$6*INDEX(SolarProfile!$C$4:$CT$39,MATCH(Assumptions!$B$6&amp;"|1",SolarProfile!$A$4:$A$39,0),G$23+1))</f>
        <v>0.0</v>
      </c>
      <c r="H25" s="45">
        <f>MIN($C$5,$C$6*INDEX(SolarProfile!$C$4:$CT$39,MATCH(Assumptions!$B$6&amp;"|1",SolarProfile!$A$4:$A$39,0),H$23+1))</f>
        <v>0.0</v>
      </c>
      <c r="I25" s="45">
        <f>MIN($C$5,$C$6*INDEX(SolarProfile!$C$4:$CT$39,MATCH(Assumptions!$B$6&amp;"|1",SolarProfile!$A$4:$A$39,0),I$23+1))</f>
        <v>0.0</v>
      </c>
      <c r="J25" s="45">
        <f>MIN($C$5,$C$6*INDEX(SolarProfile!$C$4:$CT$39,MATCH(Assumptions!$B$6&amp;"|1",SolarProfile!$A$4:$A$39,0),J$23+1))</f>
        <v>0.0</v>
      </c>
      <c r="K25" s="45">
        <f>MIN($C$5,$C$6*INDEX(SolarProfile!$C$4:$CT$39,MATCH(Assumptions!$B$6&amp;"|1",SolarProfile!$A$4:$A$39,0),K$23+1))</f>
        <v>0.0</v>
      </c>
      <c r="L25" s="45">
        <f>MIN($C$5,$C$6*INDEX(SolarProfile!$C$4:$CT$39,MATCH(Assumptions!$B$6&amp;"|1",SolarProfile!$A$4:$A$39,0),L$23+1))</f>
        <v>0.0</v>
      </c>
      <c r="M25" s="45">
        <f>MIN($C$5,$C$6*INDEX(SolarProfile!$C$4:$CT$39,MATCH(Assumptions!$B$6&amp;"|1",SolarProfile!$A$4:$A$39,0),M$23+1))</f>
        <v>0.0</v>
      </c>
      <c r="N25" s="45">
        <f>MIN($C$5,$C$6*INDEX(SolarProfile!$C$4:$CT$39,MATCH(Assumptions!$B$6&amp;"|1",SolarProfile!$A$4:$A$39,0),N$23+1))</f>
        <v>0.0</v>
      </c>
      <c r="O25" s="45">
        <f>MIN($C$5,$C$6*INDEX(SolarProfile!$C$4:$CT$39,MATCH(Assumptions!$B$6&amp;"|1",SolarProfile!$A$4:$A$39,0),O$23+1))</f>
        <v>0.0</v>
      </c>
      <c r="P25" s="45">
        <f>MIN($C$5,$C$6*INDEX(SolarProfile!$C$4:$CT$39,MATCH(Assumptions!$B$6&amp;"|1",SolarProfile!$A$4:$A$39,0),P$23+1))</f>
        <v>0.0</v>
      </c>
      <c r="Q25" s="45">
        <f>MIN($C$5,$C$6*INDEX(SolarProfile!$C$4:$CT$39,MATCH(Assumptions!$B$6&amp;"|1",SolarProfile!$A$4:$A$39,0),Q$23+1))</f>
        <v>0.0</v>
      </c>
      <c r="R25" s="45">
        <f>MIN($C$5,$C$6*INDEX(SolarProfile!$C$4:$CT$39,MATCH(Assumptions!$B$6&amp;"|1",SolarProfile!$A$4:$A$39,0),R$23+1))</f>
        <v>0.0</v>
      </c>
      <c r="S25" s="45">
        <f>MIN($C$5,$C$6*INDEX(SolarProfile!$C$4:$CT$39,MATCH(Assumptions!$B$6&amp;"|1",SolarProfile!$A$4:$A$39,0),S$23+1))</f>
        <v>0.0</v>
      </c>
      <c r="T25" s="45">
        <f>MIN($C$5,$C$6*INDEX(SolarProfile!$C$4:$CT$39,MATCH(Assumptions!$B$6&amp;"|1",SolarProfile!$A$4:$A$39,0),T$23+1))</f>
        <v>0.0</v>
      </c>
      <c r="U25" s="45">
        <f>MIN($C$5,$C$6*INDEX(SolarProfile!$C$4:$CT$39,MATCH(Assumptions!$B$6&amp;"|1",SolarProfile!$A$4:$A$39,0),U$23+1))</f>
        <v>0.0</v>
      </c>
      <c r="V25" s="45">
        <f>MIN($C$5,$C$6*INDEX(SolarProfile!$C$4:$CT$39,MATCH(Assumptions!$B$6&amp;"|1",SolarProfile!$A$4:$A$39,0),V$23+1))</f>
        <v>0.0</v>
      </c>
      <c r="W25" s="45">
        <f>MIN($C$5,$C$6*INDEX(SolarProfile!$C$4:$CT$39,MATCH(Assumptions!$B$6&amp;"|1",SolarProfile!$A$4:$A$39,0),W$23+1))</f>
        <v>0.0</v>
      </c>
      <c r="X25" s="45">
        <f>MIN($C$5,$C$6*INDEX(SolarProfile!$C$4:$CT$39,MATCH(Assumptions!$B$6&amp;"|1",SolarProfile!$A$4:$A$39,0),X$23+1))</f>
        <v>0.0</v>
      </c>
      <c r="Y25" s="45">
        <f>MIN($C$5,$C$6*INDEX(SolarProfile!$C$4:$CT$39,MATCH(Assumptions!$B$6&amp;"|1",SolarProfile!$A$4:$A$39,0),Y$23+1))</f>
        <v>0.0</v>
      </c>
      <c r="Z25" s="45">
        <f>MIN($C$5,$C$6*INDEX(SolarProfile!$C$4:$CT$39,MATCH(Assumptions!$B$6&amp;"|1",SolarProfile!$A$4:$A$39,0),Z$23+1))</f>
        <v>0.0</v>
      </c>
      <c r="AA25" s="45">
        <f>MIN($C$5,$C$6*INDEX(SolarProfile!$C$4:$CT$39,MATCH(Assumptions!$B$6&amp;"|1",SolarProfile!$A$4:$A$39,0),AA$23+1))</f>
        <v>0.0</v>
      </c>
      <c r="AB25" s="45">
        <f>MIN($C$5,$C$6*INDEX(SolarProfile!$C$4:$CT$39,MATCH(Assumptions!$B$6&amp;"|1",SolarProfile!$A$4:$A$39,0),AB$23+1))</f>
        <v>0.0</v>
      </c>
      <c r="AC25" s="45">
        <f>MIN($C$5,$C$6*INDEX(SolarProfile!$C$4:$CT$39,MATCH(Assumptions!$B$6&amp;"|1",SolarProfile!$A$4:$A$39,0),AC$23+1))</f>
        <v>0.0</v>
      </c>
      <c r="AD25" s="45">
        <f>MIN($C$5,$C$6*INDEX(SolarProfile!$C$4:$CT$39,MATCH(Assumptions!$B$6&amp;"|1",SolarProfile!$A$4:$A$39,0),AD$23+1))</f>
        <v>0.44489999999999996</v>
      </c>
      <c r="AE25" s="45">
        <f>MIN($C$5,$C$6*INDEX(SolarProfile!$C$4:$CT$39,MATCH(Assumptions!$B$6&amp;"|1",SolarProfile!$A$4:$A$39,0),AE$23+1))</f>
        <v>12.419699999999999</v>
      </c>
      <c r="AF25" s="45">
        <f>MIN($C$5,$C$6*INDEX(SolarProfile!$C$4:$CT$39,MATCH(Assumptions!$B$6&amp;"|1",SolarProfile!$A$4:$A$39,0),AF$23+1))</f>
        <v>29.7564</v>
      </c>
      <c r="AG25" s="45">
        <f>MIN($C$5,$C$6*INDEX(SolarProfile!$C$4:$CT$39,MATCH(Assumptions!$B$6&amp;"|1",SolarProfile!$A$4:$A$39,0),AG$23+1))</f>
        <v>50.133</v>
      </c>
      <c r="AH25" s="45">
        <f>MIN($C$5,$C$6*INDEX(SolarProfile!$C$4:$CT$39,MATCH(Assumptions!$B$6&amp;"|1",SolarProfile!$A$4:$A$39,0),AH$23+1))</f>
        <v>72.60600000000001</v>
      </c>
      <c r="AI25" s="45">
        <f>MIN($C$5,$C$6*INDEX(SolarProfile!$C$4:$CT$39,MATCH(Assumptions!$B$6&amp;"|1",SolarProfile!$A$4:$A$39,0),AI$23+1))</f>
        <v>96.55380000000001</v>
      </c>
      <c r="AJ25" s="45">
        <f>MIN($C$5,$C$6*INDEX(SolarProfile!$C$4:$CT$39,MATCH(Assumptions!$B$6&amp;"|1",SolarProfile!$A$4:$A$39,0),AJ$23+1))</f>
        <v>121.491</v>
      </c>
      <c r="AK25" s="45">
        <f>MIN($C$5,$C$6*INDEX(SolarProfile!$C$4:$CT$39,MATCH(Assumptions!$B$6&amp;"|1",SolarProfile!$A$4:$A$39,0),AK$23+1))</f>
        <v>147.0039</v>
      </c>
      <c r="AL25" s="45">
        <f>MIN($C$5,$C$6*INDEX(SolarProfile!$C$4:$CT$39,MATCH(Assumptions!$B$6&amp;"|1",SolarProfile!$A$4:$A$39,0),AL$23+1))</f>
        <v>172.7223</v>
      </c>
      <c r="AM25" s="45">
        <f>MIN($C$5,$C$6*INDEX(SolarProfile!$C$4:$CT$39,MATCH(Assumptions!$B$6&amp;"|1",SolarProfile!$A$4:$A$39,0),AM$23+1))</f>
        <v>198.3075</v>
      </c>
      <c r="AN25" s="45">
        <f>MIN($C$5,$C$6*INDEX(SolarProfile!$C$4:$CT$39,MATCH(Assumptions!$B$6&amp;"|1",SolarProfile!$A$4:$A$39,0),AN$23+1))</f>
        <v>223.44480000000001</v>
      </c>
      <c r="AO25" s="45">
        <f>MIN($C$5,$C$6*INDEX(SolarProfile!$C$4:$CT$39,MATCH(Assumptions!$B$6&amp;"|1",SolarProfile!$A$4:$A$39,0),AO$23+1))</f>
        <v>247.8396</v>
      </c>
      <c r="AP25" s="45">
        <f>MIN($C$5,$C$6*INDEX(SolarProfile!$C$4:$CT$39,MATCH(Assumptions!$B$6&amp;"|1",SolarProfile!$A$4:$A$39,0),AP$23+1))</f>
        <v>271.2177</v>
      </c>
      <c r="AQ25" s="45">
        <f>MIN($C$5,$C$6*INDEX(SolarProfile!$C$4:$CT$39,MATCH(Assumptions!$B$6&amp;"|1",SolarProfile!$A$4:$A$39,0),AQ$23+1))</f>
        <v>293.3238</v>
      </c>
      <c r="AR25" s="45">
        <f>MIN($C$5,$C$6*INDEX(SolarProfile!$C$4:$CT$39,MATCH(Assumptions!$B$6&amp;"|1",SolarProfile!$A$4:$A$39,0),AR$23+1))</f>
        <v>300.0</v>
      </c>
      <c r="AS25" s="45">
        <f>MIN($C$5,$C$6*INDEX(SolarProfile!$C$4:$CT$39,MATCH(Assumptions!$B$6&amp;"|1",SolarProfile!$A$4:$A$39,0),AS$23+1))</f>
        <v>300.0</v>
      </c>
      <c r="AT25" s="45">
        <f>MIN($C$5,$C$6*INDEX(SolarProfile!$C$4:$CT$39,MATCH(Assumptions!$B$6&amp;"|1",SolarProfile!$A$4:$A$39,0),AT$23+1))</f>
        <v>300.0</v>
      </c>
      <c r="AU25" s="45">
        <f>MIN($C$5,$C$6*INDEX(SolarProfile!$C$4:$CT$39,MATCH(Assumptions!$B$6&amp;"|1",SolarProfile!$A$4:$A$39,0),AU$23+1))</f>
        <v>300.0</v>
      </c>
      <c r="AV25" s="45">
        <f>MIN($C$5,$C$6*INDEX(SolarProfile!$C$4:$CT$39,MATCH(Assumptions!$B$6&amp;"|1",SolarProfile!$A$4:$A$39,0),AV$23+1))</f>
        <v>300.0</v>
      </c>
      <c r="AW25" s="45">
        <f>MIN($C$5,$C$6*INDEX(SolarProfile!$C$4:$CT$39,MATCH(Assumptions!$B$6&amp;"|1",SolarProfile!$A$4:$A$39,0),AW$23+1))</f>
        <v>300.0</v>
      </c>
      <c r="AX25" s="45">
        <f>MIN($C$5,$C$6*INDEX(SolarProfile!$C$4:$CT$39,MATCH(Assumptions!$B$6&amp;"|1",SolarProfile!$A$4:$A$39,0),AX$23+1))</f>
        <v>300.0</v>
      </c>
      <c r="AY25" s="45">
        <f>MIN($C$5,$C$6*INDEX(SolarProfile!$C$4:$CT$39,MATCH(Assumptions!$B$6&amp;"|1",SolarProfile!$A$4:$A$39,0),AY$23+1))</f>
        <v>300.0</v>
      </c>
      <c r="AZ25" s="45">
        <f>MIN($C$5,$C$6*INDEX(SolarProfile!$C$4:$CT$39,MATCH(Assumptions!$B$6&amp;"|1",SolarProfile!$A$4:$A$39,0),AZ$23+1))</f>
        <v>300.0</v>
      </c>
      <c r="BA25" s="45">
        <f>MIN($C$5,$C$6*INDEX(SolarProfile!$C$4:$CT$39,MATCH(Assumptions!$B$6&amp;"|1",SolarProfile!$A$4:$A$39,0),BA$23+1))</f>
        <v>300.0</v>
      </c>
      <c r="BB25" s="45">
        <f>MIN($C$5,$C$6*INDEX(SolarProfile!$C$4:$CT$39,MATCH(Assumptions!$B$6&amp;"|1",SolarProfile!$A$4:$A$39,0),BB$23+1))</f>
        <v>300.0</v>
      </c>
      <c r="BC25" s="45">
        <f>MIN($C$5,$C$6*INDEX(SolarProfile!$C$4:$CT$39,MATCH(Assumptions!$B$6&amp;"|1",SolarProfile!$A$4:$A$39,0),BC$23+1))</f>
        <v>300.0</v>
      </c>
      <c r="BD25" s="45">
        <f>MIN($C$5,$C$6*INDEX(SolarProfile!$C$4:$CT$39,MATCH(Assumptions!$B$6&amp;"|1",SolarProfile!$A$4:$A$39,0),BD$23+1))</f>
        <v>300.0</v>
      </c>
      <c r="BE25" s="45">
        <f>MIN($C$5,$C$6*INDEX(SolarProfile!$C$4:$CT$39,MATCH(Assumptions!$B$6&amp;"|1",SolarProfile!$A$4:$A$39,0),BE$23+1))</f>
        <v>300.0</v>
      </c>
      <c r="BF25" s="45">
        <f>MIN($C$5,$C$6*INDEX(SolarProfile!$C$4:$CT$39,MATCH(Assumptions!$B$6&amp;"|1",SolarProfile!$A$4:$A$39,0),BF$23+1))</f>
        <v>300.0</v>
      </c>
      <c r="BG25" s="45">
        <f>MIN($C$5,$C$6*INDEX(SolarProfile!$C$4:$CT$39,MATCH(Assumptions!$B$6&amp;"|1",SolarProfile!$A$4:$A$39,0),BG$23+1))</f>
        <v>300.0</v>
      </c>
      <c r="BH25" s="45">
        <f>MIN($C$5,$C$6*INDEX(SolarProfile!$C$4:$CT$39,MATCH(Assumptions!$B$6&amp;"|1",SolarProfile!$A$4:$A$39,0),BH$23+1))</f>
        <v>300.0</v>
      </c>
      <c r="BI25" s="45">
        <f>MIN($C$5,$C$6*INDEX(SolarProfile!$C$4:$CT$39,MATCH(Assumptions!$B$6&amp;"|1",SolarProfile!$A$4:$A$39,0),BI$23+1))</f>
        <v>300.0</v>
      </c>
      <c r="BJ25" s="45">
        <f>MIN($C$5,$C$6*INDEX(SolarProfile!$C$4:$CT$39,MATCH(Assumptions!$B$6&amp;"|1",SolarProfile!$A$4:$A$39,0),BJ$23+1))</f>
        <v>293.3238</v>
      </c>
      <c r="BK25" s="45">
        <f>MIN($C$5,$C$6*INDEX(SolarProfile!$C$4:$CT$39,MATCH(Assumptions!$B$6&amp;"|1",SolarProfile!$A$4:$A$39,0),BK$23+1))</f>
        <v>271.2177</v>
      </c>
      <c r="BL25" s="45">
        <f>MIN($C$5,$C$6*INDEX(SolarProfile!$C$4:$CT$39,MATCH(Assumptions!$B$6&amp;"|1",SolarProfile!$A$4:$A$39,0),BL$23+1))</f>
        <v>247.8396</v>
      </c>
      <c r="BM25" s="45">
        <f>MIN($C$5,$C$6*INDEX(SolarProfile!$C$4:$CT$39,MATCH(Assumptions!$B$6&amp;"|1",SolarProfile!$A$4:$A$39,0),BM$23+1))</f>
        <v>223.44480000000001</v>
      </c>
      <c r="BN25" s="45">
        <f>MIN($C$5,$C$6*INDEX(SolarProfile!$C$4:$CT$39,MATCH(Assumptions!$B$6&amp;"|1",SolarProfile!$A$4:$A$39,0),BN$23+1))</f>
        <v>198.3075</v>
      </c>
      <c r="BO25" s="45">
        <f>MIN($C$5,$C$6*INDEX(SolarProfile!$C$4:$CT$39,MATCH(Assumptions!$B$6&amp;"|1",SolarProfile!$A$4:$A$39,0),BO$23+1))</f>
        <v>172.7223</v>
      </c>
      <c r="BP25" s="45">
        <f>MIN($C$5,$C$6*INDEX(SolarProfile!$C$4:$CT$39,MATCH(Assumptions!$B$6&amp;"|1",SolarProfile!$A$4:$A$39,0),BP$23+1))</f>
        <v>147.0039</v>
      </c>
      <c r="BQ25" s="45">
        <f>MIN($C$5,$C$6*INDEX(SolarProfile!$C$4:$CT$39,MATCH(Assumptions!$B$6&amp;"|1",SolarProfile!$A$4:$A$39,0),BQ$23+1))</f>
        <v>121.491</v>
      </c>
      <c r="BR25" s="45">
        <f>MIN($C$5,$C$6*INDEX(SolarProfile!$C$4:$CT$39,MATCH(Assumptions!$B$6&amp;"|1",SolarProfile!$A$4:$A$39,0),BR$23+1))</f>
        <v>96.55380000000001</v>
      </c>
      <c r="BS25" s="45">
        <f>MIN($C$5,$C$6*INDEX(SolarProfile!$C$4:$CT$39,MATCH(Assumptions!$B$6&amp;"|1",SolarProfile!$A$4:$A$39,0),BS$23+1))</f>
        <v>72.60600000000001</v>
      </c>
      <c r="BT25" s="45">
        <f>MIN($C$5,$C$6*INDEX(SolarProfile!$C$4:$CT$39,MATCH(Assumptions!$B$6&amp;"|1",SolarProfile!$A$4:$A$39,0),BT$23+1))</f>
        <v>50.133</v>
      </c>
      <c r="BU25" s="45">
        <f>MIN($C$5,$C$6*INDEX(SolarProfile!$C$4:$CT$39,MATCH(Assumptions!$B$6&amp;"|1",SolarProfile!$A$4:$A$39,0),BU$23+1))</f>
        <v>29.7564</v>
      </c>
      <c r="BV25" s="45">
        <f>MIN($C$5,$C$6*INDEX(SolarProfile!$C$4:$CT$39,MATCH(Assumptions!$B$6&amp;"|1",SolarProfile!$A$4:$A$39,0),BV$23+1))</f>
        <v>12.419699999999999</v>
      </c>
      <c r="BW25" s="45">
        <f>MIN($C$5,$C$6*INDEX(SolarProfile!$C$4:$CT$39,MATCH(Assumptions!$B$6&amp;"|1",SolarProfile!$A$4:$A$39,0),BW$23+1))</f>
        <v>0.44489999999999996</v>
      </c>
      <c r="BX25" s="45">
        <f>MIN($C$5,$C$6*INDEX(SolarProfile!$C$4:$CT$39,MATCH(Assumptions!$B$6&amp;"|1",SolarProfile!$A$4:$A$39,0),BX$23+1))</f>
        <v>0.0</v>
      </c>
      <c r="BY25" s="45">
        <f>MIN($C$5,$C$6*INDEX(SolarProfile!$C$4:$CT$39,MATCH(Assumptions!$B$6&amp;"|1",SolarProfile!$A$4:$A$39,0),BY$23+1))</f>
        <v>0.0</v>
      </c>
      <c r="BZ25" s="45">
        <f>MIN($C$5,$C$6*INDEX(SolarProfile!$C$4:$CT$39,MATCH(Assumptions!$B$6&amp;"|1",SolarProfile!$A$4:$A$39,0),BZ$23+1))</f>
        <v>0.0</v>
      </c>
      <c r="CA25" s="45">
        <f>MIN($C$5,$C$6*INDEX(SolarProfile!$C$4:$CT$39,MATCH(Assumptions!$B$6&amp;"|1",SolarProfile!$A$4:$A$39,0),CA$23+1))</f>
        <v>0.0</v>
      </c>
      <c r="CB25" s="45">
        <f>MIN($C$5,$C$6*INDEX(SolarProfile!$C$4:$CT$39,MATCH(Assumptions!$B$6&amp;"|1",SolarProfile!$A$4:$A$39,0),CB$23+1))</f>
        <v>0.0</v>
      </c>
      <c r="CC25" s="45">
        <f>MIN($C$5,$C$6*INDEX(SolarProfile!$C$4:$CT$39,MATCH(Assumptions!$B$6&amp;"|1",SolarProfile!$A$4:$A$39,0),CC$23+1))</f>
        <v>0.0</v>
      </c>
      <c r="CD25" s="45">
        <f>MIN($C$5,$C$6*INDEX(SolarProfile!$C$4:$CT$39,MATCH(Assumptions!$B$6&amp;"|1",SolarProfile!$A$4:$A$39,0),CD$23+1))</f>
        <v>0.0</v>
      </c>
      <c r="CE25" s="45">
        <f>MIN($C$5,$C$6*INDEX(SolarProfile!$C$4:$CT$39,MATCH(Assumptions!$B$6&amp;"|1",SolarProfile!$A$4:$A$39,0),CE$23+1))</f>
        <v>0.0</v>
      </c>
      <c r="CF25" s="45">
        <f>MIN($C$5,$C$6*INDEX(SolarProfile!$C$4:$CT$39,MATCH(Assumptions!$B$6&amp;"|1",SolarProfile!$A$4:$A$39,0),CF$23+1))</f>
        <v>0.0</v>
      </c>
      <c r="CG25" s="45">
        <f>MIN($C$5,$C$6*INDEX(SolarProfile!$C$4:$CT$39,MATCH(Assumptions!$B$6&amp;"|1",SolarProfile!$A$4:$A$39,0),CG$23+1))</f>
        <v>0.0</v>
      </c>
      <c r="CH25" s="45">
        <f>MIN($C$5,$C$6*INDEX(SolarProfile!$C$4:$CT$39,MATCH(Assumptions!$B$6&amp;"|1",SolarProfile!$A$4:$A$39,0),CH$23+1))</f>
        <v>0.0</v>
      </c>
      <c r="CI25" s="45">
        <f>MIN($C$5,$C$6*INDEX(SolarProfile!$C$4:$CT$39,MATCH(Assumptions!$B$6&amp;"|1",SolarProfile!$A$4:$A$39,0),CI$23+1))</f>
        <v>0.0</v>
      </c>
      <c r="CJ25" s="45">
        <f>MIN($C$5,$C$6*INDEX(SolarProfile!$C$4:$CT$39,MATCH(Assumptions!$B$6&amp;"|1",SolarProfile!$A$4:$A$39,0),CJ$23+1))</f>
        <v>0.0</v>
      </c>
      <c r="CK25" s="45">
        <f>MIN($C$5,$C$6*INDEX(SolarProfile!$C$4:$CT$39,MATCH(Assumptions!$B$6&amp;"|1",SolarProfile!$A$4:$A$39,0),CK$23+1))</f>
        <v>0.0</v>
      </c>
      <c r="CL25" s="45">
        <f>MIN($C$5,$C$6*INDEX(SolarProfile!$C$4:$CT$39,MATCH(Assumptions!$B$6&amp;"|1",SolarProfile!$A$4:$A$39,0),CL$23+1))</f>
        <v>0.0</v>
      </c>
      <c r="CM25" s="45">
        <f>MIN($C$5,$C$6*INDEX(SolarProfile!$C$4:$CT$39,MATCH(Assumptions!$B$6&amp;"|1",SolarProfile!$A$4:$A$39,0),CM$23+1))</f>
        <v>0.0</v>
      </c>
      <c r="CN25" s="45">
        <f>MIN($C$5,$C$6*INDEX(SolarProfile!$C$4:$CT$39,MATCH(Assumptions!$B$6&amp;"|1",SolarProfile!$A$4:$A$39,0),CN$23+1))</f>
        <v>0.0</v>
      </c>
      <c r="CO25" s="45">
        <f>MIN($C$5,$C$6*INDEX(SolarProfile!$C$4:$CT$39,MATCH(Assumptions!$B$6&amp;"|1",SolarProfile!$A$4:$A$39,0),CO$23+1))</f>
        <v>0.0</v>
      </c>
      <c r="CP25" s="45">
        <f>MIN($C$5,$C$6*INDEX(SolarProfile!$C$4:$CT$39,MATCH(Assumptions!$B$6&amp;"|1",SolarProfile!$A$4:$A$39,0),CP$23+1))</f>
        <v>0.0</v>
      </c>
      <c r="CQ25" s="45">
        <f>MIN($C$5,$C$6*INDEX(SolarProfile!$C$4:$CT$39,MATCH(Assumptions!$B$6&amp;"|1",SolarProfile!$A$4:$A$39,0),CQ$23+1))</f>
        <v>0.0</v>
      </c>
      <c r="CR25" s="45">
        <f>MIN($C$5,$C$6*INDEX(SolarProfile!$C$4:$CT$39,MATCH(Assumptions!$B$6&amp;"|1",SolarProfile!$A$4:$A$39,0),CR$23+1))</f>
        <v>0.0</v>
      </c>
      <c r="CS25" s="45">
        <f>MIN($C$5,$C$6*INDEX(SolarProfile!$C$4:$CT$39,MATCH(Assumptions!$B$6&amp;"|1",SolarProfile!$A$4:$A$39,0),CS$23+1))</f>
        <v>0.0</v>
      </c>
      <c r="CT25" s="45">
        <f>MIN($C$5,$C$6*INDEX(SolarProfile!$C$4:$CT$39,MATCH(Assumptions!$B$6&amp;"|1",SolarProfile!$A$4:$A$39,0),CT$23+1))</f>
        <v>0.0</v>
      </c>
      <c r="CU25" s="45">
        <f>MIN($C$5,$C$6*INDEX(SolarProfile!$C$4:$CT$39,MATCH(Assumptions!$B$6&amp;"|1",SolarProfile!$A$4:$A$39,0),CU$23+1))</f>
        <v>0.0</v>
      </c>
    </row>
    <row r="26">
      <c r="A26" s="6" t="inlineStr">
        <is>
          <t>Feb</t>
        </is>
      </c>
      <c r="D26" s="45">
        <f>MIN($C$5,$C$6*INDEX(SolarProfile!$C$4:$CT$39,MATCH(Assumptions!$B$6&amp;"|2",SolarProfile!$A$4:$A$39,0),D$23+1))</f>
        <v>0.0</v>
      </c>
      <c r="E26" s="45">
        <f>MIN($C$5,$C$6*INDEX(SolarProfile!$C$4:$CT$39,MATCH(Assumptions!$B$6&amp;"|2",SolarProfile!$A$4:$A$39,0),E$23+1))</f>
        <v>0.0</v>
      </c>
      <c r="F26" s="45">
        <f>MIN($C$5,$C$6*INDEX(SolarProfile!$C$4:$CT$39,MATCH(Assumptions!$B$6&amp;"|2",SolarProfile!$A$4:$A$39,0),F$23+1))</f>
        <v>0.0</v>
      </c>
      <c r="G26" s="45">
        <f>MIN($C$5,$C$6*INDEX(SolarProfile!$C$4:$CT$39,MATCH(Assumptions!$B$6&amp;"|2",SolarProfile!$A$4:$A$39,0),G$23+1))</f>
        <v>0.0</v>
      </c>
      <c r="H26" s="45">
        <f>MIN($C$5,$C$6*INDEX(SolarProfile!$C$4:$CT$39,MATCH(Assumptions!$B$6&amp;"|2",SolarProfile!$A$4:$A$39,0),H$23+1))</f>
        <v>0.0</v>
      </c>
      <c r="I26" s="45">
        <f>MIN($C$5,$C$6*INDEX(SolarProfile!$C$4:$CT$39,MATCH(Assumptions!$B$6&amp;"|2",SolarProfile!$A$4:$A$39,0),I$23+1))</f>
        <v>0.0</v>
      </c>
      <c r="J26" s="45">
        <f>MIN($C$5,$C$6*INDEX(SolarProfile!$C$4:$CT$39,MATCH(Assumptions!$B$6&amp;"|2",SolarProfile!$A$4:$A$39,0),J$23+1))</f>
        <v>0.0</v>
      </c>
      <c r="K26" s="45">
        <f>MIN($C$5,$C$6*INDEX(SolarProfile!$C$4:$CT$39,MATCH(Assumptions!$B$6&amp;"|2",SolarProfile!$A$4:$A$39,0),K$23+1))</f>
        <v>0.0</v>
      </c>
      <c r="L26" s="45">
        <f>MIN($C$5,$C$6*INDEX(SolarProfile!$C$4:$CT$39,MATCH(Assumptions!$B$6&amp;"|2",SolarProfile!$A$4:$A$39,0),L$23+1))</f>
        <v>0.0</v>
      </c>
      <c r="M26" s="45">
        <f>MIN($C$5,$C$6*INDEX(SolarProfile!$C$4:$CT$39,MATCH(Assumptions!$B$6&amp;"|2",SolarProfile!$A$4:$A$39,0),M$23+1))</f>
        <v>0.0</v>
      </c>
      <c r="N26" s="45">
        <f>MIN($C$5,$C$6*INDEX(SolarProfile!$C$4:$CT$39,MATCH(Assumptions!$B$6&amp;"|2",SolarProfile!$A$4:$A$39,0),N$23+1))</f>
        <v>0.0</v>
      </c>
      <c r="O26" s="45">
        <f>MIN($C$5,$C$6*INDEX(SolarProfile!$C$4:$CT$39,MATCH(Assumptions!$B$6&amp;"|2",SolarProfile!$A$4:$A$39,0),O$23+1))</f>
        <v>0.0</v>
      </c>
      <c r="P26" s="45">
        <f>MIN($C$5,$C$6*INDEX(SolarProfile!$C$4:$CT$39,MATCH(Assumptions!$B$6&amp;"|2",SolarProfile!$A$4:$A$39,0),P$23+1))</f>
        <v>0.0</v>
      </c>
      <c r="Q26" s="45">
        <f>MIN($C$5,$C$6*INDEX(SolarProfile!$C$4:$CT$39,MATCH(Assumptions!$B$6&amp;"|2",SolarProfile!$A$4:$A$39,0),Q$23+1))</f>
        <v>0.0</v>
      </c>
      <c r="R26" s="45">
        <f>MIN($C$5,$C$6*INDEX(SolarProfile!$C$4:$CT$39,MATCH(Assumptions!$B$6&amp;"|2",SolarProfile!$A$4:$A$39,0),R$23+1))</f>
        <v>0.0</v>
      </c>
      <c r="S26" s="45">
        <f>MIN($C$5,$C$6*INDEX(SolarProfile!$C$4:$CT$39,MATCH(Assumptions!$B$6&amp;"|2",SolarProfile!$A$4:$A$39,0),S$23+1))</f>
        <v>0.0</v>
      </c>
      <c r="T26" s="45">
        <f>MIN($C$5,$C$6*INDEX(SolarProfile!$C$4:$CT$39,MATCH(Assumptions!$B$6&amp;"|2",SolarProfile!$A$4:$A$39,0),T$23+1))</f>
        <v>0.0</v>
      </c>
      <c r="U26" s="45">
        <f>MIN($C$5,$C$6*INDEX(SolarProfile!$C$4:$CT$39,MATCH(Assumptions!$B$6&amp;"|2",SolarProfile!$A$4:$A$39,0),U$23+1))</f>
        <v>0.0</v>
      </c>
      <c r="V26" s="45">
        <f>MIN($C$5,$C$6*INDEX(SolarProfile!$C$4:$CT$39,MATCH(Assumptions!$B$6&amp;"|2",SolarProfile!$A$4:$A$39,0),V$23+1))</f>
        <v>0.0</v>
      </c>
      <c r="W26" s="45">
        <f>MIN($C$5,$C$6*INDEX(SolarProfile!$C$4:$CT$39,MATCH(Assumptions!$B$6&amp;"|2",SolarProfile!$A$4:$A$39,0),W$23+1))</f>
        <v>0.0</v>
      </c>
      <c r="X26" s="45">
        <f>MIN($C$5,$C$6*INDEX(SolarProfile!$C$4:$CT$39,MATCH(Assumptions!$B$6&amp;"|2",SolarProfile!$A$4:$A$39,0),X$23+1))</f>
        <v>0.0</v>
      </c>
      <c r="Y26" s="45">
        <f>MIN($C$5,$C$6*INDEX(SolarProfile!$C$4:$CT$39,MATCH(Assumptions!$B$6&amp;"|2",SolarProfile!$A$4:$A$39,0),Y$23+1))</f>
        <v>0.0</v>
      </c>
      <c r="Z26" s="45">
        <f>MIN($C$5,$C$6*INDEX(SolarProfile!$C$4:$CT$39,MATCH(Assumptions!$B$6&amp;"|2",SolarProfile!$A$4:$A$39,0),Z$23+1))</f>
        <v>0.0</v>
      </c>
      <c r="AA26" s="45">
        <f>MIN($C$5,$C$6*INDEX(SolarProfile!$C$4:$CT$39,MATCH(Assumptions!$B$6&amp;"|2",SolarProfile!$A$4:$A$39,0),AA$23+1))</f>
        <v>0.0</v>
      </c>
      <c r="AB26" s="45">
        <f>MIN($C$5,$C$6*INDEX(SolarProfile!$C$4:$CT$39,MATCH(Assumptions!$B$6&amp;"|2",SolarProfile!$A$4:$A$39,0),AB$23+1))</f>
        <v>0.0</v>
      </c>
      <c r="AC26" s="45">
        <f>MIN($C$5,$C$6*INDEX(SolarProfile!$C$4:$CT$39,MATCH(Assumptions!$B$6&amp;"|2",SolarProfile!$A$4:$A$39,0),AC$23+1))</f>
        <v>0.0</v>
      </c>
      <c r="AD26" s="45">
        <f>MIN($C$5,$C$6*INDEX(SolarProfile!$C$4:$CT$39,MATCH(Assumptions!$B$6&amp;"|2",SolarProfile!$A$4:$A$39,0),AD$23+1))</f>
        <v>6.4146</v>
      </c>
      <c r="AE26" s="45">
        <f>MIN($C$5,$C$6*INDEX(SolarProfile!$C$4:$CT$39,MATCH(Assumptions!$B$6&amp;"|2",SolarProfile!$A$4:$A$39,0),AE$23+1))</f>
        <v>22.9842</v>
      </c>
      <c r="AF26" s="45">
        <f>MIN($C$5,$C$6*INDEX(SolarProfile!$C$4:$CT$39,MATCH(Assumptions!$B$6&amp;"|2",SolarProfile!$A$4:$A$39,0),AF$23+1))</f>
        <v>43.6014</v>
      </c>
      <c r="AG26" s="45">
        <f>MIN($C$5,$C$6*INDEX(SolarProfile!$C$4:$CT$39,MATCH(Assumptions!$B$6&amp;"|2",SolarProfile!$A$4:$A$39,0),AG$23+1))</f>
        <v>66.89280000000001</v>
      </c>
      <c r="AH26" s="45">
        <f>MIN($C$5,$C$6*INDEX(SolarProfile!$C$4:$CT$39,MATCH(Assumptions!$B$6&amp;"|2",SolarProfile!$A$4:$A$39,0),AH$23+1))</f>
        <v>92.0808</v>
      </c>
      <c r="AI26" s="45">
        <f>MIN($C$5,$C$6*INDEX(SolarProfile!$C$4:$CT$39,MATCH(Assumptions!$B$6&amp;"|2",SolarProfile!$A$4:$A$39,0),AI$23+1))</f>
        <v>118.5978</v>
      </c>
      <c r="AJ26" s="45">
        <f>MIN($C$5,$C$6*INDEX(SolarProfile!$C$4:$CT$39,MATCH(Assumptions!$B$6&amp;"|2",SolarProfile!$A$4:$A$39,0),AJ$23+1))</f>
        <v>145.977</v>
      </c>
      <c r="AK26" s="45">
        <f>MIN($C$5,$C$6*INDEX(SolarProfile!$C$4:$CT$39,MATCH(Assumptions!$B$6&amp;"|2",SolarProfile!$A$4:$A$39,0),AK$23+1))</f>
        <v>173.8107</v>
      </c>
      <c r="AL26" s="45">
        <f>MIN($C$5,$C$6*INDEX(SolarProfile!$C$4:$CT$39,MATCH(Assumptions!$B$6&amp;"|2",SolarProfile!$A$4:$A$39,0),AL$23+1))</f>
        <v>201.72899999999998</v>
      </c>
      <c r="AM26" s="45">
        <f>MIN($C$5,$C$6*INDEX(SolarProfile!$C$4:$CT$39,MATCH(Assumptions!$B$6&amp;"|2",SolarProfile!$A$4:$A$39,0),AM$23+1))</f>
        <v>229.3896</v>
      </c>
      <c r="AN26" s="45">
        <f>MIN($C$5,$C$6*INDEX(SolarProfile!$C$4:$CT$39,MATCH(Assumptions!$B$6&amp;"|2",SolarProfile!$A$4:$A$39,0),AN$23+1))</f>
        <v>256.4745</v>
      </c>
      <c r="AO26" s="45">
        <f>MIN($C$5,$C$6*INDEX(SolarProfile!$C$4:$CT$39,MATCH(Assumptions!$B$6&amp;"|2",SolarProfile!$A$4:$A$39,0),AO$23+1))</f>
        <v>282.68489999999997</v>
      </c>
      <c r="AP26" s="45">
        <f>MIN($C$5,$C$6*INDEX(SolarProfile!$C$4:$CT$39,MATCH(Assumptions!$B$6&amp;"|2",SolarProfile!$A$4:$A$39,0),AP$23+1))</f>
        <v>300.0</v>
      </c>
      <c r="AQ26" s="45">
        <f>MIN($C$5,$C$6*INDEX(SolarProfile!$C$4:$CT$39,MATCH(Assumptions!$B$6&amp;"|2",SolarProfile!$A$4:$A$39,0),AQ$23+1))</f>
        <v>300.0</v>
      </c>
      <c r="AR26" s="45">
        <f>MIN($C$5,$C$6*INDEX(SolarProfile!$C$4:$CT$39,MATCH(Assumptions!$B$6&amp;"|2",SolarProfile!$A$4:$A$39,0),AR$23+1))</f>
        <v>300.0</v>
      </c>
      <c r="AS26" s="45">
        <f>MIN($C$5,$C$6*INDEX(SolarProfile!$C$4:$CT$39,MATCH(Assumptions!$B$6&amp;"|2",SolarProfile!$A$4:$A$39,0),AS$23+1))</f>
        <v>300.0</v>
      </c>
      <c r="AT26" s="45">
        <f>MIN($C$5,$C$6*INDEX(SolarProfile!$C$4:$CT$39,MATCH(Assumptions!$B$6&amp;"|2",SolarProfile!$A$4:$A$39,0),AT$23+1))</f>
        <v>300.0</v>
      </c>
      <c r="AU26" s="45">
        <f>MIN($C$5,$C$6*INDEX(SolarProfile!$C$4:$CT$39,MATCH(Assumptions!$B$6&amp;"|2",SolarProfile!$A$4:$A$39,0),AU$23+1))</f>
        <v>300.0</v>
      </c>
      <c r="AV26" s="45">
        <f>MIN($C$5,$C$6*INDEX(SolarProfile!$C$4:$CT$39,MATCH(Assumptions!$B$6&amp;"|2",SolarProfile!$A$4:$A$39,0),AV$23+1))</f>
        <v>300.0</v>
      </c>
      <c r="AW26" s="45">
        <f>MIN($C$5,$C$6*INDEX(SolarProfile!$C$4:$CT$39,MATCH(Assumptions!$B$6&amp;"|2",SolarProfile!$A$4:$A$39,0),AW$23+1))</f>
        <v>300.0</v>
      </c>
      <c r="AX26" s="45">
        <f>MIN($C$5,$C$6*INDEX(SolarProfile!$C$4:$CT$39,MATCH(Assumptions!$B$6&amp;"|2",SolarProfile!$A$4:$A$39,0),AX$23+1))</f>
        <v>300.0</v>
      </c>
      <c r="AY26" s="45">
        <f>MIN($C$5,$C$6*INDEX(SolarProfile!$C$4:$CT$39,MATCH(Assumptions!$B$6&amp;"|2",SolarProfile!$A$4:$A$39,0),AY$23+1))</f>
        <v>300.0</v>
      </c>
      <c r="AZ26" s="45">
        <f>MIN($C$5,$C$6*INDEX(SolarProfile!$C$4:$CT$39,MATCH(Assumptions!$B$6&amp;"|2",SolarProfile!$A$4:$A$39,0),AZ$23+1))</f>
        <v>300.0</v>
      </c>
      <c r="BA26" s="45">
        <f>MIN($C$5,$C$6*INDEX(SolarProfile!$C$4:$CT$39,MATCH(Assumptions!$B$6&amp;"|2",SolarProfile!$A$4:$A$39,0),BA$23+1))</f>
        <v>300.0</v>
      </c>
      <c r="BB26" s="45">
        <f>MIN($C$5,$C$6*INDEX(SolarProfile!$C$4:$CT$39,MATCH(Assumptions!$B$6&amp;"|2",SolarProfile!$A$4:$A$39,0),BB$23+1))</f>
        <v>300.0</v>
      </c>
      <c r="BC26" s="45">
        <f>MIN($C$5,$C$6*INDEX(SolarProfile!$C$4:$CT$39,MATCH(Assumptions!$B$6&amp;"|2",SolarProfile!$A$4:$A$39,0),BC$23+1))</f>
        <v>300.0</v>
      </c>
      <c r="BD26" s="45">
        <f>MIN($C$5,$C$6*INDEX(SolarProfile!$C$4:$CT$39,MATCH(Assumptions!$B$6&amp;"|2",SolarProfile!$A$4:$A$39,0),BD$23+1))</f>
        <v>300.0</v>
      </c>
      <c r="BE26" s="45">
        <f>MIN($C$5,$C$6*INDEX(SolarProfile!$C$4:$CT$39,MATCH(Assumptions!$B$6&amp;"|2",SolarProfile!$A$4:$A$39,0),BE$23+1))</f>
        <v>300.0</v>
      </c>
      <c r="BF26" s="45">
        <f>MIN($C$5,$C$6*INDEX(SolarProfile!$C$4:$CT$39,MATCH(Assumptions!$B$6&amp;"|2",SolarProfile!$A$4:$A$39,0),BF$23+1))</f>
        <v>300.0</v>
      </c>
      <c r="BG26" s="45">
        <f>MIN($C$5,$C$6*INDEX(SolarProfile!$C$4:$CT$39,MATCH(Assumptions!$B$6&amp;"|2",SolarProfile!$A$4:$A$39,0),BG$23+1))</f>
        <v>300.0</v>
      </c>
      <c r="BH26" s="45">
        <f>MIN($C$5,$C$6*INDEX(SolarProfile!$C$4:$CT$39,MATCH(Assumptions!$B$6&amp;"|2",SolarProfile!$A$4:$A$39,0),BH$23+1))</f>
        <v>300.0</v>
      </c>
      <c r="BI26" s="45">
        <f>MIN($C$5,$C$6*INDEX(SolarProfile!$C$4:$CT$39,MATCH(Assumptions!$B$6&amp;"|2",SolarProfile!$A$4:$A$39,0),BI$23+1))</f>
        <v>300.0</v>
      </c>
      <c r="BJ26" s="45">
        <f>MIN($C$5,$C$6*INDEX(SolarProfile!$C$4:$CT$39,MATCH(Assumptions!$B$6&amp;"|2",SolarProfile!$A$4:$A$39,0),BJ$23+1))</f>
        <v>300.0</v>
      </c>
      <c r="BK26" s="45">
        <f>MIN($C$5,$C$6*INDEX(SolarProfile!$C$4:$CT$39,MATCH(Assumptions!$B$6&amp;"|2",SolarProfile!$A$4:$A$39,0),BK$23+1))</f>
        <v>300.0</v>
      </c>
      <c r="BL26" s="45">
        <f>MIN($C$5,$C$6*INDEX(SolarProfile!$C$4:$CT$39,MATCH(Assumptions!$B$6&amp;"|2",SolarProfile!$A$4:$A$39,0),BL$23+1))</f>
        <v>282.68489999999997</v>
      </c>
      <c r="BM26" s="45">
        <f>MIN($C$5,$C$6*INDEX(SolarProfile!$C$4:$CT$39,MATCH(Assumptions!$B$6&amp;"|2",SolarProfile!$A$4:$A$39,0),BM$23+1))</f>
        <v>256.4745</v>
      </c>
      <c r="BN26" s="45">
        <f>MIN($C$5,$C$6*INDEX(SolarProfile!$C$4:$CT$39,MATCH(Assumptions!$B$6&amp;"|2",SolarProfile!$A$4:$A$39,0),BN$23+1))</f>
        <v>229.3896</v>
      </c>
      <c r="BO26" s="45">
        <f>MIN($C$5,$C$6*INDEX(SolarProfile!$C$4:$CT$39,MATCH(Assumptions!$B$6&amp;"|2",SolarProfile!$A$4:$A$39,0),BO$23+1))</f>
        <v>201.72899999999998</v>
      </c>
      <c r="BP26" s="45">
        <f>MIN($C$5,$C$6*INDEX(SolarProfile!$C$4:$CT$39,MATCH(Assumptions!$B$6&amp;"|2",SolarProfile!$A$4:$A$39,0),BP$23+1))</f>
        <v>173.8107</v>
      </c>
      <c r="BQ26" s="45">
        <f>MIN($C$5,$C$6*INDEX(SolarProfile!$C$4:$CT$39,MATCH(Assumptions!$B$6&amp;"|2",SolarProfile!$A$4:$A$39,0),BQ$23+1))</f>
        <v>145.977</v>
      </c>
      <c r="BR26" s="45">
        <f>MIN($C$5,$C$6*INDEX(SolarProfile!$C$4:$CT$39,MATCH(Assumptions!$B$6&amp;"|2",SolarProfile!$A$4:$A$39,0),BR$23+1))</f>
        <v>118.5978</v>
      </c>
      <c r="BS26" s="45">
        <f>MIN($C$5,$C$6*INDEX(SolarProfile!$C$4:$CT$39,MATCH(Assumptions!$B$6&amp;"|2",SolarProfile!$A$4:$A$39,0),BS$23+1))</f>
        <v>92.0808</v>
      </c>
      <c r="BT26" s="45">
        <f>MIN($C$5,$C$6*INDEX(SolarProfile!$C$4:$CT$39,MATCH(Assumptions!$B$6&amp;"|2",SolarProfile!$A$4:$A$39,0),BT$23+1))</f>
        <v>66.89280000000001</v>
      </c>
      <c r="BU26" s="45">
        <f>MIN($C$5,$C$6*INDEX(SolarProfile!$C$4:$CT$39,MATCH(Assumptions!$B$6&amp;"|2",SolarProfile!$A$4:$A$39,0),BU$23+1))</f>
        <v>43.6014</v>
      </c>
      <c r="BV26" s="45">
        <f>MIN($C$5,$C$6*INDEX(SolarProfile!$C$4:$CT$39,MATCH(Assumptions!$B$6&amp;"|2",SolarProfile!$A$4:$A$39,0),BV$23+1))</f>
        <v>22.9842</v>
      </c>
      <c r="BW26" s="45">
        <f>MIN($C$5,$C$6*INDEX(SolarProfile!$C$4:$CT$39,MATCH(Assumptions!$B$6&amp;"|2",SolarProfile!$A$4:$A$39,0),BW$23+1))</f>
        <v>6.4146</v>
      </c>
      <c r="BX26" s="45">
        <f>MIN($C$5,$C$6*INDEX(SolarProfile!$C$4:$CT$39,MATCH(Assumptions!$B$6&amp;"|2",SolarProfile!$A$4:$A$39,0),BX$23+1))</f>
        <v>0.0</v>
      </c>
      <c r="BY26" s="45">
        <f>MIN($C$5,$C$6*INDEX(SolarProfile!$C$4:$CT$39,MATCH(Assumptions!$B$6&amp;"|2",SolarProfile!$A$4:$A$39,0),BY$23+1))</f>
        <v>0.0</v>
      </c>
      <c r="BZ26" s="45">
        <f>MIN($C$5,$C$6*INDEX(SolarProfile!$C$4:$CT$39,MATCH(Assumptions!$B$6&amp;"|2",SolarProfile!$A$4:$A$39,0),BZ$23+1))</f>
        <v>0.0</v>
      </c>
      <c r="CA26" s="45">
        <f>MIN($C$5,$C$6*INDEX(SolarProfile!$C$4:$CT$39,MATCH(Assumptions!$B$6&amp;"|2",SolarProfile!$A$4:$A$39,0),CA$23+1))</f>
        <v>0.0</v>
      </c>
      <c r="CB26" s="45">
        <f>MIN($C$5,$C$6*INDEX(SolarProfile!$C$4:$CT$39,MATCH(Assumptions!$B$6&amp;"|2",SolarProfile!$A$4:$A$39,0),CB$23+1))</f>
        <v>0.0</v>
      </c>
      <c r="CC26" s="45">
        <f>MIN($C$5,$C$6*INDEX(SolarProfile!$C$4:$CT$39,MATCH(Assumptions!$B$6&amp;"|2",SolarProfile!$A$4:$A$39,0),CC$23+1))</f>
        <v>0.0</v>
      </c>
      <c r="CD26" s="45">
        <f>MIN($C$5,$C$6*INDEX(SolarProfile!$C$4:$CT$39,MATCH(Assumptions!$B$6&amp;"|2",SolarProfile!$A$4:$A$39,0),CD$23+1))</f>
        <v>0.0</v>
      </c>
      <c r="CE26" s="45">
        <f>MIN($C$5,$C$6*INDEX(SolarProfile!$C$4:$CT$39,MATCH(Assumptions!$B$6&amp;"|2",SolarProfile!$A$4:$A$39,0),CE$23+1))</f>
        <v>0.0</v>
      </c>
      <c r="CF26" s="45">
        <f>MIN($C$5,$C$6*INDEX(SolarProfile!$C$4:$CT$39,MATCH(Assumptions!$B$6&amp;"|2",SolarProfile!$A$4:$A$39,0),CF$23+1))</f>
        <v>0.0</v>
      </c>
      <c r="CG26" s="45">
        <f>MIN($C$5,$C$6*INDEX(SolarProfile!$C$4:$CT$39,MATCH(Assumptions!$B$6&amp;"|2",SolarProfile!$A$4:$A$39,0),CG$23+1))</f>
        <v>0.0</v>
      </c>
      <c r="CH26" s="45">
        <f>MIN($C$5,$C$6*INDEX(SolarProfile!$C$4:$CT$39,MATCH(Assumptions!$B$6&amp;"|2",SolarProfile!$A$4:$A$39,0),CH$23+1))</f>
        <v>0.0</v>
      </c>
      <c r="CI26" s="45">
        <f>MIN($C$5,$C$6*INDEX(SolarProfile!$C$4:$CT$39,MATCH(Assumptions!$B$6&amp;"|2",SolarProfile!$A$4:$A$39,0),CI$23+1))</f>
        <v>0.0</v>
      </c>
      <c r="CJ26" s="45">
        <f>MIN($C$5,$C$6*INDEX(SolarProfile!$C$4:$CT$39,MATCH(Assumptions!$B$6&amp;"|2",SolarProfile!$A$4:$A$39,0),CJ$23+1))</f>
        <v>0.0</v>
      </c>
      <c r="CK26" s="45">
        <f>MIN($C$5,$C$6*INDEX(SolarProfile!$C$4:$CT$39,MATCH(Assumptions!$B$6&amp;"|2",SolarProfile!$A$4:$A$39,0),CK$23+1))</f>
        <v>0.0</v>
      </c>
      <c r="CL26" s="45">
        <f>MIN($C$5,$C$6*INDEX(SolarProfile!$C$4:$CT$39,MATCH(Assumptions!$B$6&amp;"|2",SolarProfile!$A$4:$A$39,0),CL$23+1))</f>
        <v>0.0</v>
      </c>
      <c r="CM26" s="45">
        <f>MIN($C$5,$C$6*INDEX(SolarProfile!$C$4:$CT$39,MATCH(Assumptions!$B$6&amp;"|2",SolarProfile!$A$4:$A$39,0),CM$23+1))</f>
        <v>0.0</v>
      </c>
      <c r="CN26" s="45">
        <f>MIN($C$5,$C$6*INDEX(SolarProfile!$C$4:$CT$39,MATCH(Assumptions!$B$6&amp;"|2",SolarProfile!$A$4:$A$39,0),CN$23+1))</f>
        <v>0.0</v>
      </c>
      <c r="CO26" s="45">
        <f>MIN($C$5,$C$6*INDEX(SolarProfile!$C$4:$CT$39,MATCH(Assumptions!$B$6&amp;"|2",SolarProfile!$A$4:$A$39,0),CO$23+1))</f>
        <v>0.0</v>
      </c>
      <c r="CP26" s="45">
        <f>MIN($C$5,$C$6*INDEX(SolarProfile!$C$4:$CT$39,MATCH(Assumptions!$B$6&amp;"|2",SolarProfile!$A$4:$A$39,0),CP$23+1))</f>
        <v>0.0</v>
      </c>
      <c r="CQ26" s="45">
        <f>MIN($C$5,$C$6*INDEX(SolarProfile!$C$4:$CT$39,MATCH(Assumptions!$B$6&amp;"|2",SolarProfile!$A$4:$A$39,0),CQ$23+1))</f>
        <v>0.0</v>
      </c>
      <c r="CR26" s="45">
        <f>MIN($C$5,$C$6*INDEX(SolarProfile!$C$4:$CT$39,MATCH(Assumptions!$B$6&amp;"|2",SolarProfile!$A$4:$A$39,0),CR$23+1))</f>
        <v>0.0</v>
      </c>
      <c r="CS26" s="45">
        <f>MIN($C$5,$C$6*INDEX(SolarProfile!$C$4:$CT$39,MATCH(Assumptions!$B$6&amp;"|2",SolarProfile!$A$4:$A$39,0),CS$23+1))</f>
        <v>0.0</v>
      </c>
      <c r="CT26" s="45">
        <f>MIN($C$5,$C$6*INDEX(SolarProfile!$C$4:$CT$39,MATCH(Assumptions!$B$6&amp;"|2",SolarProfile!$A$4:$A$39,0),CT$23+1))</f>
        <v>0.0</v>
      </c>
      <c r="CU26" s="45">
        <f>MIN($C$5,$C$6*INDEX(SolarProfile!$C$4:$CT$39,MATCH(Assumptions!$B$6&amp;"|2",SolarProfile!$A$4:$A$39,0),CU$23+1))</f>
        <v>0.0</v>
      </c>
    </row>
    <row r="27">
      <c r="A27" s="6" t="inlineStr">
        <is>
          <t>Mar</t>
        </is>
      </c>
      <c r="D27" s="45">
        <f>MIN($C$5,$C$6*INDEX(SolarProfile!$C$4:$CT$39,MATCH(Assumptions!$B$6&amp;"|3",SolarProfile!$A$4:$A$39,0),D$23+1))</f>
        <v>0.0</v>
      </c>
      <c r="E27" s="45">
        <f>MIN($C$5,$C$6*INDEX(SolarProfile!$C$4:$CT$39,MATCH(Assumptions!$B$6&amp;"|3",SolarProfile!$A$4:$A$39,0),E$23+1))</f>
        <v>0.0</v>
      </c>
      <c r="F27" s="45">
        <f>MIN($C$5,$C$6*INDEX(SolarProfile!$C$4:$CT$39,MATCH(Assumptions!$B$6&amp;"|3",SolarProfile!$A$4:$A$39,0),F$23+1))</f>
        <v>0.0</v>
      </c>
      <c r="G27" s="45">
        <f>MIN($C$5,$C$6*INDEX(SolarProfile!$C$4:$CT$39,MATCH(Assumptions!$B$6&amp;"|3",SolarProfile!$A$4:$A$39,0),G$23+1))</f>
        <v>0.0</v>
      </c>
      <c r="H27" s="45">
        <f>MIN($C$5,$C$6*INDEX(SolarProfile!$C$4:$CT$39,MATCH(Assumptions!$B$6&amp;"|3",SolarProfile!$A$4:$A$39,0),H$23+1))</f>
        <v>0.0</v>
      </c>
      <c r="I27" s="45">
        <f>MIN($C$5,$C$6*INDEX(SolarProfile!$C$4:$CT$39,MATCH(Assumptions!$B$6&amp;"|3",SolarProfile!$A$4:$A$39,0),I$23+1))</f>
        <v>0.0</v>
      </c>
      <c r="J27" s="45">
        <f>MIN($C$5,$C$6*INDEX(SolarProfile!$C$4:$CT$39,MATCH(Assumptions!$B$6&amp;"|3",SolarProfile!$A$4:$A$39,0),J$23+1))</f>
        <v>0.0</v>
      </c>
      <c r="K27" s="45">
        <f>MIN($C$5,$C$6*INDEX(SolarProfile!$C$4:$CT$39,MATCH(Assumptions!$B$6&amp;"|3",SolarProfile!$A$4:$A$39,0),K$23+1))</f>
        <v>0.0</v>
      </c>
      <c r="L27" s="45">
        <f>MIN($C$5,$C$6*INDEX(SolarProfile!$C$4:$CT$39,MATCH(Assumptions!$B$6&amp;"|3",SolarProfile!$A$4:$A$39,0),L$23+1))</f>
        <v>0.0</v>
      </c>
      <c r="M27" s="45">
        <f>MIN($C$5,$C$6*INDEX(SolarProfile!$C$4:$CT$39,MATCH(Assumptions!$B$6&amp;"|3",SolarProfile!$A$4:$A$39,0),M$23+1))</f>
        <v>0.0</v>
      </c>
      <c r="N27" s="45">
        <f>MIN($C$5,$C$6*INDEX(SolarProfile!$C$4:$CT$39,MATCH(Assumptions!$B$6&amp;"|3",SolarProfile!$A$4:$A$39,0),N$23+1))</f>
        <v>0.0</v>
      </c>
      <c r="O27" s="45">
        <f>MIN($C$5,$C$6*INDEX(SolarProfile!$C$4:$CT$39,MATCH(Assumptions!$B$6&amp;"|3",SolarProfile!$A$4:$A$39,0),O$23+1))</f>
        <v>0.0</v>
      </c>
      <c r="P27" s="45">
        <f>MIN($C$5,$C$6*INDEX(SolarProfile!$C$4:$CT$39,MATCH(Assumptions!$B$6&amp;"|3",SolarProfile!$A$4:$A$39,0),P$23+1))</f>
        <v>0.0</v>
      </c>
      <c r="Q27" s="45">
        <f>MIN($C$5,$C$6*INDEX(SolarProfile!$C$4:$CT$39,MATCH(Assumptions!$B$6&amp;"|3",SolarProfile!$A$4:$A$39,0),Q$23+1))</f>
        <v>0.0</v>
      </c>
      <c r="R27" s="45">
        <f>MIN($C$5,$C$6*INDEX(SolarProfile!$C$4:$CT$39,MATCH(Assumptions!$B$6&amp;"|3",SolarProfile!$A$4:$A$39,0),R$23+1))</f>
        <v>0.0</v>
      </c>
      <c r="S27" s="45">
        <f>MIN($C$5,$C$6*INDEX(SolarProfile!$C$4:$CT$39,MATCH(Assumptions!$B$6&amp;"|3",SolarProfile!$A$4:$A$39,0),S$23+1))</f>
        <v>0.0</v>
      </c>
      <c r="T27" s="45">
        <f>MIN($C$5,$C$6*INDEX(SolarProfile!$C$4:$CT$39,MATCH(Assumptions!$B$6&amp;"|3",SolarProfile!$A$4:$A$39,0),T$23+1))</f>
        <v>0.0</v>
      </c>
      <c r="U27" s="45">
        <f>MIN($C$5,$C$6*INDEX(SolarProfile!$C$4:$CT$39,MATCH(Assumptions!$B$6&amp;"|3",SolarProfile!$A$4:$A$39,0),U$23+1))</f>
        <v>0.0</v>
      </c>
      <c r="V27" s="45">
        <f>MIN($C$5,$C$6*INDEX(SolarProfile!$C$4:$CT$39,MATCH(Assumptions!$B$6&amp;"|3",SolarProfile!$A$4:$A$39,0),V$23+1))</f>
        <v>0.0</v>
      </c>
      <c r="W27" s="45">
        <f>MIN($C$5,$C$6*INDEX(SolarProfile!$C$4:$CT$39,MATCH(Assumptions!$B$6&amp;"|3",SolarProfile!$A$4:$A$39,0),W$23+1))</f>
        <v>0.0</v>
      </c>
      <c r="X27" s="45">
        <f>MIN($C$5,$C$6*INDEX(SolarProfile!$C$4:$CT$39,MATCH(Assumptions!$B$6&amp;"|3",SolarProfile!$A$4:$A$39,0),X$23+1))</f>
        <v>0.0</v>
      </c>
      <c r="Y27" s="45">
        <f>MIN($C$5,$C$6*INDEX(SolarProfile!$C$4:$CT$39,MATCH(Assumptions!$B$6&amp;"|3",SolarProfile!$A$4:$A$39,0),Y$23+1))</f>
        <v>0.0</v>
      </c>
      <c r="Z27" s="45">
        <f>MIN($C$5,$C$6*INDEX(SolarProfile!$C$4:$CT$39,MATCH(Assumptions!$B$6&amp;"|3",SolarProfile!$A$4:$A$39,0),Z$23+1))</f>
        <v>0.0</v>
      </c>
      <c r="AA27" s="45">
        <f>MIN($C$5,$C$6*INDEX(SolarProfile!$C$4:$CT$39,MATCH(Assumptions!$B$6&amp;"|3",SolarProfile!$A$4:$A$39,0),AA$23+1))</f>
        <v>0.0</v>
      </c>
      <c r="AB27" s="45">
        <f>MIN($C$5,$C$6*INDEX(SolarProfile!$C$4:$CT$39,MATCH(Assumptions!$B$6&amp;"|3",SolarProfile!$A$4:$A$39,0),AB$23+1))</f>
        <v>0.0</v>
      </c>
      <c r="AC27" s="45">
        <f>MIN($C$5,$C$6*INDEX(SolarProfile!$C$4:$CT$39,MATCH(Assumptions!$B$6&amp;"|3",SolarProfile!$A$4:$A$39,0),AC$23+1))</f>
        <v>2.7726</v>
      </c>
      <c r="AD27" s="45">
        <f>MIN($C$5,$C$6*INDEX(SolarProfile!$C$4:$CT$39,MATCH(Assumptions!$B$6&amp;"|3",SolarProfile!$A$4:$A$39,0),AD$23+1))</f>
        <v>16.2978</v>
      </c>
      <c r="AE27" s="45">
        <f>MIN($C$5,$C$6*INDEX(SolarProfile!$C$4:$CT$39,MATCH(Assumptions!$B$6&amp;"|3",SolarProfile!$A$4:$A$39,0),AE$23+1))</f>
        <v>34.062</v>
      </c>
      <c r="AF27" s="45">
        <f>MIN($C$5,$C$6*INDEX(SolarProfile!$C$4:$CT$39,MATCH(Assumptions!$B$6&amp;"|3",SolarProfile!$A$4:$A$39,0),AF$23+1))</f>
        <v>54.49829999999999</v>
      </c>
      <c r="AG27" s="45">
        <f>MIN($C$5,$C$6*INDEX(SolarProfile!$C$4:$CT$39,MATCH(Assumptions!$B$6&amp;"|3",SolarProfile!$A$4:$A$39,0),AG$23+1))</f>
        <v>76.8297</v>
      </c>
      <c r="AH27" s="45">
        <f>MIN($C$5,$C$6*INDEX(SolarProfile!$C$4:$CT$39,MATCH(Assumptions!$B$6&amp;"|3",SolarProfile!$A$4:$A$39,0),AH$23+1))</f>
        <v>100.5192</v>
      </c>
      <c r="AI27" s="45">
        <f>MIN($C$5,$C$6*INDEX(SolarProfile!$C$4:$CT$39,MATCH(Assumptions!$B$6&amp;"|3",SolarProfile!$A$4:$A$39,0),AI$23+1))</f>
        <v>125.13870000000001</v>
      </c>
      <c r="AJ27" s="45">
        <f>MIN($C$5,$C$6*INDEX(SolarProfile!$C$4:$CT$39,MATCH(Assumptions!$B$6&amp;"|3",SolarProfile!$A$4:$A$39,0),AJ$23+1))</f>
        <v>150.32010000000002</v>
      </c>
      <c r="AK27" s="45">
        <f>MIN($C$5,$C$6*INDEX(SolarProfile!$C$4:$CT$39,MATCH(Assumptions!$B$6&amp;"|3",SolarProfile!$A$4:$A$39,0),AK$23+1))</f>
        <v>175.7331</v>
      </c>
      <c r="AL27" s="45">
        <f>MIN($C$5,$C$6*INDEX(SolarProfile!$C$4:$CT$39,MATCH(Assumptions!$B$6&amp;"|3",SolarProfile!$A$4:$A$39,0),AL$23+1))</f>
        <v>201.0738</v>
      </c>
      <c r="AM27" s="45">
        <f>MIN($C$5,$C$6*INDEX(SolarProfile!$C$4:$CT$39,MATCH(Assumptions!$B$6&amp;"|3",SolarProfile!$A$4:$A$39,0),AM$23+1))</f>
        <v>226.0596</v>
      </c>
      <c r="AN27" s="45">
        <f>MIN($C$5,$C$6*INDEX(SolarProfile!$C$4:$CT$39,MATCH(Assumptions!$B$6&amp;"|3",SolarProfile!$A$4:$A$39,0),AN$23+1))</f>
        <v>250.42589999999998</v>
      </c>
      <c r="AO27" s="45">
        <f>MIN($C$5,$C$6*INDEX(SolarProfile!$C$4:$CT$39,MATCH(Assumptions!$B$6&amp;"|3",SolarProfile!$A$4:$A$39,0),AO$23+1))</f>
        <v>273.924</v>
      </c>
      <c r="AP27" s="45">
        <f>MIN($C$5,$C$6*INDEX(SolarProfile!$C$4:$CT$39,MATCH(Assumptions!$B$6&amp;"|3",SolarProfile!$A$4:$A$39,0),AP$23+1))</f>
        <v>296.3217</v>
      </c>
      <c r="AQ27" s="45">
        <f>MIN($C$5,$C$6*INDEX(SolarProfile!$C$4:$CT$39,MATCH(Assumptions!$B$6&amp;"|3",SolarProfile!$A$4:$A$39,0),AQ$23+1))</f>
        <v>300.0</v>
      </c>
      <c r="AR27" s="45">
        <f>MIN($C$5,$C$6*INDEX(SolarProfile!$C$4:$CT$39,MATCH(Assumptions!$B$6&amp;"|3",SolarProfile!$A$4:$A$39,0),AR$23+1))</f>
        <v>300.0</v>
      </c>
      <c r="AS27" s="45">
        <f>MIN($C$5,$C$6*INDEX(SolarProfile!$C$4:$CT$39,MATCH(Assumptions!$B$6&amp;"|3",SolarProfile!$A$4:$A$39,0),AS$23+1))</f>
        <v>300.0</v>
      </c>
      <c r="AT27" s="45">
        <f>MIN($C$5,$C$6*INDEX(SolarProfile!$C$4:$CT$39,MATCH(Assumptions!$B$6&amp;"|3",SolarProfile!$A$4:$A$39,0),AT$23+1))</f>
        <v>300.0</v>
      </c>
      <c r="AU27" s="45">
        <f>MIN($C$5,$C$6*INDEX(SolarProfile!$C$4:$CT$39,MATCH(Assumptions!$B$6&amp;"|3",SolarProfile!$A$4:$A$39,0),AU$23+1))</f>
        <v>300.0</v>
      </c>
      <c r="AV27" s="45">
        <f>MIN($C$5,$C$6*INDEX(SolarProfile!$C$4:$CT$39,MATCH(Assumptions!$B$6&amp;"|3",SolarProfile!$A$4:$A$39,0),AV$23+1))</f>
        <v>300.0</v>
      </c>
      <c r="AW27" s="45">
        <f>MIN($C$5,$C$6*INDEX(SolarProfile!$C$4:$CT$39,MATCH(Assumptions!$B$6&amp;"|3",SolarProfile!$A$4:$A$39,0),AW$23+1))</f>
        <v>300.0</v>
      </c>
      <c r="AX27" s="45">
        <f>MIN($C$5,$C$6*INDEX(SolarProfile!$C$4:$CT$39,MATCH(Assumptions!$B$6&amp;"|3",SolarProfile!$A$4:$A$39,0),AX$23+1))</f>
        <v>300.0</v>
      </c>
      <c r="AY27" s="45">
        <f>MIN($C$5,$C$6*INDEX(SolarProfile!$C$4:$CT$39,MATCH(Assumptions!$B$6&amp;"|3",SolarProfile!$A$4:$A$39,0),AY$23+1))</f>
        <v>300.0</v>
      </c>
      <c r="AZ27" s="45">
        <f>MIN($C$5,$C$6*INDEX(SolarProfile!$C$4:$CT$39,MATCH(Assumptions!$B$6&amp;"|3",SolarProfile!$A$4:$A$39,0),AZ$23+1))</f>
        <v>300.0</v>
      </c>
      <c r="BA27" s="45">
        <f>MIN($C$5,$C$6*INDEX(SolarProfile!$C$4:$CT$39,MATCH(Assumptions!$B$6&amp;"|3",SolarProfile!$A$4:$A$39,0),BA$23+1))</f>
        <v>300.0</v>
      </c>
      <c r="BB27" s="45">
        <f>MIN($C$5,$C$6*INDEX(SolarProfile!$C$4:$CT$39,MATCH(Assumptions!$B$6&amp;"|3",SolarProfile!$A$4:$A$39,0),BB$23+1))</f>
        <v>300.0</v>
      </c>
      <c r="BC27" s="45">
        <f>MIN($C$5,$C$6*INDEX(SolarProfile!$C$4:$CT$39,MATCH(Assumptions!$B$6&amp;"|3",SolarProfile!$A$4:$A$39,0),BC$23+1))</f>
        <v>300.0</v>
      </c>
      <c r="BD27" s="45">
        <f>MIN($C$5,$C$6*INDEX(SolarProfile!$C$4:$CT$39,MATCH(Assumptions!$B$6&amp;"|3",SolarProfile!$A$4:$A$39,0),BD$23+1))</f>
        <v>300.0</v>
      </c>
      <c r="BE27" s="45">
        <f>MIN($C$5,$C$6*INDEX(SolarProfile!$C$4:$CT$39,MATCH(Assumptions!$B$6&amp;"|3",SolarProfile!$A$4:$A$39,0),BE$23+1))</f>
        <v>300.0</v>
      </c>
      <c r="BF27" s="45">
        <f>MIN($C$5,$C$6*INDEX(SolarProfile!$C$4:$CT$39,MATCH(Assumptions!$B$6&amp;"|3",SolarProfile!$A$4:$A$39,0),BF$23+1))</f>
        <v>300.0</v>
      </c>
      <c r="BG27" s="45">
        <f>MIN($C$5,$C$6*INDEX(SolarProfile!$C$4:$CT$39,MATCH(Assumptions!$B$6&amp;"|3",SolarProfile!$A$4:$A$39,0),BG$23+1))</f>
        <v>300.0</v>
      </c>
      <c r="BH27" s="45">
        <f>MIN($C$5,$C$6*INDEX(SolarProfile!$C$4:$CT$39,MATCH(Assumptions!$B$6&amp;"|3",SolarProfile!$A$4:$A$39,0),BH$23+1))</f>
        <v>300.0</v>
      </c>
      <c r="BI27" s="45">
        <f>MIN($C$5,$C$6*INDEX(SolarProfile!$C$4:$CT$39,MATCH(Assumptions!$B$6&amp;"|3",SolarProfile!$A$4:$A$39,0),BI$23+1))</f>
        <v>300.0</v>
      </c>
      <c r="BJ27" s="45">
        <f>MIN($C$5,$C$6*INDEX(SolarProfile!$C$4:$CT$39,MATCH(Assumptions!$B$6&amp;"|3",SolarProfile!$A$4:$A$39,0),BJ$23+1))</f>
        <v>300.0</v>
      </c>
      <c r="BK27" s="45">
        <f>MIN($C$5,$C$6*INDEX(SolarProfile!$C$4:$CT$39,MATCH(Assumptions!$B$6&amp;"|3",SolarProfile!$A$4:$A$39,0),BK$23+1))</f>
        <v>296.3217</v>
      </c>
      <c r="BL27" s="45">
        <f>MIN($C$5,$C$6*INDEX(SolarProfile!$C$4:$CT$39,MATCH(Assumptions!$B$6&amp;"|3",SolarProfile!$A$4:$A$39,0),BL$23+1))</f>
        <v>273.924</v>
      </c>
      <c r="BM27" s="45">
        <f>MIN($C$5,$C$6*INDEX(SolarProfile!$C$4:$CT$39,MATCH(Assumptions!$B$6&amp;"|3",SolarProfile!$A$4:$A$39,0),BM$23+1))</f>
        <v>250.42589999999998</v>
      </c>
      <c r="BN27" s="45">
        <f>MIN($C$5,$C$6*INDEX(SolarProfile!$C$4:$CT$39,MATCH(Assumptions!$B$6&amp;"|3",SolarProfile!$A$4:$A$39,0),BN$23+1))</f>
        <v>226.0596</v>
      </c>
      <c r="BO27" s="45">
        <f>MIN($C$5,$C$6*INDEX(SolarProfile!$C$4:$CT$39,MATCH(Assumptions!$B$6&amp;"|3",SolarProfile!$A$4:$A$39,0),BO$23+1))</f>
        <v>201.0738</v>
      </c>
      <c r="BP27" s="45">
        <f>MIN($C$5,$C$6*INDEX(SolarProfile!$C$4:$CT$39,MATCH(Assumptions!$B$6&amp;"|3",SolarProfile!$A$4:$A$39,0),BP$23+1))</f>
        <v>175.7331</v>
      </c>
      <c r="BQ27" s="45">
        <f>MIN($C$5,$C$6*INDEX(SolarProfile!$C$4:$CT$39,MATCH(Assumptions!$B$6&amp;"|3",SolarProfile!$A$4:$A$39,0),BQ$23+1))</f>
        <v>150.32010000000002</v>
      </c>
      <c r="BR27" s="45">
        <f>MIN($C$5,$C$6*INDEX(SolarProfile!$C$4:$CT$39,MATCH(Assumptions!$B$6&amp;"|3",SolarProfile!$A$4:$A$39,0),BR$23+1))</f>
        <v>125.13870000000001</v>
      </c>
      <c r="BS27" s="45">
        <f>MIN($C$5,$C$6*INDEX(SolarProfile!$C$4:$CT$39,MATCH(Assumptions!$B$6&amp;"|3",SolarProfile!$A$4:$A$39,0),BS$23+1))</f>
        <v>100.5192</v>
      </c>
      <c r="BT27" s="45">
        <f>MIN($C$5,$C$6*INDEX(SolarProfile!$C$4:$CT$39,MATCH(Assumptions!$B$6&amp;"|3",SolarProfile!$A$4:$A$39,0),BT$23+1))</f>
        <v>76.8297</v>
      </c>
      <c r="BU27" s="45">
        <f>MIN($C$5,$C$6*INDEX(SolarProfile!$C$4:$CT$39,MATCH(Assumptions!$B$6&amp;"|3",SolarProfile!$A$4:$A$39,0),BU$23+1))</f>
        <v>54.49829999999999</v>
      </c>
      <c r="BV27" s="45">
        <f>MIN($C$5,$C$6*INDEX(SolarProfile!$C$4:$CT$39,MATCH(Assumptions!$B$6&amp;"|3",SolarProfile!$A$4:$A$39,0),BV$23+1))</f>
        <v>34.062</v>
      </c>
      <c r="BW27" s="45">
        <f>MIN($C$5,$C$6*INDEX(SolarProfile!$C$4:$CT$39,MATCH(Assumptions!$B$6&amp;"|3",SolarProfile!$A$4:$A$39,0),BW$23+1))</f>
        <v>16.2978</v>
      </c>
      <c r="BX27" s="45">
        <f>MIN($C$5,$C$6*INDEX(SolarProfile!$C$4:$CT$39,MATCH(Assumptions!$B$6&amp;"|3",SolarProfile!$A$4:$A$39,0),BX$23+1))</f>
        <v>2.7726</v>
      </c>
      <c r="BY27" s="45">
        <f>MIN($C$5,$C$6*INDEX(SolarProfile!$C$4:$CT$39,MATCH(Assumptions!$B$6&amp;"|3",SolarProfile!$A$4:$A$39,0),BY$23+1))</f>
        <v>0.0</v>
      </c>
      <c r="BZ27" s="45">
        <f>MIN($C$5,$C$6*INDEX(SolarProfile!$C$4:$CT$39,MATCH(Assumptions!$B$6&amp;"|3",SolarProfile!$A$4:$A$39,0),BZ$23+1))</f>
        <v>0.0</v>
      </c>
      <c r="CA27" s="45">
        <f>MIN($C$5,$C$6*INDEX(SolarProfile!$C$4:$CT$39,MATCH(Assumptions!$B$6&amp;"|3",SolarProfile!$A$4:$A$39,0),CA$23+1))</f>
        <v>0.0</v>
      </c>
      <c r="CB27" s="45">
        <f>MIN($C$5,$C$6*INDEX(SolarProfile!$C$4:$CT$39,MATCH(Assumptions!$B$6&amp;"|3",SolarProfile!$A$4:$A$39,0),CB$23+1))</f>
        <v>0.0</v>
      </c>
      <c r="CC27" s="45">
        <f>MIN($C$5,$C$6*INDEX(SolarProfile!$C$4:$CT$39,MATCH(Assumptions!$B$6&amp;"|3",SolarProfile!$A$4:$A$39,0),CC$23+1))</f>
        <v>0.0</v>
      </c>
      <c r="CD27" s="45">
        <f>MIN($C$5,$C$6*INDEX(SolarProfile!$C$4:$CT$39,MATCH(Assumptions!$B$6&amp;"|3",SolarProfile!$A$4:$A$39,0),CD$23+1))</f>
        <v>0.0</v>
      </c>
      <c r="CE27" s="45">
        <f>MIN($C$5,$C$6*INDEX(SolarProfile!$C$4:$CT$39,MATCH(Assumptions!$B$6&amp;"|3",SolarProfile!$A$4:$A$39,0),CE$23+1))</f>
        <v>0.0</v>
      </c>
      <c r="CF27" s="45">
        <f>MIN($C$5,$C$6*INDEX(SolarProfile!$C$4:$CT$39,MATCH(Assumptions!$B$6&amp;"|3",SolarProfile!$A$4:$A$39,0),CF$23+1))</f>
        <v>0.0</v>
      </c>
      <c r="CG27" s="45">
        <f>MIN($C$5,$C$6*INDEX(SolarProfile!$C$4:$CT$39,MATCH(Assumptions!$B$6&amp;"|3",SolarProfile!$A$4:$A$39,0),CG$23+1))</f>
        <v>0.0</v>
      </c>
      <c r="CH27" s="45">
        <f>MIN($C$5,$C$6*INDEX(SolarProfile!$C$4:$CT$39,MATCH(Assumptions!$B$6&amp;"|3",SolarProfile!$A$4:$A$39,0),CH$23+1))</f>
        <v>0.0</v>
      </c>
      <c r="CI27" s="45">
        <f>MIN($C$5,$C$6*INDEX(SolarProfile!$C$4:$CT$39,MATCH(Assumptions!$B$6&amp;"|3",SolarProfile!$A$4:$A$39,0),CI$23+1))</f>
        <v>0.0</v>
      </c>
      <c r="CJ27" s="45">
        <f>MIN($C$5,$C$6*INDEX(SolarProfile!$C$4:$CT$39,MATCH(Assumptions!$B$6&amp;"|3",SolarProfile!$A$4:$A$39,0),CJ$23+1))</f>
        <v>0.0</v>
      </c>
      <c r="CK27" s="45">
        <f>MIN($C$5,$C$6*INDEX(SolarProfile!$C$4:$CT$39,MATCH(Assumptions!$B$6&amp;"|3",SolarProfile!$A$4:$A$39,0),CK$23+1))</f>
        <v>0.0</v>
      </c>
      <c r="CL27" s="45">
        <f>MIN($C$5,$C$6*INDEX(SolarProfile!$C$4:$CT$39,MATCH(Assumptions!$B$6&amp;"|3",SolarProfile!$A$4:$A$39,0),CL$23+1))</f>
        <v>0.0</v>
      </c>
      <c r="CM27" s="45">
        <f>MIN($C$5,$C$6*INDEX(SolarProfile!$C$4:$CT$39,MATCH(Assumptions!$B$6&amp;"|3",SolarProfile!$A$4:$A$39,0),CM$23+1))</f>
        <v>0.0</v>
      </c>
      <c r="CN27" s="45">
        <f>MIN($C$5,$C$6*INDEX(SolarProfile!$C$4:$CT$39,MATCH(Assumptions!$B$6&amp;"|3",SolarProfile!$A$4:$A$39,0),CN$23+1))</f>
        <v>0.0</v>
      </c>
      <c r="CO27" s="45">
        <f>MIN($C$5,$C$6*INDEX(SolarProfile!$C$4:$CT$39,MATCH(Assumptions!$B$6&amp;"|3",SolarProfile!$A$4:$A$39,0),CO$23+1))</f>
        <v>0.0</v>
      </c>
      <c r="CP27" s="45">
        <f>MIN($C$5,$C$6*INDEX(SolarProfile!$C$4:$CT$39,MATCH(Assumptions!$B$6&amp;"|3",SolarProfile!$A$4:$A$39,0),CP$23+1))</f>
        <v>0.0</v>
      </c>
      <c r="CQ27" s="45">
        <f>MIN($C$5,$C$6*INDEX(SolarProfile!$C$4:$CT$39,MATCH(Assumptions!$B$6&amp;"|3",SolarProfile!$A$4:$A$39,0),CQ$23+1))</f>
        <v>0.0</v>
      </c>
      <c r="CR27" s="45">
        <f>MIN($C$5,$C$6*INDEX(SolarProfile!$C$4:$CT$39,MATCH(Assumptions!$B$6&amp;"|3",SolarProfile!$A$4:$A$39,0),CR$23+1))</f>
        <v>0.0</v>
      </c>
      <c r="CS27" s="45">
        <f>MIN($C$5,$C$6*INDEX(SolarProfile!$C$4:$CT$39,MATCH(Assumptions!$B$6&amp;"|3",SolarProfile!$A$4:$A$39,0),CS$23+1))</f>
        <v>0.0</v>
      </c>
      <c r="CT27" s="45">
        <f>MIN($C$5,$C$6*INDEX(SolarProfile!$C$4:$CT$39,MATCH(Assumptions!$B$6&amp;"|3",SolarProfile!$A$4:$A$39,0),CT$23+1))</f>
        <v>0.0</v>
      </c>
      <c r="CU27" s="45">
        <f>MIN($C$5,$C$6*INDEX(SolarProfile!$C$4:$CT$39,MATCH(Assumptions!$B$6&amp;"|3",SolarProfile!$A$4:$A$39,0),CU$23+1))</f>
        <v>0.0</v>
      </c>
    </row>
    <row r="28">
      <c r="A28" s="6" t="inlineStr">
        <is>
          <t>Apr</t>
        </is>
      </c>
      <c r="D28" s="45">
        <f>MIN($C$5,$C$6*INDEX(SolarProfile!$C$4:$CT$39,MATCH(Assumptions!$B$6&amp;"|4",SolarProfile!$A$4:$A$39,0),D$23+1))</f>
        <v>0.0</v>
      </c>
      <c r="E28" s="45">
        <f>MIN($C$5,$C$6*INDEX(SolarProfile!$C$4:$CT$39,MATCH(Assumptions!$B$6&amp;"|4",SolarProfile!$A$4:$A$39,0),E$23+1))</f>
        <v>0.0</v>
      </c>
      <c r="F28" s="45">
        <f>MIN($C$5,$C$6*INDEX(SolarProfile!$C$4:$CT$39,MATCH(Assumptions!$B$6&amp;"|4",SolarProfile!$A$4:$A$39,0),F$23+1))</f>
        <v>0.0</v>
      </c>
      <c r="G28" s="45">
        <f>MIN($C$5,$C$6*INDEX(SolarProfile!$C$4:$CT$39,MATCH(Assumptions!$B$6&amp;"|4",SolarProfile!$A$4:$A$39,0),G$23+1))</f>
        <v>0.0</v>
      </c>
      <c r="H28" s="45">
        <f>MIN($C$5,$C$6*INDEX(SolarProfile!$C$4:$CT$39,MATCH(Assumptions!$B$6&amp;"|4",SolarProfile!$A$4:$A$39,0),H$23+1))</f>
        <v>0.0</v>
      </c>
      <c r="I28" s="45">
        <f>MIN($C$5,$C$6*INDEX(SolarProfile!$C$4:$CT$39,MATCH(Assumptions!$B$6&amp;"|4",SolarProfile!$A$4:$A$39,0),I$23+1))</f>
        <v>0.0</v>
      </c>
      <c r="J28" s="45">
        <f>MIN($C$5,$C$6*INDEX(SolarProfile!$C$4:$CT$39,MATCH(Assumptions!$B$6&amp;"|4",SolarProfile!$A$4:$A$39,0),J$23+1))</f>
        <v>0.0</v>
      </c>
      <c r="K28" s="45">
        <f>MIN($C$5,$C$6*INDEX(SolarProfile!$C$4:$CT$39,MATCH(Assumptions!$B$6&amp;"|4",SolarProfile!$A$4:$A$39,0),K$23+1))</f>
        <v>0.0</v>
      </c>
      <c r="L28" s="45">
        <f>MIN($C$5,$C$6*INDEX(SolarProfile!$C$4:$CT$39,MATCH(Assumptions!$B$6&amp;"|4",SolarProfile!$A$4:$A$39,0),L$23+1))</f>
        <v>0.0</v>
      </c>
      <c r="M28" s="45">
        <f>MIN($C$5,$C$6*INDEX(SolarProfile!$C$4:$CT$39,MATCH(Assumptions!$B$6&amp;"|4",SolarProfile!$A$4:$A$39,0),M$23+1))</f>
        <v>0.0</v>
      </c>
      <c r="N28" s="45">
        <f>MIN($C$5,$C$6*INDEX(SolarProfile!$C$4:$CT$39,MATCH(Assumptions!$B$6&amp;"|4",SolarProfile!$A$4:$A$39,0),N$23+1))</f>
        <v>0.0</v>
      </c>
      <c r="O28" s="45">
        <f>MIN($C$5,$C$6*INDEX(SolarProfile!$C$4:$CT$39,MATCH(Assumptions!$B$6&amp;"|4",SolarProfile!$A$4:$A$39,0),O$23+1))</f>
        <v>0.0</v>
      </c>
      <c r="P28" s="45">
        <f>MIN($C$5,$C$6*INDEX(SolarProfile!$C$4:$CT$39,MATCH(Assumptions!$B$6&amp;"|4",SolarProfile!$A$4:$A$39,0),P$23+1))</f>
        <v>0.0</v>
      </c>
      <c r="Q28" s="45">
        <f>MIN($C$5,$C$6*INDEX(SolarProfile!$C$4:$CT$39,MATCH(Assumptions!$B$6&amp;"|4",SolarProfile!$A$4:$A$39,0),Q$23+1))</f>
        <v>0.0</v>
      </c>
      <c r="R28" s="45">
        <f>MIN($C$5,$C$6*INDEX(SolarProfile!$C$4:$CT$39,MATCH(Assumptions!$B$6&amp;"|4",SolarProfile!$A$4:$A$39,0),R$23+1))</f>
        <v>0.0</v>
      </c>
      <c r="S28" s="45">
        <f>MIN($C$5,$C$6*INDEX(SolarProfile!$C$4:$CT$39,MATCH(Assumptions!$B$6&amp;"|4",SolarProfile!$A$4:$A$39,0),S$23+1))</f>
        <v>0.0</v>
      </c>
      <c r="T28" s="45">
        <f>MIN($C$5,$C$6*INDEX(SolarProfile!$C$4:$CT$39,MATCH(Assumptions!$B$6&amp;"|4",SolarProfile!$A$4:$A$39,0),T$23+1))</f>
        <v>0.0</v>
      </c>
      <c r="U28" s="45">
        <f>MIN($C$5,$C$6*INDEX(SolarProfile!$C$4:$CT$39,MATCH(Assumptions!$B$6&amp;"|4",SolarProfile!$A$4:$A$39,0),U$23+1))</f>
        <v>0.0</v>
      </c>
      <c r="V28" s="45">
        <f>MIN($C$5,$C$6*INDEX(SolarProfile!$C$4:$CT$39,MATCH(Assumptions!$B$6&amp;"|4",SolarProfile!$A$4:$A$39,0),V$23+1))</f>
        <v>0.0</v>
      </c>
      <c r="W28" s="45">
        <f>MIN($C$5,$C$6*INDEX(SolarProfile!$C$4:$CT$39,MATCH(Assumptions!$B$6&amp;"|4",SolarProfile!$A$4:$A$39,0),W$23+1))</f>
        <v>0.0</v>
      </c>
      <c r="X28" s="45">
        <f>MIN($C$5,$C$6*INDEX(SolarProfile!$C$4:$CT$39,MATCH(Assumptions!$B$6&amp;"|4",SolarProfile!$A$4:$A$39,0),X$23+1))</f>
        <v>0.0</v>
      </c>
      <c r="Y28" s="45">
        <f>MIN($C$5,$C$6*INDEX(SolarProfile!$C$4:$CT$39,MATCH(Assumptions!$B$6&amp;"|4",SolarProfile!$A$4:$A$39,0),Y$23+1))</f>
        <v>0.0</v>
      </c>
      <c r="Z28" s="45">
        <f>MIN($C$5,$C$6*INDEX(SolarProfile!$C$4:$CT$39,MATCH(Assumptions!$B$6&amp;"|4",SolarProfile!$A$4:$A$39,0),Z$23+1))</f>
        <v>0.0</v>
      </c>
      <c r="AA28" s="45">
        <f>MIN($C$5,$C$6*INDEX(SolarProfile!$C$4:$CT$39,MATCH(Assumptions!$B$6&amp;"|4",SolarProfile!$A$4:$A$39,0),AA$23+1))</f>
        <v>0.0</v>
      </c>
      <c r="AB28" s="45">
        <f>MIN($C$5,$C$6*INDEX(SolarProfile!$C$4:$CT$39,MATCH(Assumptions!$B$6&amp;"|4",SolarProfile!$A$4:$A$39,0),AB$23+1))</f>
        <v>0.5547</v>
      </c>
      <c r="AC28" s="45">
        <f>MIN($C$5,$C$6*INDEX(SolarProfile!$C$4:$CT$39,MATCH(Assumptions!$B$6&amp;"|4",SolarProfile!$A$4:$A$39,0),AC$23+1))</f>
        <v>10.514100000000001</v>
      </c>
      <c r="AD28" s="45">
        <f>MIN($C$5,$C$6*INDEX(SolarProfile!$C$4:$CT$39,MATCH(Assumptions!$B$6&amp;"|4",SolarProfile!$A$4:$A$39,0),AD$23+1))</f>
        <v>24.7038</v>
      </c>
      <c r="AE28" s="45">
        <f>MIN($C$5,$C$6*INDEX(SolarProfile!$C$4:$CT$39,MATCH(Assumptions!$B$6&amp;"|4",SolarProfile!$A$4:$A$39,0),AE$23+1))</f>
        <v>41.358900000000006</v>
      </c>
      <c r="AF28" s="45">
        <f>MIN($C$5,$C$6*INDEX(SolarProfile!$C$4:$CT$39,MATCH(Assumptions!$B$6&amp;"|4",SolarProfile!$A$4:$A$39,0),AF$23+1))</f>
        <v>59.750400000000006</v>
      </c>
      <c r="AG28" s="45">
        <f>MIN($C$5,$C$6*INDEX(SolarProfile!$C$4:$CT$39,MATCH(Assumptions!$B$6&amp;"|4",SolarProfile!$A$4:$A$39,0),AG$23+1))</f>
        <v>79.40280000000001</v>
      </c>
      <c r="AH28" s="45">
        <f>MIN($C$5,$C$6*INDEX(SolarProfile!$C$4:$CT$39,MATCH(Assumptions!$B$6&amp;"|4",SolarProfile!$A$4:$A$39,0),AH$23+1))</f>
        <v>99.95009999999999</v>
      </c>
      <c r="AI28" s="45">
        <f>MIN($C$5,$C$6*INDEX(SolarProfile!$C$4:$CT$39,MATCH(Assumptions!$B$6&amp;"|4",SolarProfile!$A$4:$A$39,0),AI$23+1))</f>
        <v>121.0833</v>
      </c>
      <c r="AJ28" s="45">
        <f>MIN($C$5,$C$6*INDEX(SolarProfile!$C$4:$CT$39,MATCH(Assumptions!$B$6&amp;"|4",SolarProfile!$A$4:$A$39,0),AJ$23+1))</f>
        <v>142.5276</v>
      </c>
      <c r="AK28" s="45">
        <f>MIN($C$5,$C$6*INDEX(SolarProfile!$C$4:$CT$39,MATCH(Assumptions!$B$6&amp;"|4",SolarProfile!$A$4:$A$39,0),AK$23+1))</f>
        <v>164.0325</v>
      </c>
      <c r="AL28" s="45">
        <f>MIN($C$5,$C$6*INDEX(SolarProfile!$C$4:$CT$39,MATCH(Assumptions!$B$6&amp;"|4",SolarProfile!$A$4:$A$39,0),AL$23+1))</f>
        <v>185.3655</v>
      </c>
      <c r="AM28" s="45">
        <f>MIN($C$5,$C$6*INDEX(SolarProfile!$C$4:$CT$39,MATCH(Assumptions!$B$6&amp;"|4",SolarProfile!$A$4:$A$39,0),AM$23+1))</f>
        <v>206.30849999999998</v>
      </c>
      <c r="AN28" s="45">
        <f>MIN($C$5,$C$6*INDEX(SolarProfile!$C$4:$CT$39,MATCH(Assumptions!$B$6&amp;"|4",SolarProfile!$A$4:$A$39,0),AN$23+1))</f>
        <v>226.65689999999998</v>
      </c>
      <c r="AO28" s="45">
        <f>MIN($C$5,$C$6*INDEX(SolarProfile!$C$4:$CT$39,MATCH(Assumptions!$B$6&amp;"|4",SolarProfile!$A$4:$A$39,0),AO$23+1))</f>
        <v>246.2184</v>
      </c>
      <c r="AP28" s="45">
        <f>MIN($C$5,$C$6*INDEX(SolarProfile!$C$4:$CT$39,MATCH(Assumptions!$B$6&amp;"|4",SolarProfile!$A$4:$A$39,0),AP$23+1))</f>
        <v>264.813</v>
      </c>
      <c r="AQ28" s="45">
        <f>MIN($C$5,$C$6*INDEX(SolarProfile!$C$4:$CT$39,MATCH(Assumptions!$B$6&amp;"|4",SolarProfile!$A$4:$A$39,0),AQ$23+1))</f>
        <v>282.2736</v>
      </c>
      <c r="AR28" s="45">
        <f>MIN($C$5,$C$6*INDEX(SolarProfile!$C$4:$CT$39,MATCH(Assumptions!$B$6&amp;"|4",SolarProfile!$A$4:$A$39,0),AR$23+1))</f>
        <v>298.4454</v>
      </c>
      <c r="AS28" s="45">
        <f>MIN($C$5,$C$6*INDEX(SolarProfile!$C$4:$CT$39,MATCH(Assumptions!$B$6&amp;"|4",SolarProfile!$A$4:$A$39,0),AS$23+1))</f>
        <v>300.0</v>
      </c>
      <c r="AT28" s="45">
        <f>MIN($C$5,$C$6*INDEX(SolarProfile!$C$4:$CT$39,MATCH(Assumptions!$B$6&amp;"|4",SolarProfile!$A$4:$A$39,0),AT$23+1))</f>
        <v>300.0</v>
      </c>
      <c r="AU28" s="45">
        <f>MIN($C$5,$C$6*INDEX(SolarProfile!$C$4:$CT$39,MATCH(Assumptions!$B$6&amp;"|4",SolarProfile!$A$4:$A$39,0),AU$23+1))</f>
        <v>300.0</v>
      </c>
      <c r="AV28" s="45">
        <f>MIN($C$5,$C$6*INDEX(SolarProfile!$C$4:$CT$39,MATCH(Assumptions!$B$6&amp;"|4",SolarProfile!$A$4:$A$39,0),AV$23+1))</f>
        <v>300.0</v>
      </c>
      <c r="AW28" s="45">
        <f>MIN($C$5,$C$6*INDEX(SolarProfile!$C$4:$CT$39,MATCH(Assumptions!$B$6&amp;"|4",SolarProfile!$A$4:$A$39,0),AW$23+1))</f>
        <v>300.0</v>
      </c>
      <c r="AX28" s="45">
        <f>MIN($C$5,$C$6*INDEX(SolarProfile!$C$4:$CT$39,MATCH(Assumptions!$B$6&amp;"|4",SolarProfile!$A$4:$A$39,0),AX$23+1))</f>
        <v>300.0</v>
      </c>
      <c r="AY28" s="45">
        <f>MIN($C$5,$C$6*INDEX(SolarProfile!$C$4:$CT$39,MATCH(Assumptions!$B$6&amp;"|4",SolarProfile!$A$4:$A$39,0),AY$23+1))</f>
        <v>300.0</v>
      </c>
      <c r="AZ28" s="45">
        <f>MIN($C$5,$C$6*INDEX(SolarProfile!$C$4:$CT$39,MATCH(Assumptions!$B$6&amp;"|4",SolarProfile!$A$4:$A$39,0),AZ$23+1))</f>
        <v>300.0</v>
      </c>
      <c r="BA28" s="45">
        <f>MIN($C$5,$C$6*INDEX(SolarProfile!$C$4:$CT$39,MATCH(Assumptions!$B$6&amp;"|4",SolarProfile!$A$4:$A$39,0),BA$23+1))</f>
        <v>300.0</v>
      </c>
      <c r="BB28" s="45">
        <f>MIN($C$5,$C$6*INDEX(SolarProfile!$C$4:$CT$39,MATCH(Assumptions!$B$6&amp;"|4",SolarProfile!$A$4:$A$39,0),BB$23+1))</f>
        <v>300.0</v>
      </c>
      <c r="BC28" s="45">
        <f>MIN($C$5,$C$6*INDEX(SolarProfile!$C$4:$CT$39,MATCH(Assumptions!$B$6&amp;"|4",SolarProfile!$A$4:$A$39,0),BC$23+1))</f>
        <v>300.0</v>
      </c>
      <c r="BD28" s="45">
        <f>MIN($C$5,$C$6*INDEX(SolarProfile!$C$4:$CT$39,MATCH(Assumptions!$B$6&amp;"|4",SolarProfile!$A$4:$A$39,0),BD$23+1))</f>
        <v>300.0</v>
      </c>
      <c r="BE28" s="45">
        <f>MIN($C$5,$C$6*INDEX(SolarProfile!$C$4:$CT$39,MATCH(Assumptions!$B$6&amp;"|4",SolarProfile!$A$4:$A$39,0),BE$23+1))</f>
        <v>300.0</v>
      </c>
      <c r="BF28" s="45">
        <f>MIN($C$5,$C$6*INDEX(SolarProfile!$C$4:$CT$39,MATCH(Assumptions!$B$6&amp;"|4",SolarProfile!$A$4:$A$39,0),BF$23+1))</f>
        <v>300.0</v>
      </c>
      <c r="BG28" s="45">
        <f>MIN($C$5,$C$6*INDEX(SolarProfile!$C$4:$CT$39,MATCH(Assumptions!$B$6&amp;"|4",SolarProfile!$A$4:$A$39,0),BG$23+1))</f>
        <v>300.0</v>
      </c>
      <c r="BH28" s="45">
        <f>MIN($C$5,$C$6*INDEX(SolarProfile!$C$4:$CT$39,MATCH(Assumptions!$B$6&amp;"|4",SolarProfile!$A$4:$A$39,0),BH$23+1))</f>
        <v>300.0</v>
      </c>
      <c r="BI28" s="45">
        <f>MIN($C$5,$C$6*INDEX(SolarProfile!$C$4:$CT$39,MATCH(Assumptions!$B$6&amp;"|4",SolarProfile!$A$4:$A$39,0),BI$23+1))</f>
        <v>298.4454</v>
      </c>
      <c r="BJ28" s="45">
        <f>MIN($C$5,$C$6*INDEX(SolarProfile!$C$4:$CT$39,MATCH(Assumptions!$B$6&amp;"|4",SolarProfile!$A$4:$A$39,0),BJ$23+1))</f>
        <v>282.2736</v>
      </c>
      <c r="BK28" s="45">
        <f>MIN($C$5,$C$6*INDEX(SolarProfile!$C$4:$CT$39,MATCH(Assumptions!$B$6&amp;"|4",SolarProfile!$A$4:$A$39,0),BK$23+1))</f>
        <v>264.813</v>
      </c>
      <c r="BL28" s="45">
        <f>MIN($C$5,$C$6*INDEX(SolarProfile!$C$4:$CT$39,MATCH(Assumptions!$B$6&amp;"|4",SolarProfile!$A$4:$A$39,0),BL$23+1))</f>
        <v>246.2184</v>
      </c>
      <c r="BM28" s="45">
        <f>MIN($C$5,$C$6*INDEX(SolarProfile!$C$4:$CT$39,MATCH(Assumptions!$B$6&amp;"|4",SolarProfile!$A$4:$A$39,0),BM$23+1))</f>
        <v>226.65689999999998</v>
      </c>
      <c r="BN28" s="45">
        <f>MIN($C$5,$C$6*INDEX(SolarProfile!$C$4:$CT$39,MATCH(Assumptions!$B$6&amp;"|4",SolarProfile!$A$4:$A$39,0),BN$23+1))</f>
        <v>206.30849999999998</v>
      </c>
      <c r="BO28" s="45">
        <f>MIN($C$5,$C$6*INDEX(SolarProfile!$C$4:$CT$39,MATCH(Assumptions!$B$6&amp;"|4",SolarProfile!$A$4:$A$39,0),BO$23+1))</f>
        <v>185.3655</v>
      </c>
      <c r="BP28" s="45">
        <f>MIN($C$5,$C$6*INDEX(SolarProfile!$C$4:$CT$39,MATCH(Assumptions!$B$6&amp;"|4",SolarProfile!$A$4:$A$39,0),BP$23+1))</f>
        <v>164.0325</v>
      </c>
      <c r="BQ28" s="45">
        <f>MIN($C$5,$C$6*INDEX(SolarProfile!$C$4:$CT$39,MATCH(Assumptions!$B$6&amp;"|4",SolarProfile!$A$4:$A$39,0),BQ$23+1))</f>
        <v>142.5276</v>
      </c>
      <c r="BR28" s="45">
        <f>MIN($C$5,$C$6*INDEX(SolarProfile!$C$4:$CT$39,MATCH(Assumptions!$B$6&amp;"|4",SolarProfile!$A$4:$A$39,0),BR$23+1))</f>
        <v>121.0833</v>
      </c>
      <c r="BS28" s="45">
        <f>MIN($C$5,$C$6*INDEX(SolarProfile!$C$4:$CT$39,MATCH(Assumptions!$B$6&amp;"|4",SolarProfile!$A$4:$A$39,0),BS$23+1))</f>
        <v>99.95009999999999</v>
      </c>
      <c r="BT28" s="45">
        <f>MIN($C$5,$C$6*INDEX(SolarProfile!$C$4:$CT$39,MATCH(Assumptions!$B$6&amp;"|4",SolarProfile!$A$4:$A$39,0),BT$23+1))</f>
        <v>79.40280000000001</v>
      </c>
      <c r="BU28" s="45">
        <f>MIN($C$5,$C$6*INDEX(SolarProfile!$C$4:$CT$39,MATCH(Assumptions!$B$6&amp;"|4",SolarProfile!$A$4:$A$39,0),BU$23+1))</f>
        <v>59.750400000000006</v>
      </c>
      <c r="BV28" s="45">
        <f>MIN($C$5,$C$6*INDEX(SolarProfile!$C$4:$CT$39,MATCH(Assumptions!$B$6&amp;"|4",SolarProfile!$A$4:$A$39,0),BV$23+1))</f>
        <v>41.358900000000006</v>
      </c>
      <c r="BW28" s="45">
        <f>MIN($C$5,$C$6*INDEX(SolarProfile!$C$4:$CT$39,MATCH(Assumptions!$B$6&amp;"|4",SolarProfile!$A$4:$A$39,0),BW$23+1))</f>
        <v>24.7038</v>
      </c>
      <c r="BX28" s="45">
        <f>MIN($C$5,$C$6*INDEX(SolarProfile!$C$4:$CT$39,MATCH(Assumptions!$B$6&amp;"|4",SolarProfile!$A$4:$A$39,0),BX$23+1))</f>
        <v>10.514100000000001</v>
      </c>
      <c r="BY28" s="45">
        <f>MIN($C$5,$C$6*INDEX(SolarProfile!$C$4:$CT$39,MATCH(Assumptions!$B$6&amp;"|4",SolarProfile!$A$4:$A$39,0),BY$23+1))</f>
        <v>0.5547</v>
      </c>
      <c r="BZ28" s="45">
        <f>MIN($C$5,$C$6*INDEX(SolarProfile!$C$4:$CT$39,MATCH(Assumptions!$B$6&amp;"|4",SolarProfile!$A$4:$A$39,0),BZ$23+1))</f>
        <v>0.0</v>
      </c>
      <c r="CA28" s="45">
        <f>MIN($C$5,$C$6*INDEX(SolarProfile!$C$4:$CT$39,MATCH(Assumptions!$B$6&amp;"|4",SolarProfile!$A$4:$A$39,0),CA$23+1))</f>
        <v>0.0</v>
      </c>
      <c r="CB28" s="45">
        <f>MIN($C$5,$C$6*INDEX(SolarProfile!$C$4:$CT$39,MATCH(Assumptions!$B$6&amp;"|4",SolarProfile!$A$4:$A$39,0),CB$23+1))</f>
        <v>0.0</v>
      </c>
      <c r="CC28" s="45">
        <f>MIN($C$5,$C$6*INDEX(SolarProfile!$C$4:$CT$39,MATCH(Assumptions!$B$6&amp;"|4",SolarProfile!$A$4:$A$39,0),CC$23+1))</f>
        <v>0.0</v>
      </c>
      <c r="CD28" s="45">
        <f>MIN($C$5,$C$6*INDEX(SolarProfile!$C$4:$CT$39,MATCH(Assumptions!$B$6&amp;"|4",SolarProfile!$A$4:$A$39,0),CD$23+1))</f>
        <v>0.0</v>
      </c>
      <c r="CE28" s="45">
        <f>MIN($C$5,$C$6*INDEX(SolarProfile!$C$4:$CT$39,MATCH(Assumptions!$B$6&amp;"|4",SolarProfile!$A$4:$A$39,0),CE$23+1))</f>
        <v>0.0</v>
      </c>
      <c r="CF28" s="45">
        <f>MIN($C$5,$C$6*INDEX(SolarProfile!$C$4:$CT$39,MATCH(Assumptions!$B$6&amp;"|4",SolarProfile!$A$4:$A$39,0),CF$23+1))</f>
        <v>0.0</v>
      </c>
      <c r="CG28" s="45">
        <f>MIN($C$5,$C$6*INDEX(SolarProfile!$C$4:$CT$39,MATCH(Assumptions!$B$6&amp;"|4",SolarProfile!$A$4:$A$39,0),CG$23+1))</f>
        <v>0.0</v>
      </c>
      <c r="CH28" s="45">
        <f>MIN($C$5,$C$6*INDEX(SolarProfile!$C$4:$CT$39,MATCH(Assumptions!$B$6&amp;"|4",SolarProfile!$A$4:$A$39,0),CH$23+1))</f>
        <v>0.0</v>
      </c>
      <c r="CI28" s="45">
        <f>MIN($C$5,$C$6*INDEX(SolarProfile!$C$4:$CT$39,MATCH(Assumptions!$B$6&amp;"|4",SolarProfile!$A$4:$A$39,0),CI$23+1))</f>
        <v>0.0</v>
      </c>
      <c r="CJ28" s="45">
        <f>MIN($C$5,$C$6*INDEX(SolarProfile!$C$4:$CT$39,MATCH(Assumptions!$B$6&amp;"|4",SolarProfile!$A$4:$A$39,0),CJ$23+1))</f>
        <v>0.0</v>
      </c>
      <c r="CK28" s="45">
        <f>MIN($C$5,$C$6*INDEX(SolarProfile!$C$4:$CT$39,MATCH(Assumptions!$B$6&amp;"|4",SolarProfile!$A$4:$A$39,0),CK$23+1))</f>
        <v>0.0</v>
      </c>
      <c r="CL28" s="45">
        <f>MIN($C$5,$C$6*INDEX(SolarProfile!$C$4:$CT$39,MATCH(Assumptions!$B$6&amp;"|4",SolarProfile!$A$4:$A$39,0),CL$23+1))</f>
        <v>0.0</v>
      </c>
      <c r="CM28" s="45">
        <f>MIN($C$5,$C$6*INDEX(SolarProfile!$C$4:$CT$39,MATCH(Assumptions!$B$6&amp;"|4",SolarProfile!$A$4:$A$39,0),CM$23+1))</f>
        <v>0.0</v>
      </c>
      <c r="CN28" s="45">
        <f>MIN($C$5,$C$6*INDEX(SolarProfile!$C$4:$CT$39,MATCH(Assumptions!$B$6&amp;"|4",SolarProfile!$A$4:$A$39,0),CN$23+1))</f>
        <v>0.0</v>
      </c>
      <c r="CO28" s="45">
        <f>MIN($C$5,$C$6*INDEX(SolarProfile!$C$4:$CT$39,MATCH(Assumptions!$B$6&amp;"|4",SolarProfile!$A$4:$A$39,0),CO$23+1))</f>
        <v>0.0</v>
      </c>
      <c r="CP28" s="45">
        <f>MIN($C$5,$C$6*INDEX(SolarProfile!$C$4:$CT$39,MATCH(Assumptions!$B$6&amp;"|4",SolarProfile!$A$4:$A$39,0),CP$23+1))</f>
        <v>0.0</v>
      </c>
      <c r="CQ28" s="45">
        <f>MIN($C$5,$C$6*INDEX(SolarProfile!$C$4:$CT$39,MATCH(Assumptions!$B$6&amp;"|4",SolarProfile!$A$4:$A$39,0),CQ$23+1))</f>
        <v>0.0</v>
      </c>
      <c r="CR28" s="45">
        <f>MIN($C$5,$C$6*INDEX(SolarProfile!$C$4:$CT$39,MATCH(Assumptions!$B$6&amp;"|4",SolarProfile!$A$4:$A$39,0),CR$23+1))</f>
        <v>0.0</v>
      </c>
      <c r="CS28" s="45">
        <f>MIN($C$5,$C$6*INDEX(SolarProfile!$C$4:$CT$39,MATCH(Assumptions!$B$6&amp;"|4",SolarProfile!$A$4:$A$39,0),CS$23+1))</f>
        <v>0.0</v>
      </c>
      <c r="CT28" s="45">
        <f>MIN($C$5,$C$6*INDEX(SolarProfile!$C$4:$CT$39,MATCH(Assumptions!$B$6&amp;"|4",SolarProfile!$A$4:$A$39,0),CT$23+1))</f>
        <v>0.0</v>
      </c>
      <c r="CU28" s="45">
        <f>MIN($C$5,$C$6*INDEX(SolarProfile!$C$4:$CT$39,MATCH(Assumptions!$B$6&amp;"|4",SolarProfile!$A$4:$A$39,0),CU$23+1))</f>
        <v>0.0</v>
      </c>
    </row>
    <row r="29">
      <c r="A29" s="6" t="inlineStr">
        <is>
          <t>May</t>
        </is>
      </c>
      <c r="D29" s="45">
        <f>MIN($C$5,$C$6*INDEX(SolarProfile!$C$4:$CT$39,MATCH(Assumptions!$B$6&amp;"|5",SolarProfile!$A$4:$A$39,0),D$23+1))</f>
        <v>0.0</v>
      </c>
      <c r="E29" s="45">
        <f>MIN($C$5,$C$6*INDEX(SolarProfile!$C$4:$CT$39,MATCH(Assumptions!$B$6&amp;"|5",SolarProfile!$A$4:$A$39,0),E$23+1))</f>
        <v>0.0</v>
      </c>
      <c r="F29" s="45">
        <f>MIN($C$5,$C$6*INDEX(SolarProfile!$C$4:$CT$39,MATCH(Assumptions!$B$6&amp;"|5",SolarProfile!$A$4:$A$39,0),F$23+1))</f>
        <v>0.0</v>
      </c>
      <c r="G29" s="45">
        <f>MIN($C$5,$C$6*INDEX(SolarProfile!$C$4:$CT$39,MATCH(Assumptions!$B$6&amp;"|5",SolarProfile!$A$4:$A$39,0),G$23+1))</f>
        <v>0.0</v>
      </c>
      <c r="H29" s="45">
        <f>MIN($C$5,$C$6*INDEX(SolarProfile!$C$4:$CT$39,MATCH(Assumptions!$B$6&amp;"|5",SolarProfile!$A$4:$A$39,0),H$23+1))</f>
        <v>0.0</v>
      </c>
      <c r="I29" s="45">
        <f>MIN($C$5,$C$6*INDEX(SolarProfile!$C$4:$CT$39,MATCH(Assumptions!$B$6&amp;"|5",SolarProfile!$A$4:$A$39,0),I$23+1))</f>
        <v>0.0</v>
      </c>
      <c r="J29" s="45">
        <f>MIN($C$5,$C$6*INDEX(SolarProfile!$C$4:$CT$39,MATCH(Assumptions!$B$6&amp;"|5",SolarProfile!$A$4:$A$39,0),J$23+1))</f>
        <v>0.0</v>
      </c>
      <c r="K29" s="45">
        <f>MIN($C$5,$C$6*INDEX(SolarProfile!$C$4:$CT$39,MATCH(Assumptions!$B$6&amp;"|5",SolarProfile!$A$4:$A$39,0),K$23+1))</f>
        <v>0.0</v>
      </c>
      <c r="L29" s="45">
        <f>MIN($C$5,$C$6*INDEX(SolarProfile!$C$4:$CT$39,MATCH(Assumptions!$B$6&amp;"|5",SolarProfile!$A$4:$A$39,0),L$23+1))</f>
        <v>0.0</v>
      </c>
      <c r="M29" s="45">
        <f>MIN($C$5,$C$6*INDEX(SolarProfile!$C$4:$CT$39,MATCH(Assumptions!$B$6&amp;"|5",SolarProfile!$A$4:$A$39,0),M$23+1))</f>
        <v>0.0</v>
      </c>
      <c r="N29" s="45">
        <f>MIN($C$5,$C$6*INDEX(SolarProfile!$C$4:$CT$39,MATCH(Assumptions!$B$6&amp;"|5",SolarProfile!$A$4:$A$39,0),N$23+1))</f>
        <v>0.0</v>
      </c>
      <c r="O29" s="45">
        <f>MIN($C$5,$C$6*INDEX(SolarProfile!$C$4:$CT$39,MATCH(Assumptions!$B$6&amp;"|5",SolarProfile!$A$4:$A$39,0),O$23+1))</f>
        <v>0.0</v>
      </c>
      <c r="P29" s="45">
        <f>MIN($C$5,$C$6*INDEX(SolarProfile!$C$4:$CT$39,MATCH(Assumptions!$B$6&amp;"|5",SolarProfile!$A$4:$A$39,0),P$23+1))</f>
        <v>0.0</v>
      </c>
      <c r="Q29" s="45">
        <f>MIN($C$5,$C$6*INDEX(SolarProfile!$C$4:$CT$39,MATCH(Assumptions!$B$6&amp;"|5",SolarProfile!$A$4:$A$39,0),Q$23+1))</f>
        <v>0.0</v>
      </c>
      <c r="R29" s="45">
        <f>MIN($C$5,$C$6*INDEX(SolarProfile!$C$4:$CT$39,MATCH(Assumptions!$B$6&amp;"|5",SolarProfile!$A$4:$A$39,0),R$23+1))</f>
        <v>0.0</v>
      </c>
      <c r="S29" s="45">
        <f>MIN($C$5,$C$6*INDEX(SolarProfile!$C$4:$CT$39,MATCH(Assumptions!$B$6&amp;"|5",SolarProfile!$A$4:$A$39,0),S$23+1))</f>
        <v>0.0</v>
      </c>
      <c r="T29" s="45">
        <f>MIN($C$5,$C$6*INDEX(SolarProfile!$C$4:$CT$39,MATCH(Assumptions!$B$6&amp;"|5",SolarProfile!$A$4:$A$39,0),T$23+1))</f>
        <v>0.0</v>
      </c>
      <c r="U29" s="45">
        <f>MIN($C$5,$C$6*INDEX(SolarProfile!$C$4:$CT$39,MATCH(Assumptions!$B$6&amp;"|5",SolarProfile!$A$4:$A$39,0),U$23+1))</f>
        <v>0.0</v>
      </c>
      <c r="V29" s="45">
        <f>MIN($C$5,$C$6*INDEX(SolarProfile!$C$4:$CT$39,MATCH(Assumptions!$B$6&amp;"|5",SolarProfile!$A$4:$A$39,0),V$23+1))</f>
        <v>0.0</v>
      </c>
      <c r="W29" s="45">
        <f>MIN($C$5,$C$6*INDEX(SolarProfile!$C$4:$CT$39,MATCH(Assumptions!$B$6&amp;"|5",SolarProfile!$A$4:$A$39,0),W$23+1))</f>
        <v>0.0</v>
      </c>
      <c r="X29" s="45">
        <f>MIN($C$5,$C$6*INDEX(SolarProfile!$C$4:$CT$39,MATCH(Assumptions!$B$6&amp;"|5",SolarProfile!$A$4:$A$39,0),X$23+1))</f>
        <v>0.0</v>
      </c>
      <c r="Y29" s="45">
        <f>MIN($C$5,$C$6*INDEX(SolarProfile!$C$4:$CT$39,MATCH(Assumptions!$B$6&amp;"|5",SolarProfile!$A$4:$A$39,0),Y$23+1))</f>
        <v>0.0</v>
      </c>
      <c r="Z29" s="45">
        <f>MIN($C$5,$C$6*INDEX(SolarProfile!$C$4:$CT$39,MATCH(Assumptions!$B$6&amp;"|5",SolarProfile!$A$4:$A$39,0),Z$23+1))</f>
        <v>0.0</v>
      </c>
      <c r="AA29" s="45">
        <f>MIN($C$5,$C$6*INDEX(SolarProfile!$C$4:$CT$39,MATCH(Assumptions!$B$6&amp;"|5",SolarProfile!$A$4:$A$39,0),AA$23+1))</f>
        <v>0.0</v>
      </c>
      <c r="AB29" s="45">
        <f>MIN($C$5,$C$6*INDEX(SolarProfile!$C$4:$CT$39,MATCH(Assumptions!$B$6&amp;"|5",SolarProfile!$A$4:$A$39,0),AB$23+1))</f>
        <v>5.0828999999999995</v>
      </c>
      <c r="AC29" s="45">
        <f>MIN($C$5,$C$6*INDEX(SolarProfile!$C$4:$CT$39,MATCH(Assumptions!$B$6&amp;"|5",SolarProfile!$A$4:$A$39,0),AC$23+1))</f>
        <v>15.813</v>
      </c>
      <c r="AD29" s="45">
        <f>MIN($C$5,$C$6*INDEX(SolarProfile!$C$4:$CT$39,MATCH(Assumptions!$B$6&amp;"|5",SolarProfile!$A$4:$A$39,0),AD$23+1))</f>
        <v>28.9404</v>
      </c>
      <c r="AE29" s="45">
        <f>MIN($C$5,$C$6*INDEX(SolarProfile!$C$4:$CT$39,MATCH(Assumptions!$B$6&amp;"|5",SolarProfile!$A$4:$A$39,0),AE$23+1))</f>
        <v>43.7028</v>
      </c>
      <c r="AF29" s="45">
        <f>MIN($C$5,$C$6*INDEX(SolarProfile!$C$4:$CT$39,MATCH(Assumptions!$B$6&amp;"|5",SolarProfile!$A$4:$A$39,0),AF$23+1))</f>
        <v>59.6559</v>
      </c>
      <c r="AG29" s="45">
        <f>MIN($C$5,$C$6*INDEX(SolarProfile!$C$4:$CT$39,MATCH(Assumptions!$B$6&amp;"|5",SolarProfile!$A$4:$A$39,0),AG$23+1))</f>
        <v>76.47630000000001</v>
      </c>
      <c r="AH29" s="45">
        <f>MIN($C$5,$C$6*INDEX(SolarProfile!$C$4:$CT$39,MATCH(Assumptions!$B$6&amp;"|5",SolarProfile!$A$4:$A$39,0),AH$23+1))</f>
        <v>93.8982</v>
      </c>
      <c r="AI29" s="45">
        <f>MIN($C$5,$C$6*INDEX(SolarProfile!$C$4:$CT$39,MATCH(Assumptions!$B$6&amp;"|5",SolarProfile!$A$4:$A$39,0),AI$23+1))</f>
        <v>111.6915</v>
      </c>
      <c r="AJ29" s="45">
        <f>MIN($C$5,$C$6*INDEX(SolarProfile!$C$4:$CT$39,MATCH(Assumptions!$B$6&amp;"|5",SolarProfile!$A$4:$A$39,0),AJ$23+1))</f>
        <v>129.64679999999998</v>
      </c>
      <c r="AK29" s="45">
        <f>MIN($C$5,$C$6*INDEX(SolarProfile!$C$4:$CT$39,MATCH(Assumptions!$B$6&amp;"|5",SolarProfile!$A$4:$A$39,0),AK$23+1))</f>
        <v>147.57240000000002</v>
      </c>
      <c r="AL29" s="45">
        <f>MIN($C$5,$C$6*INDEX(SolarProfile!$C$4:$CT$39,MATCH(Assumptions!$B$6&amp;"|5",SolarProfile!$A$4:$A$39,0),AL$23+1))</f>
        <v>165.2877</v>
      </c>
      <c r="AM29" s="45">
        <f>MIN($C$5,$C$6*INDEX(SolarProfile!$C$4:$CT$39,MATCH(Assumptions!$B$6&amp;"|5",SolarProfile!$A$4:$A$39,0),AM$23+1))</f>
        <v>182.62439999999998</v>
      </c>
      <c r="AN29" s="45">
        <f>MIN($C$5,$C$6*INDEX(SolarProfile!$C$4:$CT$39,MATCH(Assumptions!$B$6&amp;"|5",SolarProfile!$A$4:$A$39,0),AN$23+1))</f>
        <v>199.42260000000002</v>
      </c>
      <c r="AO29" s="45">
        <f>MIN($C$5,$C$6*INDEX(SolarProfile!$C$4:$CT$39,MATCH(Assumptions!$B$6&amp;"|5",SolarProfile!$A$4:$A$39,0),AO$23+1))</f>
        <v>215.5335</v>
      </c>
      <c r="AP29" s="45">
        <f>MIN($C$5,$C$6*INDEX(SolarProfile!$C$4:$CT$39,MATCH(Assumptions!$B$6&amp;"|5",SolarProfile!$A$4:$A$39,0),AP$23+1))</f>
        <v>230.817</v>
      </c>
      <c r="AQ29" s="45">
        <f>MIN($C$5,$C$6*INDEX(SolarProfile!$C$4:$CT$39,MATCH(Assumptions!$B$6&amp;"|5",SolarProfile!$A$4:$A$39,0),AQ$23+1))</f>
        <v>245.1429</v>
      </c>
      <c r="AR29" s="45">
        <f>MIN($C$5,$C$6*INDEX(SolarProfile!$C$4:$CT$39,MATCH(Assumptions!$B$6&amp;"|5",SolarProfile!$A$4:$A$39,0),AR$23+1))</f>
        <v>258.3909</v>
      </c>
      <c r="AS29" s="45">
        <f>MIN($C$5,$C$6*INDEX(SolarProfile!$C$4:$CT$39,MATCH(Assumptions!$B$6&amp;"|5",SolarProfile!$A$4:$A$39,0),AS$23+1))</f>
        <v>270.4521</v>
      </c>
      <c r="AT29" s="45">
        <f>MIN($C$5,$C$6*INDEX(SolarProfile!$C$4:$CT$39,MATCH(Assumptions!$B$6&amp;"|5",SolarProfile!$A$4:$A$39,0),AT$23+1))</f>
        <v>281.2269</v>
      </c>
      <c r="AU29" s="45">
        <f>MIN($C$5,$C$6*INDEX(SolarProfile!$C$4:$CT$39,MATCH(Assumptions!$B$6&amp;"|5",SolarProfile!$A$4:$A$39,0),AU$23+1))</f>
        <v>290.62829999999997</v>
      </c>
      <c r="AV29" s="45">
        <f>MIN($C$5,$C$6*INDEX(SolarProfile!$C$4:$CT$39,MATCH(Assumptions!$B$6&amp;"|5",SolarProfile!$A$4:$A$39,0),AV$23+1))</f>
        <v>298.5807</v>
      </c>
      <c r="AW29" s="45">
        <f>MIN($C$5,$C$6*INDEX(SolarProfile!$C$4:$CT$39,MATCH(Assumptions!$B$6&amp;"|5",SolarProfile!$A$4:$A$39,0),AW$23+1))</f>
        <v>300.0</v>
      </c>
      <c r="AX29" s="45">
        <f>MIN($C$5,$C$6*INDEX(SolarProfile!$C$4:$CT$39,MATCH(Assumptions!$B$6&amp;"|5",SolarProfile!$A$4:$A$39,0),AX$23+1))</f>
        <v>300.0</v>
      </c>
      <c r="AY29" s="45">
        <f>MIN($C$5,$C$6*INDEX(SolarProfile!$C$4:$CT$39,MATCH(Assumptions!$B$6&amp;"|5",SolarProfile!$A$4:$A$39,0),AY$23+1))</f>
        <v>300.0</v>
      </c>
      <c r="AZ29" s="45">
        <f>MIN($C$5,$C$6*INDEX(SolarProfile!$C$4:$CT$39,MATCH(Assumptions!$B$6&amp;"|5",SolarProfile!$A$4:$A$39,0),AZ$23+1))</f>
        <v>300.0</v>
      </c>
      <c r="BA29" s="45">
        <f>MIN($C$5,$C$6*INDEX(SolarProfile!$C$4:$CT$39,MATCH(Assumptions!$B$6&amp;"|5",SolarProfile!$A$4:$A$39,0),BA$23+1))</f>
        <v>300.0</v>
      </c>
      <c r="BB29" s="45">
        <f>MIN($C$5,$C$6*INDEX(SolarProfile!$C$4:$CT$39,MATCH(Assumptions!$B$6&amp;"|5",SolarProfile!$A$4:$A$39,0),BB$23+1))</f>
        <v>300.0</v>
      </c>
      <c r="BC29" s="45">
        <f>MIN($C$5,$C$6*INDEX(SolarProfile!$C$4:$CT$39,MATCH(Assumptions!$B$6&amp;"|5",SolarProfile!$A$4:$A$39,0),BC$23+1))</f>
        <v>300.0</v>
      </c>
      <c r="BD29" s="45">
        <f>MIN($C$5,$C$6*INDEX(SolarProfile!$C$4:$CT$39,MATCH(Assumptions!$B$6&amp;"|5",SolarProfile!$A$4:$A$39,0),BD$23+1))</f>
        <v>300.0</v>
      </c>
      <c r="BE29" s="45">
        <f>MIN($C$5,$C$6*INDEX(SolarProfile!$C$4:$CT$39,MATCH(Assumptions!$B$6&amp;"|5",SolarProfile!$A$4:$A$39,0),BE$23+1))</f>
        <v>298.5807</v>
      </c>
      <c r="BF29" s="45">
        <f>MIN($C$5,$C$6*INDEX(SolarProfile!$C$4:$CT$39,MATCH(Assumptions!$B$6&amp;"|5",SolarProfile!$A$4:$A$39,0),BF$23+1))</f>
        <v>290.62829999999997</v>
      </c>
      <c r="BG29" s="45">
        <f>MIN($C$5,$C$6*INDEX(SolarProfile!$C$4:$CT$39,MATCH(Assumptions!$B$6&amp;"|5",SolarProfile!$A$4:$A$39,0),BG$23+1))</f>
        <v>281.2269</v>
      </c>
      <c r="BH29" s="45">
        <f>MIN($C$5,$C$6*INDEX(SolarProfile!$C$4:$CT$39,MATCH(Assumptions!$B$6&amp;"|5",SolarProfile!$A$4:$A$39,0),BH$23+1))</f>
        <v>270.4521</v>
      </c>
      <c r="BI29" s="45">
        <f>MIN($C$5,$C$6*INDEX(SolarProfile!$C$4:$CT$39,MATCH(Assumptions!$B$6&amp;"|5",SolarProfile!$A$4:$A$39,0),BI$23+1))</f>
        <v>258.3909</v>
      </c>
      <c r="BJ29" s="45">
        <f>MIN($C$5,$C$6*INDEX(SolarProfile!$C$4:$CT$39,MATCH(Assumptions!$B$6&amp;"|5",SolarProfile!$A$4:$A$39,0),BJ$23+1))</f>
        <v>245.1429</v>
      </c>
      <c r="BK29" s="45">
        <f>MIN($C$5,$C$6*INDEX(SolarProfile!$C$4:$CT$39,MATCH(Assumptions!$B$6&amp;"|5",SolarProfile!$A$4:$A$39,0),BK$23+1))</f>
        <v>230.817</v>
      </c>
      <c r="BL29" s="45">
        <f>MIN($C$5,$C$6*INDEX(SolarProfile!$C$4:$CT$39,MATCH(Assumptions!$B$6&amp;"|5",SolarProfile!$A$4:$A$39,0),BL$23+1))</f>
        <v>215.5335</v>
      </c>
      <c r="BM29" s="45">
        <f>MIN($C$5,$C$6*INDEX(SolarProfile!$C$4:$CT$39,MATCH(Assumptions!$B$6&amp;"|5",SolarProfile!$A$4:$A$39,0),BM$23+1))</f>
        <v>199.42260000000002</v>
      </c>
      <c r="BN29" s="45">
        <f>MIN($C$5,$C$6*INDEX(SolarProfile!$C$4:$CT$39,MATCH(Assumptions!$B$6&amp;"|5",SolarProfile!$A$4:$A$39,0),BN$23+1))</f>
        <v>182.62439999999998</v>
      </c>
      <c r="BO29" s="45">
        <f>MIN($C$5,$C$6*INDEX(SolarProfile!$C$4:$CT$39,MATCH(Assumptions!$B$6&amp;"|5",SolarProfile!$A$4:$A$39,0),BO$23+1))</f>
        <v>165.2877</v>
      </c>
      <c r="BP29" s="45">
        <f>MIN($C$5,$C$6*INDEX(SolarProfile!$C$4:$CT$39,MATCH(Assumptions!$B$6&amp;"|5",SolarProfile!$A$4:$A$39,0),BP$23+1))</f>
        <v>147.57240000000002</v>
      </c>
      <c r="BQ29" s="45">
        <f>MIN($C$5,$C$6*INDEX(SolarProfile!$C$4:$CT$39,MATCH(Assumptions!$B$6&amp;"|5",SolarProfile!$A$4:$A$39,0),BQ$23+1))</f>
        <v>129.64679999999998</v>
      </c>
      <c r="BR29" s="45">
        <f>MIN($C$5,$C$6*INDEX(SolarProfile!$C$4:$CT$39,MATCH(Assumptions!$B$6&amp;"|5",SolarProfile!$A$4:$A$39,0),BR$23+1))</f>
        <v>111.6915</v>
      </c>
      <c r="BS29" s="45">
        <f>MIN($C$5,$C$6*INDEX(SolarProfile!$C$4:$CT$39,MATCH(Assumptions!$B$6&amp;"|5",SolarProfile!$A$4:$A$39,0),BS$23+1))</f>
        <v>93.8982</v>
      </c>
      <c r="BT29" s="45">
        <f>MIN($C$5,$C$6*INDEX(SolarProfile!$C$4:$CT$39,MATCH(Assumptions!$B$6&amp;"|5",SolarProfile!$A$4:$A$39,0),BT$23+1))</f>
        <v>76.47630000000001</v>
      </c>
      <c r="BU29" s="45">
        <f>MIN($C$5,$C$6*INDEX(SolarProfile!$C$4:$CT$39,MATCH(Assumptions!$B$6&amp;"|5",SolarProfile!$A$4:$A$39,0),BU$23+1))</f>
        <v>59.6559</v>
      </c>
      <c r="BV29" s="45">
        <f>MIN($C$5,$C$6*INDEX(SolarProfile!$C$4:$CT$39,MATCH(Assumptions!$B$6&amp;"|5",SolarProfile!$A$4:$A$39,0),BV$23+1))</f>
        <v>43.7028</v>
      </c>
      <c r="BW29" s="45">
        <f>MIN($C$5,$C$6*INDEX(SolarProfile!$C$4:$CT$39,MATCH(Assumptions!$B$6&amp;"|5",SolarProfile!$A$4:$A$39,0),BW$23+1))</f>
        <v>28.9404</v>
      </c>
      <c r="BX29" s="45">
        <f>MIN($C$5,$C$6*INDEX(SolarProfile!$C$4:$CT$39,MATCH(Assumptions!$B$6&amp;"|5",SolarProfile!$A$4:$A$39,0),BX$23+1))</f>
        <v>15.813</v>
      </c>
      <c r="BY29" s="45">
        <f>MIN($C$5,$C$6*INDEX(SolarProfile!$C$4:$CT$39,MATCH(Assumptions!$B$6&amp;"|5",SolarProfile!$A$4:$A$39,0),BY$23+1))</f>
        <v>5.0828999999999995</v>
      </c>
      <c r="BZ29" s="45">
        <f>MIN($C$5,$C$6*INDEX(SolarProfile!$C$4:$CT$39,MATCH(Assumptions!$B$6&amp;"|5",SolarProfile!$A$4:$A$39,0),BZ$23+1))</f>
        <v>0.0</v>
      </c>
      <c r="CA29" s="45">
        <f>MIN($C$5,$C$6*INDEX(SolarProfile!$C$4:$CT$39,MATCH(Assumptions!$B$6&amp;"|5",SolarProfile!$A$4:$A$39,0),CA$23+1))</f>
        <v>0.0</v>
      </c>
      <c r="CB29" s="45">
        <f>MIN($C$5,$C$6*INDEX(SolarProfile!$C$4:$CT$39,MATCH(Assumptions!$B$6&amp;"|5",SolarProfile!$A$4:$A$39,0),CB$23+1))</f>
        <v>0.0</v>
      </c>
      <c r="CC29" s="45">
        <f>MIN($C$5,$C$6*INDEX(SolarProfile!$C$4:$CT$39,MATCH(Assumptions!$B$6&amp;"|5",SolarProfile!$A$4:$A$39,0),CC$23+1))</f>
        <v>0.0</v>
      </c>
      <c r="CD29" s="45">
        <f>MIN($C$5,$C$6*INDEX(SolarProfile!$C$4:$CT$39,MATCH(Assumptions!$B$6&amp;"|5",SolarProfile!$A$4:$A$39,0),CD$23+1))</f>
        <v>0.0</v>
      </c>
      <c r="CE29" s="45">
        <f>MIN($C$5,$C$6*INDEX(SolarProfile!$C$4:$CT$39,MATCH(Assumptions!$B$6&amp;"|5",SolarProfile!$A$4:$A$39,0),CE$23+1))</f>
        <v>0.0</v>
      </c>
      <c r="CF29" s="45">
        <f>MIN($C$5,$C$6*INDEX(SolarProfile!$C$4:$CT$39,MATCH(Assumptions!$B$6&amp;"|5",SolarProfile!$A$4:$A$39,0),CF$23+1))</f>
        <v>0.0</v>
      </c>
      <c r="CG29" s="45">
        <f>MIN($C$5,$C$6*INDEX(SolarProfile!$C$4:$CT$39,MATCH(Assumptions!$B$6&amp;"|5",SolarProfile!$A$4:$A$39,0),CG$23+1))</f>
        <v>0.0</v>
      </c>
      <c r="CH29" s="45">
        <f>MIN($C$5,$C$6*INDEX(SolarProfile!$C$4:$CT$39,MATCH(Assumptions!$B$6&amp;"|5",SolarProfile!$A$4:$A$39,0),CH$23+1))</f>
        <v>0.0</v>
      </c>
      <c r="CI29" s="45">
        <f>MIN($C$5,$C$6*INDEX(SolarProfile!$C$4:$CT$39,MATCH(Assumptions!$B$6&amp;"|5",SolarProfile!$A$4:$A$39,0),CI$23+1))</f>
        <v>0.0</v>
      </c>
      <c r="CJ29" s="45">
        <f>MIN($C$5,$C$6*INDEX(SolarProfile!$C$4:$CT$39,MATCH(Assumptions!$B$6&amp;"|5",SolarProfile!$A$4:$A$39,0),CJ$23+1))</f>
        <v>0.0</v>
      </c>
      <c r="CK29" s="45">
        <f>MIN($C$5,$C$6*INDEX(SolarProfile!$C$4:$CT$39,MATCH(Assumptions!$B$6&amp;"|5",SolarProfile!$A$4:$A$39,0),CK$23+1))</f>
        <v>0.0</v>
      </c>
      <c r="CL29" s="45">
        <f>MIN($C$5,$C$6*INDEX(SolarProfile!$C$4:$CT$39,MATCH(Assumptions!$B$6&amp;"|5",SolarProfile!$A$4:$A$39,0),CL$23+1))</f>
        <v>0.0</v>
      </c>
      <c r="CM29" s="45">
        <f>MIN($C$5,$C$6*INDEX(SolarProfile!$C$4:$CT$39,MATCH(Assumptions!$B$6&amp;"|5",SolarProfile!$A$4:$A$39,0),CM$23+1))</f>
        <v>0.0</v>
      </c>
      <c r="CN29" s="45">
        <f>MIN($C$5,$C$6*INDEX(SolarProfile!$C$4:$CT$39,MATCH(Assumptions!$B$6&amp;"|5",SolarProfile!$A$4:$A$39,0),CN$23+1))</f>
        <v>0.0</v>
      </c>
      <c r="CO29" s="45">
        <f>MIN($C$5,$C$6*INDEX(SolarProfile!$C$4:$CT$39,MATCH(Assumptions!$B$6&amp;"|5",SolarProfile!$A$4:$A$39,0),CO$23+1))</f>
        <v>0.0</v>
      </c>
      <c r="CP29" s="45">
        <f>MIN($C$5,$C$6*INDEX(SolarProfile!$C$4:$CT$39,MATCH(Assumptions!$B$6&amp;"|5",SolarProfile!$A$4:$A$39,0),CP$23+1))</f>
        <v>0.0</v>
      </c>
      <c r="CQ29" s="45">
        <f>MIN($C$5,$C$6*INDEX(SolarProfile!$C$4:$CT$39,MATCH(Assumptions!$B$6&amp;"|5",SolarProfile!$A$4:$A$39,0),CQ$23+1))</f>
        <v>0.0</v>
      </c>
      <c r="CR29" s="45">
        <f>MIN($C$5,$C$6*INDEX(SolarProfile!$C$4:$CT$39,MATCH(Assumptions!$B$6&amp;"|5",SolarProfile!$A$4:$A$39,0),CR$23+1))</f>
        <v>0.0</v>
      </c>
      <c r="CS29" s="45">
        <f>MIN($C$5,$C$6*INDEX(SolarProfile!$C$4:$CT$39,MATCH(Assumptions!$B$6&amp;"|5",SolarProfile!$A$4:$A$39,0),CS$23+1))</f>
        <v>0.0</v>
      </c>
      <c r="CT29" s="45">
        <f>MIN($C$5,$C$6*INDEX(SolarProfile!$C$4:$CT$39,MATCH(Assumptions!$B$6&amp;"|5",SolarProfile!$A$4:$A$39,0),CT$23+1))</f>
        <v>0.0</v>
      </c>
      <c r="CU29" s="45">
        <f>MIN($C$5,$C$6*INDEX(SolarProfile!$C$4:$CT$39,MATCH(Assumptions!$B$6&amp;"|5",SolarProfile!$A$4:$A$39,0),CU$23+1))</f>
        <v>0.0</v>
      </c>
    </row>
    <row r="30">
      <c r="A30" s="6" t="inlineStr">
        <is>
          <t>Jun</t>
        </is>
      </c>
      <c r="D30" s="45">
        <f>MIN($C$5,$C$6*INDEX(SolarProfile!$C$4:$CT$39,MATCH(Assumptions!$B$6&amp;"|6",SolarProfile!$A$4:$A$39,0),D$23+1))</f>
        <v>0.0</v>
      </c>
      <c r="E30" s="45">
        <f>MIN($C$5,$C$6*INDEX(SolarProfile!$C$4:$CT$39,MATCH(Assumptions!$B$6&amp;"|6",SolarProfile!$A$4:$A$39,0),E$23+1))</f>
        <v>0.0</v>
      </c>
      <c r="F30" s="45">
        <f>MIN($C$5,$C$6*INDEX(SolarProfile!$C$4:$CT$39,MATCH(Assumptions!$B$6&amp;"|6",SolarProfile!$A$4:$A$39,0),F$23+1))</f>
        <v>0.0</v>
      </c>
      <c r="G30" s="45">
        <f>MIN($C$5,$C$6*INDEX(SolarProfile!$C$4:$CT$39,MATCH(Assumptions!$B$6&amp;"|6",SolarProfile!$A$4:$A$39,0),G$23+1))</f>
        <v>0.0</v>
      </c>
      <c r="H30" s="45">
        <f>MIN($C$5,$C$6*INDEX(SolarProfile!$C$4:$CT$39,MATCH(Assumptions!$B$6&amp;"|6",SolarProfile!$A$4:$A$39,0),H$23+1))</f>
        <v>0.0</v>
      </c>
      <c r="I30" s="45">
        <f>MIN($C$5,$C$6*INDEX(SolarProfile!$C$4:$CT$39,MATCH(Assumptions!$B$6&amp;"|6",SolarProfile!$A$4:$A$39,0),I$23+1))</f>
        <v>0.0</v>
      </c>
      <c r="J30" s="45">
        <f>MIN($C$5,$C$6*INDEX(SolarProfile!$C$4:$CT$39,MATCH(Assumptions!$B$6&amp;"|6",SolarProfile!$A$4:$A$39,0),J$23+1))</f>
        <v>0.0</v>
      </c>
      <c r="K30" s="45">
        <f>MIN($C$5,$C$6*INDEX(SolarProfile!$C$4:$CT$39,MATCH(Assumptions!$B$6&amp;"|6",SolarProfile!$A$4:$A$39,0),K$23+1))</f>
        <v>0.0</v>
      </c>
      <c r="L30" s="45">
        <f>MIN($C$5,$C$6*INDEX(SolarProfile!$C$4:$CT$39,MATCH(Assumptions!$B$6&amp;"|6",SolarProfile!$A$4:$A$39,0),L$23+1))</f>
        <v>0.0</v>
      </c>
      <c r="M30" s="45">
        <f>MIN($C$5,$C$6*INDEX(SolarProfile!$C$4:$CT$39,MATCH(Assumptions!$B$6&amp;"|6",SolarProfile!$A$4:$A$39,0),M$23+1))</f>
        <v>0.0</v>
      </c>
      <c r="N30" s="45">
        <f>MIN($C$5,$C$6*INDEX(SolarProfile!$C$4:$CT$39,MATCH(Assumptions!$B$6&amp;"|6",SolarProfile!$A$4:$A$39,0),N$23+1))</f>
        <v>0.0</v>
      </c>
      <c r="O30" s="45">
        <f>MIN($C$5,$C$6*INDEX(SolarProfile!$C$4:$CT$39,MATCH(Assumptions!$B$6&amp;"|6",SolarProfile!$A$4:$A$39,0),O$23+1))</f>
        <v>0.0</v>
      </c>
      <c r="P30" s="45">
        <f>MIN($C$5,$C$6*INDEX(SolarProfile!$C$4:$CT$39,MATCH(Assumptions!$B$6&amp;"|6",SolarProfile!$A$4:$A$39,0),P$23+1))</f>
        <v>0.0</v>
      </c>
      <c r="Q30" s="45">
        <f>MIN($C$5,$C$6*INDEX(SolarProfile!$C$4:$CT$39,MATCH(Assumptions!$B$6&amp;"|6",SolarProfile!$A$4:$A$39,0),Q$23+1))</f>
        <v>0.0</v>
      </c>
      <c r="R30" s="45">
        <f>MIN($C$5,$C$6*INDEX(SolarProfile!$C$4:$CT$39,MATCH(Assumptions!$B$6&amp;"|6",SolarProfile!$A$4:$A$39,0),R$23+1))</f>
        <v>0.0</v>
      </c>
      <c r="S30" s="45">
        <f>MIN($C$5,$C$6*INDEX(SolarProfile!$C$4:$CT$39,MATCH(Assumptions!$B$6&amp;"|6",SolarProfile!$A$4:$A$39,0),S$23+1))</f>
        <v>0.0</v>
      </c>
      <c r="T30" s="45">
        <f>MIN($C$5,$C$6*INDEX(SolarProfile!$C$4:$CT$39,MATCH(Assumptions!$B$6&amp;"|6",SolarProfile!$A$4:$A$39,0),T$23+1))</f>
        <v>0.0</v>
      </c>
      <c r="U30" s="45">
        <f>MIN($C$5,$C$6*INDEX(SolarProfile!$C$4:$CT$39,MATCH(Assumptions!$B$6&amp;"|6",SolarProfile!$A$4:$A$39,0),U$23+1))</f>
        <v>0.0</v>
      </c>
      <c r="V30" s="45">
        <f>MIN($C$5,$C$6*INDEX(SolarProfile!$C$4:$CT$39,MATCH(Assumptions!$B$6&amp;"|6",SolarProfile!$A$4:$A$39,0),V$23+1))</f>
        <v>0.0</v>
      </c>
      <c r="W30" s="45">
        <f>MIN($C$5,$C$6*INDEX(SolarProfile!$C$4:$CT$39,MATCH(Assumptions!$B$6&amp;"|6",SolarProfile!$A$4:$A$39,0),W$23+1))</f>
        <v>0.0</v>
      </c>
      <c r="X30" s="45">
        <f>MIN($C$5,$C$6*INDEX(SolarProfile!$C$4:$CT$39,MATCH(Assumptions!$B$6&amp;"|6",SolarProfile!$A$4:$A$39,0),X$23+1))</f>
        <v>0.0</v>
      </c>
      <c r="Y30" s="45">
        <f>MIN($C$5,$C$6*INDEX(SolarProfile!$C$4:$CT$39,MATCH(Assumptions!$B$6&amp;"|6",SolarProfile!$A$4:$A$39,0),Y$23+1))</f>
        <v>0.0</v>
      </c>
      <c r="Z30" s="45">
        <f>MIN($C$5,$C$6*INDEX(SolarProfile!$C$4:$CT$39,MATCH(Assumptions!$B$6&amp;"|6",SolarProfile!$A$4:$A$39,0),Z$23+1))</f>
        <v>0.0</v>
      </c>
      <c r="AA30" s="45">
        <f>MIN($C$5,$C$6*INDEX(SolarProfile!$C$4:$CT$39,MATCH(Assumptions!$B$6&amp;"|6",SolarProfile!$A$4:$A$39,0),AA$23+1))</f>
        <v>0.1356</v>
      </c>
      <c r="AB30" s="45">
        <f>MIN($C$5,$C$6*INDEX(SolarProfile!$C$4:$CT$39,MATCH(Assumptions!$B$6&amp;"|6",SolarProfile!$A$4:$A$39,0),AB$23+1))</f>
        <v>6.3312</v>
      </c>
      <c r="AC30" s="45">
        <f>MIN($C$5,$C$6*INDEX(SolarProfile!$C$4:$CT$39,MATCH(Assumptions!$B$6&amp;"|6",SolarProfile!$A$4:$A$39,0),AC$23+1))</f>
        <v>15.4701</v>
      </c>
      <c r="AD30" s="45">
        <f>MIN($C$5,$C$6*INDEX(SolarProfile!$C$4:$CT$39,MATCH(Assumptions!$B$6&amp;"|6",SolarProfile!$A$4:$A$39,0),AD$23+1))</f>
        <v>26.270100000000003</v>
      </c>
      <c r="AE30" s="45">
        <f>MIN($C$5,$C$6*INDEX(SolarProfile!$C$4:$CT$39,MATCH(Assumptions!$B$6&amp;"|6",SolarProfile!$A$4:$A$39,0),AE$23+1))</f>
        <v>38.2419</v>
      </c>
      <c r="AF30" s="45">
        <f>MIN($C$5,$C$6*INDEX(SolarProfile!$C$4:$CT$39,MATCH(Assumptions!$B$6&amp;"|6",SolarProfile!$A$4:$A$39,0),AF$23+1))</f>
        <v>51.0747</v>
      </c>
      <c r="AG30" s="45">
        <f>MIN($C$5,$C$6*INDEX(SolarProfile!$C$4:$CT$39,MATCH(Assumptions!$B$6&amp;"|6",SolarProfile!$A$4:$A$39,0),AG$23+1))</f>
        <v>64.5321</v>
      </c>
      <c r="AH30" s="45">
        <f>MIN($C$5,$C$6*INDEX(SolarProfile!$C$4:$CT$39,MATCH(Assumptions!$B$6&amp;"|6",SolarProfile!$A$4:$A$39,0),AH$23+1))</f>
        <v>78.4164</v>
      </c>
      <c r="AI30" s="45">
        <f>MIN($C$5,$C$6*INDEX(SolarProfile!$C$4:$CT$39,MATCH(Assumptions!$B$6&amp;"|6",SolarProfile!$A$4:$A$39,0),AI$23+1))</f>
        <v>92.5539</v>
      </c>
      <c r="AJ30" s="45">
        <f>MIN($C$5,$C$6*INDEX(SolarProfile!$C$4:$CT$39,MATCH(Assumptions!$B$6&amp;"|6",SolarProfile!$A$4:$A$39,0),AJ$23+1))</f>
        <v>106.7862</v>
      </c>
      <c r="AK30" s="45">
        <f>MIN($C$5,$C$6*INDEX(SolarProfile!$C$4:$CT$39,MATCH(Assumptions!$B$6&amp;"|6",SolarProfile!$A$4:$A$39,0),AK$23+1))</f>
        <v>120.9663</v>
      </c>
      <c r="AL30" s="45">
        <f>MIN($C$5,$C$6*INDEX(SolarProfile!$C$4:$CT$39,MATCH(Assumptions!$B$6&amp;"|6",SolarProfile!$A$4:$A$39,0),AL$23+1))</f>
        <v>134.9571</v>
      </c>
      <c r="AM30" s="45">
        <f>MIN($C$5,$C$6*INDEX(SolarProfile!$C$4:$CT$39,MATCH(Assumptions!$B$6&amp;"|6",SolarProfile!$A$4:$A$39,0),AM$23+1))</f>
        <v>148.629</v>
      </c>
      <c r="AN30" s="45">
        <f>MIN($C$5,$C$6*INDEX(SolarProfile!$C$4:$CT$39,MATCH(Assumptions!$B$6&amp;"|6",SolarProfile!$A$4:$A$39,0),AN$23+1))</f>
        <v>161.8602</v>
      </c>
      <c r="AO30" s="45">
        <f>MIN($C$5,$C$6*INDEX(SolarProfile!$C$4:$CT$39,MATCH(Assumptions!$B$6&amp;"|6",SolarProfile!$A$4:$A$39,0),AO$23+1))</f>
        <v>174.5367</v>
      </c>
      <c r="AP30" s="45">
        <f>MIN($C$5,$C$6*INDEX(SolarProfile!$C$4:$CT$39,MATCH(Assumptions!$B$6&amp;"|6",SolarProfile!$A$4:$A$39,0),AP$23+1))</f>
        <v>186.5511</v>
      </c>
      <c r="AQ30" s="45">
        <f>MIN($C$5,$C$6*INDEX(SolarProfile!$C$4:$CT$39,MATCH(Assumptions!$B$6&amp;"|6",SolarProfile!$A$4:$A$39,0),AQ$23+1))</f>
        <v>197.80349999999999</v>
      </c>
      <c r="AR30" s="45">
        <f>MIN($C$5,$C$6*INDEX(SolarProfile!$C$4:$CT$39,MATCH(Assumptions!$B$6&amp;"|6",SolarProfile!$A$4:$A$39,0),AR$23+1))</f>
        <v>208.2021</v>
      </c>
      <c r="AS30" s="45">
        <f>MIN($C$5,$C$6*INDEX(SolarProfile!$C$4:$CT$39,MATCH(Assumptions!$B$6&amp;"|6",SolarProfile!$A$4:$A$39,0),AS$23+1))</f>
        <v>217.6632</v>
      </c>
      <c r="AT30" s="45">
        <f>MIN($C$5,$C$6*INDEX(SolarProfile!$C$4:$CT$39,MATCH(Assumptions!$B$6&amp;"|6",SolarProfile!$A$4:$A$39,0),AT$23+1))</f>
        <v>226.11120000000003</v>
      </c>
      <c r="AU30" s="45">
        <f>MIN($C$5,$C$6*INDEX(SolarProfile!$C$4:$CT$39,MATCH(Assumptions!$B$6&amp;"|6",SolarProfile!$A$4:$A$39,0),AU$23+1))</f>
        <v>233.4792</v>
      </c>
      <c r="AV30" s="45">
        <f>MIN($C$5,$C$6*INDEX(SolarProfile!$C$4:$CT$39,MATCH(Assumptions!$B$6&amp;"|6",SolarProfile!$A$4:$A$39,0),AV$23+1))</f>
        <v>239.709</v>
      </c>
      <c r="AW30" s="45">
        <f>MIN($C$5,$C$6*INDEX(SolarProfile!$C$4:$CT$39,MATCH(Assumptions!$B$6&amp;"|6",SolarProfile!$A$4:$A$39,0),AW$23+1))</f>
        <v>244.752</v>
      </c>
      <c r="AX30" s="45">
        <f>MIN($C$5,$C$6*INDEX(SolarProfile!$C$4:$CT$39,MATCH(Assumptions!$B$6&amp;"|6",SolarProfile!$A$4:$A$39,0),AX$23+1))</f>
        <v>248.5689</v>
      </c>
      <c r="AY30" s="45">
        <f>MIN($C$5,$C$6*INDEX(SolarProfile!$C$4:$CT$39,MATCH(Assumptions!$B$6&amp;"|6",SolarProfile!$A$4:$A$39,0),AY$23+1))</f>
        <v>251.13</v>
      </c>
      <c r="AZ30" s="45">
        <f>MIN($C$5,$C$6*INDEX(SolarProfile!$C$4:$CT$39,MATCH(Assumptions!$B$6&amp;"|6",SolarProfile!$A$4:$A$39,0),AZ$23+1))</f>
        <v>252.4155</v>
      </c>
      <c r="BA30" s="45">
        <f>MIN($C$5,$C$6*INDEX(SolarProfile!$C$4:$CT$39,MATCH(Assumptions!$B$6&amp;"|6",SolarProfile!$A$4:$A$39,0),BA$23+1))</f>
        <v>252.4155</v>
      </c>
      <c r="BB30" s="45">
        <f>MIN($C$5,$C$6*INDEX(SolarProfile!$C$4:$CT$39,MATCH(Assumptions!$B$6&amp;"|6",SolarProfile!$A$4:$A$39,0),BB$23+1))</f>
        <v>251.13</v>
      </c>
      <c r="BC30" s="45">
        <f>MIN($C$5,$C$6*INDEX(SolarProfile!$C$4:$CT$39,MATCH(Assumptions!$B$6&amp;"|6",SolarProfile!$A$4:$A$39,0),BC$23+1))</f>
        <v>248.5689</v>
      </c>
      <c r="BD30" s="45">
        <f>MIN($C$5,$C$6*INDEX(SolarProfile!$C$4:$CT$39,MATCH(Assumptions!$B$6&amp;"|6",SolarProfile!$A$4:$A$39,0),BD$23+1))</f>
        <v>244.752</v>
      </c>
      <c r="BE30" s="45">
        <f>MIN($C$5,$C$6*INDEX(SolarProfile!$C$4:$CT$39,MATCH(Assumptions!$B$6&amp;"|6",SolarProfile!$A$4:$A$39,0),BE$23+1))</f>
        <v>239.709</v>
      </c>
      <c r="BF30" s="45">
        <f>MIN($C$5,$C$6*INDEX(SolarProfile!$C$4:$CT$39,MATCH(Assumptions!$B$6&amp;"|6",SolarProfile!$A$4:$A$39,0),BF$23+1))</f>
        <v>233.4792</v>
      </c>
      <c r="BG30" s="45">
        <f>MIN($C$5,$C$6*INDEX(SolarProfile!$C$4:$CT$39,MATCH(Assumptions!$B$6&amp;"|6",SolarProfile!$A$4:$A$39,0),BG$23+1))</f>
        <v>226.11120000000003</v>
      </c>
      <c r="BH30" s="45">
        <f>MIN($C$5,$C$6*INDEX(SolarProfile!$C$4:$CT$39,MATCH(Assumptions!$B$6&amp;"|6",SolarProfile!$A$4:$A$39,0),BH$23+1))</f>
        <v>217.6632</v>
      </c>
      <c r="BI30" s="45">
        <f>MIN($C$5,$C$6*INDEX(SolarProfile!$C$4:$CT$39,MATCH(Assumptions!$B$6&amp;"|6",SolarProfile!$A$4:$A$39,0),BI$23+1))</f>
        <v>208.2021</v>
      </c>
      <c r="BJ30" s="45">
        <f>MIN($C$5,$C$6*INDEX(SolarProfile!$C$4:$CT$39,MATCH(Assumptions!$B$6&amp;"|6",SolarProfile!$A$4:$A$39,0),BJ$23+1))</f>
        <v>197.80349999999999</v>
      </c>
      <c r="BK30" s="45">
        <f>MIN($C$5,$C$6*INDEX(SolarProfile!$C$4:$CT$39,MATCH(Assumptions!$B$6&amp;"|6",SolarProfile!$A$4:$A$39,0),BK$23+1))</f>
        <v>186.5511</v>
      </c>
      <c r="BL30" s="45">
        <f>MIN($C$5,$C$6*INDEX(SolarProfile!$C$4:$CT$39,MATCH(Assumptions!$B$6&amp;"|6",SolarProfile!$A$4:$A$39,0),BL$23+1))</f>
        <v>174.5367</v>
      </c>
      <c r="BM30" s="45">
        <f>MIN($C$5,$C$6*INDEX(SolarProfile!$C$4:$CT$39,MATCH(Assumptions!$B$6&amp;"|6",SolarProfile!$A$4:$A$39,0),BM$23+1))</f>
        <v>161.8602</v>
      </c>
      <c r="BN30" s="45">
        <f>MIN($C$5,$C$6*INDEX(SolarProfile!$C$4:$CT$39,MATCH(Assumptions!$B$6&amp;"|6",SolarProfile!$A$4:$A$39,0),BN$23+1))</f>
        <v>148.629</v>
      </c>
      <c r="BO30" s="45">
        <f>MIN($C$5,$C$6*INDEX(SolarProfile!$C$4:$CT$39,MATCH(Assumptions!$B$6&amp;"|6",SolarProfile!$A$4:$A$39,0),BO$23+1))</f>
        <v>134.9571</v>
      </c>
      <c r="BP30" s="45">
        <f>MIN($C$5,$C$6*INDEX(SolarProfile!$C$4:$CT$39,MATCH(Assumptions!$B$6&amp;"|6",SolarProfile!$A$4:$A$39,0),BP$23+1))</f>
        <v>120.9663</v>
      </c>
      <c r="BQ30" s="45">
        <f>MIN($C$5,$C$6*INDEX(SolarProfile!$C$4:$CT$39,MATCH(Assumptions!$B$6&amp;"|6",SolarProfile!$A$4:$A$39,0),BQ$23+1))</f>
        <v>106.7862</v>
      </c>
      <c r="BR30" s="45">
        <f>MIN($C$5,$C$6*INDEX(SolarProfile!$C$4:$CT$39,MATCH(Assumptions!$B$6&amp;"|6",SolarProfile!$A$4:$A$39,0),BR$23+1))</f>
        <v>92.5539</v>
      </c>
      <c r="BS30" s="45">
        <f>MIN($C$5,$C$6*INDEX(SolarProfile!$C$4:$CT$39,MATCH(Assumptions!$B$6&amp;"|6",SolarProfile!$A$4:$A$39,0),BS$23+1))</f>
        <v>78.4164</v>
      </c>
      <c r="BT30" s="45">
        <f>MIN($C$5,$C$6*INDEX(SolarProfile!$C$4:$CT$39,MATCH(Assumptions!$B$6&amp;"|6",SolarProfile!$A$4:$A$39,0),BT$23+1))</f>
        <v>64.5321</v>
      </c>
      <c r="BU30" s="45">
        <f>MIN($C$5,$C$6*INDEX(SolarProfile!$C$4:$CT$39,MATCH(Assumptions!$B$6&amp;"|6",SolarProfile!$A$4:$A$39,0),BU$23+1))</f>
        <v>51.0747</v>
      </c>
      <c r="BV30" s="45">
        <f>MIN($C$5,$C$6*INDEX(SolarProfile!$C$4:$CT$39,MATCH(Assumptions!$B$6&amp;"|6",SolarProfile!$A$4:$A$39,0),BV$23+1))</f>
        <v>38.2419</v>
      </c>
      <c r="BW30" s="45">
        <f>MIN($C$5,$C$6*INDEX(SolarProfile!$C$4:$CT$39,MATCH(Assumptions!$B$6&amp;"|6",SolarProfile!$A$4:$A$39,0),BW$23+1))</f>
        <v>26.270100000000003</v>
      </c>
      <c r="BX30" s="45">
        <f>MIN($C$5,$C$6*INDEX(SolarProfile!$C$4:$CT$39,MATCH(Assumptions!$B$6&amp;"|6",SolarProfile!$A$4:$A$39,0),BX$23+1))</f>
        <v>15.4701</v>
      </c>
      <c r="BY30" s="45">
        <f>MIN($C$5,$C$6*INDEX(SolarProfile!$C$4:$CT$39,MATCH(Assumptions!$B$6&amp;"|6",SolarProfile!$A$4:$A$39,0),BY$23+1))</f>
        <v>6.3312</v>
      </c>
      <c r="BZ30" s="45">
        <f>MIN($C$5,$C$6*INDEX(SolarProfile!$C$4:$CT$39,MATCH(Assumptions!$B$6&amp;"|6",SolarProfile!$A$4:$A$39,0),BZ$23+1))</f>
        <v>0.1356</v>
      </c>
      <c r="CA30" s="45">
        <f>MIN($C$5,$C$6*INDEX(SolarProfile!$C$4:$CT$39,MATCH(Assumptions!$B$6&amp;"|6",SolarProfile!$A$4:$A$39,0),CA$23+1))</f>
        <v>0.0</v>
      </c>
      <c r="CB30" s="45">
        <f>MIN($C$5,$C$6*INDEX(SolarProfile!$C$4:$CT$39,MATCH(Assumptions!$B$6&amp;"|6",SolarProfile!$A$4:$A$39,0),CB$23+1))</f>
        <v>0.0</v>
      </c>
      <c r="CC30" s="45">
        <f>MIN($C$5,$C$6*INDEX(SolarProfile!$C$4:$CT$39,MATCH(Assumptions!$B$6&amp;"|6",SolarProfile!$A$4:$A$39,0),CC$23+1))</f>
        <v>0.0</v>
      </c>
      <c r="CD30" s="45">
        <f>MIN($C$5,$C$6*INDEX(SolarProfile!$C$4:$CT$39,MATCH(Assumptions!$B$6&amp;"|6",SolarProfile!$A$4:$A$39,0),CD$23+1))</f>
        <v>0.0</v>
      </c>
      <c r="CE30" s="45">
        <f>MIN($C$5,$C$6*INDEX(SolarProfile!$C$4:$CT$39,MATCH(Assumptions!$B$6&amp;"|6",SolarProfile!$A$4:$A$39,0),CE$23+1))</f>
        <v>0.0</v>
      </c>
      <c r="CF30" s="45">
        <f>MIN($C$5,$C$6*INDEX(SolarProfile!$C$4:$CT$39,MATCH(Assumptions!$B$6&amp;"|6",SolarProfile!$A$4:$A$39,0),CF$23+1))</f>
        <v>0.0</v>
      </c>
      <c r="CG30" s="45">
        <f>MIN($C$5,$C$6*INDEX(SolarProfile!$C$4:$CT$39,MATCH(Assumptions!$B$6&amp;"|6",SolarProfile!$A$4:$A$39,0),CG$23+1))</f>
        <v>0.0</v>
      </c>
      <c r="CH30" s="45">
        <f>MIN($C$5,$C$6*INDEX(SolarProfile!$C$4:$CT$39,MATCH(Assumptions!$B$6&amp;"|6",SolarProfile!$A$4:$A$39,0),CH$23+1))</f>
        <v>0.0</v>
      </c>
      <c r="CI30" s="45">
        <f>MIN($C$5,$C$6*INDEX(SolarProfile!$C$4:$CT$39,MATCH(Assumptions!$B$6&amp;"|6",SolarProfile!$A$4:$A$39,0),CI$23+1))</f>
        <v>0.0</v>
      </c>
      <c r="CJ30" s="45">
        <f>MIN($C$5,$C$6*INDEX(SolarProfile!$C$4:$CT$39,MATCH(Assumptions!$B$6&amp;"|6",SolarProfile!$A$4:$A$39,0),CJ$23+1))</f>
        <v>0.0</v>
      </c>
      <c r="CK30" s="45">
        <f>MIN($C$5,$C$6*INDEX(SolarProfile!$C$4:$CT$39,MATCH(Assumptions!$B$6&amp;"|6",SolarProfile!$A$4:$A$39,0),CK$23+1))</f>
        <v>0.0</v>
      </c>
      <c r="CL30" s="45">
        <f>MIN($C$5,$C$6*INDEX(SolarProfile!$C$4:$CT$39,MATCH(Assumptions!$B$6&amp;"|6",SolarProfile!$A$4:$A$39,0),CL$23+1))</f>
        <v>0.0</v>
      </c>
      <c r="CM30" s="45">
        <f>MIN($C$5,$C$6*INDEX(SolarProfile!$C$4:$CT$39,MATCH(Assumptions!$B$6&amp;"|6",SolarProfile!$A$4:$A$39,0),CM$23+1))</f>
        <v>0.0</v>
      </c>
      <c r="CN30" s="45">
        <f>MIN($C$5,$C$6*INDEX(SolarProfile!$C$4:$CT$39,MATCH(Assumptions!$B$6&amp;"|6",SolarProfile!$A$4:$A$39,0),CN$23+1))</f>
        <v>0.0</v>
      </c>
      <c r="CO30" s="45">
        <f>MIN($C$5,$C$6*INDEX(SolarProfile!$C$4:$CT$39,MATCH(Assumptions!$B$6&amp;"|6",SolarProfile!$A$4:$A$39,0),CO$23+1))</f>
        <v>0.0</v>
      </c>
      <c r="CP30" s="45">
        <f>MIN($C$5,$C$6*INDEX(SolarProfile!$C$4:$CT$39,MATCH(Assumptions!$B$6&amp;"|6",SolarProfile!$A$4:$A$39,0),CP$23+1))</f>
        <v>0.0</v>
      </c>
      <c r="CQ30" s="45">
        <f>MIN($C$5,$C$6*INDEX(SolarProfile!$C$4:$CT$39,MATCH(Assumptions!$B$6&amp;"|6",SolarProfile!$A$4:$A$39,0),CQ$23+1))</f>
        <v>0.0</v>
      </c>
      <c r="CR30" s="45">
        <f>MIN($C$5,$C$6*INDEX(SolarProfile!$C$4:$CT$39,MATCH(Assumptions!$B$6&amp;"|6",SolarProfile!$A$4:$A$39,0),CR$23+1))</f>
        <v>0.0</v>
      </c>
      <c r="CS30" s="45">
        <f>MIN($C$5,$C$6*INDEX(SolarProfile!$C$4:$CT$39,MATCH(Assumptions!$B$6&amp;"|6",SolarProfile!$A$4:$A$39,0),CS$23+1))</f>
        <v>0.0</v>
      </c>
      <c r="CT30" s="45">
        <f>MIN($C$5,$C$6*INDEX(SolarProfile!$C$4:$CT$39,MATCH(Assumptions!$B$6&amp;"|6",SolarProfile!$A$4:$A$39,0),CT$23+1))</f>
        <v>0.0</v>
      </c>
      <c r="CU30" s="45">
        <f>MIN($C$5,$C$6*INDEX(SolarProfile!$C$4:$CT$39,MATCH(Assumptions!$B$6&amp;"|6",SolarProfile!$A$4:$A$39,0),CU$23+1))</f>
        <v>0.0</v>
      </c>
    </row>
    <row r="31">
      <c r="A31" s="6" t="inlineStr">
        <is>
          <t>Jul</t>
        </is>
      </c>
      <c r="D31" s="45">
        <f>MIN($C$5,$C$6*INDEX(SolarProfile!$C$4:$CT$39,MATCH(Assumptions!$B$6&amp;"|7",SolarProfile!$A$4:$A$39,0),D$23+1))</f>
        <v>0.0</v>
      </c>
      <c r="E31" s="45">
        <f>MIN($C$5,$C$6*INDEX(SolarProfile!$C$4:$CT$39,MATCH(Assumptions!$B$6&amp;"|7",SolarProfile!$A$4:$A$39,0),E$23+1))</f>
        <v>0.0</v>
      </c>
      <c r="F31" s="45">
        <f>MIN($C$5,$C$6*INDEX(SolarProfile!$C$4:$CT$39,MATCH(Assumptions!$B$6&amp;"|7",SolarProfile!$A$4:$A$39,0),F$23+1))</f>
        <v>0.0</v>
      </c>
      <c r="G31" s="45">
        <f>MIN($C$5,$C$6*INDEX(SolarProfile!$C$4:$CT$39,MATCH(Assumptions!$B$6&amp;"|7",SolarProfile!$A$4:$A$39,0),G$23+1))</f>
        <v>0.0</v>
      </c>
      <c r="H31" s="45">
        <f>MIN($C$5,$C$6*INDEX(SolarProfile!$C$4:$CT$39,MATCH(Assumptions!$B$6&amp;"|7",SolarProfile!$A$4:$A$39,0),H$23+1))</f>
        <v>0.0</v>
      </c>
      <c r="I31" s="45">
        <f>MIN($C$5,$C$6*INDEX(SolarProfile!$C$4:$CT$39,MATCH(Assumptions!$B$6&amp;"|7",SolarProfile!$A$4:$A$39,0),I$23+1))</f>
        <v>0.0</v>
      </c>
      <c r="J31" s="45">
        <f>MIN($C$5,$C$6*INDEX(SolarProfile!$C$4:$CT$39,MATCH(Assumptions!$B$6&amp;"|7",SolarProfile!$A$4:$A$39,0),J$23+1))</f>
        <v>0.0</v>
      </c>
      <c r="K31" s="45">
        <f>MIN($C$5,$C$6*INDEX(SolarProfile!$C$4:$CT$39,MATCH(Assumptions!$B$6&amp;"|7",SolarProfile!$A$4:$A$39,0),K$23+1))</f>
        <v>0.0</v>
      </c>
      <c r="L31" s="45">
        <f>MIN($C$5,$C$6*INDEX(SolarProfile!$C$4:$CT$39,MATCH(Assumptions!$B$6&amp;"|7",SolarProfile!$A$4:$A$39,0),L$23+1))</f>
        <v>0.0</v>
      </c>
      <c r="M31" s="45">
        <f>MIN($C$5,$C$6*INDEX(SolarProfile!$C$4:$CT$39,MATCH(Assumptions!$B$6&amp;"|7",SolarProfile!$A$4:$A$39,0),M$23+1))</f>
        <v>0.0</v>
      </c>
      <c r="N31" s="45">
        <f>MIN($C$5,$C$6*INDEX(SolarProfile!$C$4:$CT$39,MATCH(Assumptions!$B$6&amp;"|7",SolarProfile!$A$4:$A$39,0),N$23+1))</f>
        <v>0.0</v>
      </c>
      <c r="O31" s="45">
        <f>MIN($C$5,$C$6*INDEX(SolarProfile!$C$4:$CT$39,MATCH(Assumptions!$B$6&amp;"|7",SolarProfile!$A$4:$A$39,0),O$23+1))</f>
        <v>0.0</v>
      </c>
      <c r="P31" s="45">
        <f>MIN($C$5,$C$6*INDEX(SolarProfile!$C$4:$CT$39,MATCH(Assumptions!$B$6&amp;"|7",SolarProfile!$A$4:$A$39,0),P$23+1))</f>
        <v>0.0</v>
      </c>
      <c r="Q31" s="45">
        <f>MIN($C$5,$C$6*INDEX(SolarProfile!$C$4:$CT$39,MATCH(Assumptions!$B$6&amp;"|7",SolarProfile!$A$4:$A$39,0),Q$23+1))</f>
        <v>0.0</v>
      </c>
      <c r="R31" s="45">
        <f>MIN($C$5,$C$6*INDEX(SolarProfile!$C$4:$CT$39,MATCH(Assumptions!$B$6&amp;"|7",SolarProfile!$A$4:$A$39,0),R$23+1))</f>
        <v>0.0</v>
      </c>
      <c r="S31" s="45">
        <f>MIN($C$5,$C$6*INDEX(SolarProfile!$C$4:$CT$39,MATCH(Assumptions!$B$6&amp;"|7",SolarProfile!$A$4:$A$39,0),S$23+1))</f>
        <v>0.0</v>
      </c>
      <c r="T31" s="45">
        <f>MIN($C$5,$C$6*INDEX(SolarProfile!$C$4:$CT$39,MATCH(Assumptions!$B$6&amp;"|7",SolarProfile!$A$4:$A$39,0),T$23+1))</f>
        <v>0.0</v>
      </c>
      <c r="U31" s="45">
        <f>MIN($C$5,$C$6*INDEX(SolarProfile!$C$4:$CT$39,MATCH(Assumptions!$B$6&amp;"|7",SolarProfile!$A$4:$A$39,0),U$23+1))</f>
        <v>0.0</v>
      </c>
      <c r="V31" s="45">
        <f>MIN($C$5,$C$6*INDEX(SolarProfile!$C$4:$CT$39,MATCH(Assumptions!$B$6&amp;"|7",SolarProfile!$A$4:$A$39,0),V$23+1))</f>
        <v>0.0</v>
      </c>
      <c r="W31" s="45">
        <f>MIN($C$5,$C$6*INDEX(SolarProfile!$C$4:$CT$39,MATCH(Assumptions!$B$6&amp;"|7",SolarProfile!$A$4:$A$39,0),W$23+1))</f>
        <v>0.0</v>
      </c>
      <c r="X31" s="45">
        <f>MIN($C$5,$C$6*INDEX(SolarProfile!$C$4:$CT$39,MATCH(Assumptions!$B$6&amp;"|7",SolarProfile!$A$4:$A$39,0),X$23+1))</f>
        <v>0.0</v>
      </c>
      <c r="Y31" s="45">
        <f>MIN($C$5,$C$6*INDEX(SolarProfile!$C$4:$CT$39,MATCH(Assumptions!$B$6&amp;"|7",SolarProfile!$A$4:$A$39,0),Y$23+1))</f>
        <v>0.0</v>
      </c>
      <c r="Z31" s="45">
        <f>MIN($C$5,$C$6*INDEX(SolarProfile!$C$4:$CT$39,MATCH(Assumptions!$B$6&amp;"|7",SolarProfile!$A$4:$A$39,0),Z$23+1))</f>
        <v>0.0</v>
      </c>
      <c r="AA31" s="45">
        <f>MIN($C$5,$C$6*INDEX(SolarProfile!$C$4:$CT$39,MATCH(Assumptions!$B$6&amp;"|7",SolarProfile!$A$4:$A$39,0),AA$23+1))</f>
        <v>0.0</v>
      </c>
      <c r="AB31" s="45">
        <f>MIN($C$5,$C$6*INDEX(SolarProfile!$C$4:$CT$39,MATCH(Assumptions!$B$6&amp;"|7",SolarProfile!$A$4:$A$39,0),AB$23+1))</f>
        <v>4.8423</v>
      </c>
      <c r="AC31" s="45">
        <f>MIN($C$5,$C$6*INDEX(SolarProfile!$C$4:$CT$39,MATCH(Assumptions!$B$6&amp;"|7",SolarProfile!$A$4:$A$39,0),AC$23+1))</f>
        <v>13.158000000000001</v>
      </c>
      <c r="AD31" s="45">
        <f>MIN($C$5,$C$6*INDEX(SolarProfile!$C$4:$CT$39,MATCH(Assumptions!$B$6&amp;"|7",SolarProfile!$A$4:$A$39,0),AD$23+1))</f>
        <v>23.1423</v>
      </c>
      <c r="AE31" s="45">
        <f>MIN($C$5,$C$6*INDEX(SolarProfile!$C$4:$CT$39,MATCH(Assumptions!$B$6&amp;"|7",SolarProfile!$A$4:$A$39,0),AE$23+1))</f>
        <v>34.2855</v>
      </c>
      <c r="AF31" s="45">
        <f>MIN($C$5,$C$6*INDEX(SolarProfile!$C$4:$CT$39,MATCH(Assumptions!$B$6&amp;"|7",SolarProfile!$A$4:$A$39,0),AF$23+1))</f>
        <v>46.2774</v>
      </c>
      <c r="AG31" s="45">
        <f>MIN($C$5,$C$6*INDEX(SolarProfile!$C$4:$CT$39,MATCH(Assumptions!$B$6&amp;"|7",SolarProfile!$A$4:$A$39,0),AG$23+1))</f>
        <v>58.885799999999996</v>
      </c>
      <c r="AH31" s="45">
        <f>MIN($C$5,$C$6*INDEX(SolarProfile!$C$4:$CT$39,MATCH(Assumptions!$B$6&amp;"|7",SolarProfile!$A$4:$A$39,0),AH$23+1))</f>
        <v>71.9196</v>
      </c>
      <c r="AI31" s="45">
        <f>MIN($C$5,$C$6*INDEX(SolarProfile!$C$4:$CT$39,MATCH(Assumptions!$B$6&amp;"|7",SolarProfile!$A$4:$A$39,0),AI$23+1))</f>
        <v>85.2105</v>
      </c>
      <c r="AJ31" s="45">
        <f>MIN($C$5,$C$6*INDEX(SolarProfile!$C$4:$CT$39,MATCH(Assumptions!$B$6&amp;"|7",SolarProfile!$A$4:$A$39,0),AJ$23+1))</f>
        <v>98.6061</v>
      </c>
      <c r="AK31" s="45">
        <f>MIN($C$5,$C$6*INDEX(SolarProfile!$C$4:$CT$39,MATCH(Assumptions!$B$6&amp;"|7",SolarProfile!$A$4:$A$39,0),AK$23+1))</f>
        <v>111.9663</v>
      </c>
      <c r="AL31" s="45">
        <f>MIN($C$5,$C$6*INDEX(SolarProfile!$C$4:$CT$39,MATCH(Assumptions!$B$6&amp;"|7",SolarProfile!$A$4:$A$39,0),AL$23+1))</f>
        <v>125.15849999999999</v>
      </c>
      <c r="AM31" s="45">
        <f>MIN($C$5,$C$6*INDEX(SolarProfile!$C$4:$CT$39,MATCH(Assumptions!$B$6&amp;"|7",SolarProfile!$A$4:$A$39,0),AM$23+1))</f>
        <v>138.0594</v>
      </c>
      <c r="AN31" s="45">
        <f>MIN($C$5,$C$6*INDEX(SolarProfile!$C$4:$CT$39,MATCH(Assumptions!$B$6&amp;"|7",SolarProfile!$A$4:$A$39,0),AN$23+1))</f>
        <v>150.552</v>
      </c>
      <c r="AO31" s="45">
        <f>MIN($C$5,$C$6*INDEX(SolarProfile!$C$4:$CT$39,MATCH(Assumptions!$B$6&amp;"|7",SolarProfile!$A$4:$A$39,0),AO$23+1))</f>
        <v>162.52710000000002</v>
      </c>
      <c r="AP31" s="45">
        <f>MIN($C$5,$C$6*INDEX(SolarProfile!$C$4:$CT$39,MATCH(Assumptions!$B$6&amp;"|7",SolarProfile!$A$4:$A$39,0),AP$23+1))</f>
        <v>173.8818</v>
      </c>
      <c r="AQ31" s="45">
        <f>MIN($C$5,$C$6*INDEX(SolarProfile!$C$4:$CT$39,MATCH(Assumptions!$B$6&amp;"|7",SolarProfile!$A$4:$A$39,0),AQ$23+1))</f>
        <v>184.5207</v>
      </c>
      <c r="AR31" s="45">
        <f>MIN($C$5,$C$6*INDEX(SolarProfile!$C$4:$CT$39,MATCH(Assumptions!$B$6&amp;"|7",SolarProfile!$A$4:$A$39,0),AR$23+1))</f>
        <v>194.3559</v>
      </c>
      <c r="AS31" s="45">
        <f>MIN($C$5,$C$6*INDEX(SolarProfile!$C$4:$CT$39,MATCH(Assumptions!$B$6&amp;"|7",SolarProfile!$A$4:$A$39,0),AS$23+1))</f>
        <v>203.30700000000002</v>
      </c>
      <c r="AT31" s="45">
        <f>MIN($C$5,$C$6*INDEX(SolarProfile!$C$4:$CT$39,MATCH(Assumptions!$B$6&amp;"|7",SolarProfile!$A$4:$A$39,0),AT$23+1))</f>
        <v>211.3017</v>
      </c>
      <c r="AU31" s="45">
        <f>MIN($C$5,$C$6*INDEX(SolarProfile!$C$4:$CT$39,MATCH(Assumptions!$B$6&amp;"|7",SolarProfile!$A$4:$A$39,0),AU$23+1))</f>
        <v>218.27579999999998</v>
      </c>
      <c r="AV31" s="45">
        <f>MIN($C$5,$C$6*INDEX(SolarProfile!$C$4:$CT$39,MATCH(Assumptions!$B$6&amp;"|7",SolarProfile!$A$4:$A$39,0),AV$23+1))</f>
        <v>224.17350000000002</v>
      </c>
      <c r="AW31" s="45">
        <f>MIN($C$5,$C$6*INDEX(SolarProfile!$C$4:$CT$39,MATCH(Assumptions!$B$6&amp;"|7",SolarProfile!$A$4:$A$39,0),AW$23+1))</f>
        <v>228.9486</v>
      </c>
      <c r="AX31" s="45">
        <f>MIN($C$5,$C$6*INDEX(SolarProfile!$C$4:$CT$39,MATCH(Assumptions!$B$6&amp;"|7",SolarProfile!$A$4:$A$39,0),AX$23+1))</f>
        <v>232.563</v>
      </c>
      <c r="AY31" s="45">
        <f>MIN($C$5,$C$6*INDEX(SolarProfile!$C$4:$CT$39,MATCH(Assumptions!$B$6&amp;"|7",SolarProfile!$A$4:$A$39,0),AY$23+1))</f>
        <v>234.9885</v>
      </c>
      <c r="AZ31" s="45">
        <f>MIN($C$5,$C$6*INDEX(SolarProfile!$C$4:$CT$39,MATCH(Assumptions!$B$6&amp;"|7",SolarProfile!$A$4:$A$39,0),AZ$23+1))</f>
        <v>236.2062</v>
      </c>
      <c r="BA31" s="45">
        <f>MIN($C$5,$C$6*INDEX(SolarProfile!$C$4:$CT$39,MATCH(Assumptions!$B$6&amp;"|7",SolarProfile!$A$4:$A$39,0),BA$23+1))</f>
        <v>236.2062</v>
      </c>
      <c r="BB31" s="45">
        <f>MIN($C$5,$C$6*INDEX(SolarProfile!$C$4:$CT$39,MATCH(Assumptions!$B$6&amp;"|7",SolarProfile!$A$4:$A$39,0),BB$23+1))</f>
        <v>234.9885</v>
      </c>
      <c r="BC31" s="45">
        <f>MIN($C$5,$C$6*INDEX(SolarProfile!$C$4:$CT$39,MATCH(Assumptions!$B$6&amp;"|7",SolarProfile!$A$4:$A$39,0),BC$23+1))</f>
        <v>232.563</v>
      </c>
      <c r="BD31" s="45">
        <f>MIN($C$5,$C$6*INDEX(SolarProfile!$C$4:$CT$39,MATCH(Assumptions!$B$6&amp;"|7",SolarProfile!$A$4:$A$39,0),BD$23+1))</f>
        <v>228.9486</v>
      </c>
      <c r="BE31" s="45">
        <f>MIN($C$5,$C$6*INDEX(SolarProfile!$C$4:$CT$39,MATCH(Assumptions!$B$6&amp;"|7",SolarProfile!$A$4:$A$39,0),BE$23+1))</f>
        <v>224.17350000000002</v>
      </c>
      <c r="BF31" s="45">
        <f>MIN($C$5,$C$6*INDEX(SolarProfile!$C$4:$CT$39,MATCH(Assumptions!$B$6&amp;"|7",SolarProfile!$A$4:$A$39,0),BF$23+1))</f>
        <v>218.27579999999998</v>
      </c>
      <c r="BG31" s="45">
        <f>MIN($C$5,$C$6*INDEX(SolarProfile!$C$4:$CT$39,MATCH(Assumptions!$B$6&amp;"|7",SolarProfile!$A$4:$A$39,0),BG$23+1))</f>
        <v>211.3017</v>
      </c>
      <c r="BH31" s="45">
        <f>MIN($C$5,$C$6*INDEX(SolarProfile!$C$4:$CT$39,MATCH(Assumptions!$B$6&amp;"|7",SolarProfile!$A$4:$A$39,0),BH$23+1))</f>
        <v>203.30700000000002</v>
      </c>
      <c r="BI31" s="45">
        <f>MIN($C$5,$C$6*INDEX(SolarProfile!$C$4:$CT$39,MATCH(Assumptions!$B$6&amp;"|7",SolarProfile!$A$4:$A$39,0),BI$23+1))</f>
        <v>194.3559</v>
      </c>
      <c r="BJ31" s="45">
        <f>MIN($C$5,$C$6*INDEX(SolarProfile!$C$4:$CT$39,MATCH(Assumptions!$B$6&amp;"|7",SolarProfile!$A$4:$A$39,0),BJ$23+1))</f>
        <v>184.5207</v>
      </c>
      <c r="BK31" s="45">
        <f>MIN($C$5,$C$6*INDEX(SolarProfile!$C$4:$CT$39,MATCH(Assumptions!$B$6&amp;"|7",SolarProfile!$A$4:$A$39,0),BK$23+1))</f>
        <v>173.8818</v>
      </c>
      <c r="BL31" s="45">
        <f>MIN($C$5,$C$6*INDEX(SolarProfile!$C$4:$CT$39,MATCH(Assumptions!$B$6&amp;"|7",SolarProfile!$A$4:$A$39,0),BL$23+1))</f>
        <v>162.52710000000002</v>
      </c>
      <c r="BM31" s="45">
        <f>MIN($C$5,$C$6*INDEX(SolarProfile!$C$4:$CT$39,MATCH(Assumptions!$B$6&amp;"|7",SolarProfile!$A$4:$A$39,0),BM$23+1))</f>
        <v>150.552</v>
      </c>
      <c r="BN31" s="45">
        <f>MIN($C$5,$C$6*INDEX(SolarProfile!$C$4:$CT$39,MATCH(Assumptions!$B$6&amp;"|7",SolarProfile!$A$4:$A$39,0),BN$23+1))</f>
        <v>138.0594</v>
      </c>
      <c r="BO31" s="45">
        <f>MIN($C$5,$C$6*INDEX(SolarProfile!$C$4:$CT$39,MATCH(Assumptions!$B$6&amp;"|7",SolarProfile!$A$4:$A$39,0),BO$23+1))</f>
        <v>125.15849999999999</v>
      </c>
      <c r="BP31" s="45">
        <f>MIN($C$5,$C$6*INDEX(SolarProfile!$C$4:$CT$39,MATCH(Assumptions!$B$6&amp;"|7",SolarProfile!$A$4:$A$39,0),BP$23+1))</f>
        <v>111.9663</v>
      </c>
      <c r="BQ31" s="45">
        <f>MIN($C$5,$C$6*INDEX(SolarProfile!$C$4:$CT$39,MATCH(Assumptions!$B$6&amp;"|7",SolarProfile!$A$4:$A$39,0),BQ$23+1))</f>
        <v>98.6061</v>
      </c>
      <c r="BR31" s="45">
        <f>MIN($C$5,$C$6*INDEX(SolarProfile!$C$4:$CT$39,MATCH(Assumptions!$B$6&amp;"|7",SolarProfile!$A$4:$A$39,0),BR$23+1))</f>
        <v>85.2105</v>
      </c>
      <c r="BS31" s="45">
        <f>MIN($C$5,$C$6*INDEX(SolarProfile!$C$4:$CT$39,MATCH(Assumptions!$B$6&amp;"|7",SolarProfile!$A$4:$A$39,0),BS$23+1))</f>
        <v>71.9196</v>
      </c>
      <c r="BT31" s="45">
        <f>MIN($C$5,$C$6*INDEX(SolarProfile!$C$4:$CT$39,MATCH(Assumptions!$B$6&amp;"|7",SolarProfile!$A$4:$A$39,0),BT$23+1))</f>
        <v>58.885799999999996</v>
      </c>
      <c r="BU31" s="45">
        <f>MIN($C$5,$C$6*INDEX(SolarProfile!$C$4:$CT$39,MATCH(Assumptions!$B$6&amp;"|7",SolarProfile!$A$4:$A$39,0),BU$23+1))</f>
        <v>46.2774</v>
      </c>
      <c r="BV31" s="45">
        <f>MIN($C$5,$C$6*INDEX(SolarProfile!$C$4:$CT$39,MATCH(Assumptions!$B$6&amp;"|7",SolarProfile!$A$4:$A$39,0),BV$23+1))</f>
        <v>34.2855</v>
      </c>
      <c r="BW31" s="45">
        <f>MIN($C$5,$C$6*INDEX(SolarProfile!$C$4:$CT$39,MATCH(Assumptions!$B$6&amp;"|7",SolarProfile!$A$4:$A$39,0),BW$23+1))</f>
        <v>23.1423</v>
      </c>
      <c r="BX31" s="45">
        <f>MIN($C$5,$C$6*INDEX(SolarProfile!$C$4:$CT$39,MATCH(Assumptions!$B$6&amp;"|7",SolarProfile!$A$4:$A$39,0),BX$23+1))</f>
        <v>13.158000000000001</v>
      </c>
      <c r="BY31" s="45">
        <f>MIN($C$5,$C$6*INDEX(SolarProfile!$C$4:$CT$39,MATCH(Assumptions!$B$6&amp;"|7",SolarProfile!$A$4:$A$39,0),BY$23+1))</f>
        <v>4.8423</v>
      </c>
      <c r="BZ31" s="45">
        <f>MIN($C$5,$C$6*INDEX(SolarProfile!$C$4:$CT$39,MATCH(Assumptions!$B$6&amp;"|7",SolarProfile!$A$4:$A$39,0),BZ$23+1))</f>
        <v>0.0</v>
      </c>
      <c r="CA31" s="45">
        <f>MIN($C$5,$C$6*INDEX(SolarProfile!$C$4:$CT$39,MATCH(Assumptions!$B$6&amp;"|7",SolarProfile!$A$4:$A$39,0),CA$23+1))</f>
        <v>0.0</v>
      </c>
      <c r="CB31" s="45">
        <f>MIN($C$5,$C$6*INDEX(SolarProfile!$C$4:$CT$39,MATCH(Assumptions!$B$6&amp;"|7",SolarProfile!$A$4:$A$39,0),CB$23+1))</f>
        <v>0.0</v>
      </c>
      <c r="CC31" s="45">
        <f>MIN($C$5,$C$6*INDEX(SolarProfile!$C$4:$CT$39,MATCH(Assumptions!$B$6&amp;"|7",SolarProfile!$A$4:$A$39,0),CC$23+1))</f>
        <v>0.0</v>
      </c>
      <c r="CD31" s="45">
        <f>MIN($C$5,$C$6*INDEX(SolarProfile!$C$4:$CT$39,MATCH(Assumptions!$B$6&amp;"|7",SolarProfile!$A$4:$A$39,0),CD$23+1))</f>
        <v>0.0</v>
      </c>
      <c r="CE31" s="45">
        <f>MIN($C$5,$C$6*INDEX(SolarProfile!$C$4:$CT$39,MATCH(Assumptions!$B$6&amp;"|7",SolarProfile!$A$4:$A$39,0),CE$23+1))</f>
        <v>0.0</v>
      </c>
      <c r="CF31" s="45">
        <f>MIN($C$5,$C$6*INDEX(SolarProfile!$C$4:$CT$39,MATCH(Assumptions!$B$6&amp;"|7",SolarProfile!$A$4:$A$39,0),CF$23+1))</f>
        <v>0.0</v>
      </c>
      <c r="CG31" s="45">
        <f>MIN($C$5,$C$6*INDEX(SolarProfile!$C$4:$CT$39,MATCH(Assumptions!$B$6&amp;"|7",SolarProfile!$A$4:$A$39,0),CG$23+1))</f>
        <v>0.0</v>
      </c>
      <c r="CH31" s="45">
        <f>MIN($C$5,$C$6*INDEX(SolarProfile!$C$4:$CT$39,MATCH(Assumptions!$B$6&amp;"|7",SolarProfile!$A$4:$A$39,0),CH$23+1))</f>
        <v>0.0</v>
      </c>
      <c r="CI31" s="45">
        <f>MIN($C$5,$C$6*INDEX(SolarProfile!$C$4:$CT$39,MATCH(Assumptions!$B$6&amp;"|7",SolarProfile!$A$4:$A$39,0),CI$23+1))</f>
        <v>0.0</v>
      </c>
      <c r="CJ31" s="45">
        <f>MIN($C$5,$C$6*INDEX(SolarProfile!$C$4:$CT$39,MATCH(Assumptions!$B$6&amp;"|7",SolarProfile!$A$4:$A$39,0),CJ$23+1))</f>
        <v>0.0</v>
      </c>
      <c r="CK31" s="45">
        <f>MIN($C$5,$C$6*INDEX(SolarProfile!$C$4:$CT$39,MATCH(Assumptions!$B$6&amp;"|7",SolarProfile!$A$4:$A$39,0),CK$23+1))</f>
        <v>0.0</v>
      </c>
      <c r="CL31" s="45">
        <f>MIN($C$5,$C$6*INDEX(SolarProfile!$C$4:$CT$39,MATCH(Assumptions!$B$6&amp;"|7",SolarProfile!$A$4:$A$39,0),CL$23+1))</f>
        <v>0.0</v>
      </c>
      <c r="CM31" s="45">
        <f>MIN($C$5,$C$6*INDEX(SolarProfile!$C$4:$CT$39,MATCH(Assumptions!$B$6&amp;"|7",SolarProfile!$A$4:$A$39,0),CM$23+1))</f>
        <v>0.0</v>
      </c>
      <c r="CN31" s="45">
        <f>MIN($C$5,$C$6*INDEX(SolarProfile!$C$4:$CT$39,MATCH(Assumptions!$B$6&amp;"|7",SolarProfile!$A$4:$A$39,0),CN$23+1))</f>
        <v>0.0</v>
      </c>
      <c r="CO31" s="45">
        <f>MIN($C$5,$C$6*INDEX(SolarProfile!$C$4:$CT$39,MATCH(Assumptions!$B$6&amp;"|7",SolarProfile!$A$4:$A$39,0),CO$23+1))</f>
        <v>0.0</v>
      </c>
      <c r="CP31" s="45">
        <f>MIN($C$5,$C$6*INDEX(SolarProfile!$C$4:$CT$39,MATCH(Assumptions!$B$6&amp;"|7",SolarProfile!$A$4:$A$39,0),CP$23+1))</f>
        <v>0.0</v>
      </c>
      <c r="CQ31" s="45">
        <f>MIN($C$5,$C$6*INDEX(SolarProfile!$C$4:$CT$39,MATCH(Assumptions!$B$6&amp;"|7",SolarProfile!$A$4:$A$39,0),CQ$23+1))</f>
        <v>0.0</v>
      </c>
      <c r="CR31" s="45">
        <f>MIN($C$5,$C$6*INDEX(SolarProfile!$C$4:$CT$39,MATCH(Assumptions!$B$6&amp;"|7",SolarProfile!$A$4:$A$39,0),CR$23+1))</f>
        <v>0.0</v>
      </c>
      <c r="CS31" s="45">
        <f>MIN($C$5,$C$6*INDEX(SolarProfile!$C$4:$CT$39,MATCH(Assumptions!$B$6&amp;"|7",SolarProfile!$A$4:$A$39,0),CS$23+1))</f>
        <v>0.0</v>
      </c>
      <c r="CT31" s="45">
        <f>MIN($C$5,$C$6*INDEX(SolarProfile!$C$4:$CT$39,MATCH(Assumptions!$B$6&amp;"|7",SolarProfile!$A$4:$A$39,0),CT$23+1))</f>
        <v>0.0</v>
      </c>
      <c r="CU31" s="45">
        <f>MIN($C$5,$C$6*INDEX(SolarProfile!$C$4:$CT$39,MATCH(Assumptions!$B$6&amp;"|7",SolarProfile!$A$4:$A$39,0),CU$23+1))</f>
        <v>0.0</v>
      </c>
    </row>
    <row r="32">
      <c r="A32" s="6" t="inlineStr">
        <is>
          <t>Aug</t>
        </is>
      </c>
      <c r="D32" s="45">
        <f>MIN($C$5,$C$6*INDEX(SolarProfile!$C$4:$CT$39,MATCH(Assumptions!$B$6&amp;"|8",SolarProfile!$A$4:$A$39,0),D$23+1))</f>
        <v>0.0</v>
      </c>
      <c r="E32" s="45">
        <f>MIN($C$5,$C$6*INDEX(SolarProfile!$C$4:$CT$39,MATCH(Assumptions!$B$6&amp;"|8",SolarProfile!$A$4:$A$39,0),E$23+1))</f>
        <v>0.0</v>
      </c>
      <c r="F32" s="45">
        <f>MIN($C$5,$C$6*INDEX(SolarProfile!$C$4:$CT$39,MATCH(Assumptions!$B$6&amp;"|8",SolarProfile!$A$4:$A$39,0),F$23+1))</f>
        <v>0.0</v>
      </c>
      <c r="G32" s="45">
        <f>MIN($C$5,$C$6*INDEX(SolarProfile!$C$4:$CT$39,MATCH(Assumptions!$B$6&amp;"|8",SolarProfile!$A$4:$A$39,0),G$23+1))</f>
        <v>0.0</v>
      </c>
      <c r="H32" s="45">
        <f>MIN($C$5,$C$6*INDEX(SolarProfile!$C$4:$CT$39,MATCH(Assumptions!$B$6&amp;"|8",SolarProfile!$A$4:$A$39,0),H$23+1))</f>
        <v>0.0</v>
      </c>
      <c r="I32" s="45">
        <f>MIN($C$5,$C$6*INDEX(SolarProfile!$C$4:$CT$39,MATCH(Assumptions!$B$6&amp;"|8",SolarProfile!$A$4:$A$39,0),I$23+1))</f>
        <v>0.0</v>
      </c>
      <c r="J32" s="45">
        <f>MIN($C$5,$C$6*INDEX(SolarProfile!$C$4:$CT$39,MATCH(Assumptions!$B$6&amp;"|8",SolarProfile!$A$4:$A$39,0),J$23+1))</f>
        <v>0.0</v>
      </c>
      <c r="K32" s="45">
        <f>MIN($C$5,$C$6*INDEX(SolarProfile!$C$4:$CT$39,MATCH(Assumptions!$B$6&amp;"|8",SolarProfile!$A$4:$A$39,0),K$23+1))</f>
        <v>0.0</v>
      </c>
      <c r="L32" s="45">
        <f>MIN($C$5,$C$6*INDEX(SolarProfile!$C$4:$CT$39,MATCH(Assumptions!$B$6&amp;"|8",SolarProfile!$A$4:$A$39,0),L$23+1))</f>
        <v>0.0</v>
      </c>
      <c r="M32" s="45">
        <f>MIN($C$5,$C$6*INDEX(SolarProfile!$C$4:$CT$39,MATCH(Assumptions!$B$6&amp;"|8",SolarProfile!$A$4:$A$39,0),M$23+1))</f>
        <v>0.0</v>
      </c>
      <c r="N32" s="45">
        <f>MIN($C$5,$C$6*INDEX(SolarProfile!$C$4:$CT$39,MATCH(Assumptions!$B$6&amp;"|8",SolarProfile!$A$4:$A$39,0),N$23+1))</f>
        <v>0.0</v>
      </c>
      <c r="O32" s="45">
        <f>MIN($C$5,$C$6*INDEX(SolarProfile!$C$4:$CT$39,MATCH(Assumptions!$B$6&amp;"|8",SolarProfile!$A$4:$A$39,0),O$23+1))</f>
        <v>0.0</v>
      </c>
      <c r="P32" s="45">
        <f>MIN($C$5,$C$6*INDEX(SolarProfile!$C$4:$CT$39,MATCH(Assumptions!$B$6&amp;"|8",SolarProfile!$A$4:$A$39,0),P$23+1))</f>
        <v>0.0</v>
      </c>
      <c r="Q32" s="45">
        <f>MIN($C$5,$C$6*INDEX(SolarProfile!$C$4:$CT$39,MATCH(Assumptions!$B$6&amp;"|8",SolarProfile!$A$4:$A$39,0),Q$23+1))</f>
        <v>0.0</v>
      </c>
      <c r="R32" s="45">
        <f>MIN($C$5,$C$6*INDEX(SolarProfile!$C$4:$CT$39,MATCH(Assumptions!$B$6&amp;"|8",SolarProfile!$A$4:$A$39,0),R$23+1))</f>
        <v>0.0</v>
      </c>
      <c r="S32" s="45">
        <f>MIN($C$5,$C$6*INDEX(SolarProfile!$C$4:$CT$39,MATCH(Assumptions!$B$6&amp;"|8",SolarProfile!$A$4:$A$39,0),S$23+1))</f>
        <v>0.0</v>
      </c>
      <c r="T32" s="45">
        <f>MIN($C$5,$C$6*INDEX(SolarProfile!$C$4:$CT$39,MATCH(Assumptions!$B$6&amp;"|8",SolarProfile!$A$4:$A$39,0),T$23+1))</f>
        <v>0.0</v>
      </c>
      <c r="U32" s="45">
        <f>MIN($C$5,$C$6*INDEX(SolarProfile!$C$4:$CT$39,MATCH(Assumptions!$B$6&amp;"|8",SolarProfile!$A$4:$A$39,0),U$23+1))</f>
        <v>0.0</v>
      </c>
      <c r="V32" s="45">
        <f>MIN($C$5,$C$6*INDEX(SolarProfile!$C$4:$CT$39,MATCH(Assumptions!$B$6&amp;"|8",SolarProfile!$A$4:$A$39,0),V$23+1))</f>
        <v>0.0</v>
      </c>
      <c r="W32" s="45">
        <f>MIN($C$5,$C$6*INDEX(SolarProfile!$C$4:$CT$39,MATCH(Assumptions!$B$6&amp;"|8",SolarProfile!$A$4:$A$39,0),W$23+1))</f>
        <v>0.0</v>
      </c>
      <c r="X32" s="45">
        <f>MIN($C$5,$C$6*INDEX(SolarProfile!$C$4:$CT$39,MATCH(Assumptions!$B$6&amp;"|8",SolarProfile!$A$4:$A$39,0),X$23+1))</f>
        <v>0.0</v>
      </c>
      <c r="Y32" s="45">
        <f>MIN($C$5,$C$6*INDEX(SolarProfile!$C$4:$CT$39,MATCH(Assumptions!$B$6&amp;"|8",SolarProfile!$A$4:$A$39,0),Y$23+1))</f>
        <v>0.0</v>
      </c>
      <c r="Z32" s="45">
        <f>MIN($C$5,$C$6*INDEX(SolarProfile!$C$4:$CT$39,MATCH(Assumptions!$B$6&amp;"|8",SolarProfile!$A$4:$A$39,0),Z$23+1))</f>
        <v>0.0</v>
      </c>
      <c r="AA32" s="45">
        <f>MIN($C$5,$C$6*INDEX(SolarProfile!$C$4:$CT$39,MATCH(Assumptions!$B$6&amp;"|8",SolarProfile!$A$4:$A$39,0),AA$23+1))</f>
        <v>0.0</v>
      </c>
      <c r="AB32" s="45">
        <f>MIN($C$5,$C$6*INDEX(SolarProfile!$C$4:$CT$39,MATCH(Assumptions!$B$6&amp;"|8",SolarProfile!$A$4:$A$39,0),AB$23+1))</f>
        <v>1.5831</v>
      </c>
      <c r="AC32" s="45">
        <f>MIN($C$5,$C$6*INDEX(SolarProfile!$C$4:$CT$39,MATCH(Assumptions!$B$6&amp;"|8",SolarProfile!$A$4:$A$39,0),AC$23+1))</f>
        <v>9.2886</v>
      </c>
      <c r="AD32" s="45">
        <f>MIN($C$5,$C$6*INDEX(SolarProfile!$C$4:$CT$39,MATCH(Assumptions!$B$6&amp;"|8",SolarProfile!$A$4:$A$39,0),AD$23+1))</f>
        <v>19.4124</v>
      </c>
      <c r="AE32" s="45">
        <f>MIN($C$5,$C$6*INDEX(SolarProfile!$C$4:$CT$39,MATCH(Assumptions!$B$6&amp;"|8",SolarProfile!$A$4:$A$39,0),AE$23+1))</f>
        <v>31.0695</v>
      </c>
      <c r="AF32" s="45">
        <f>MIN($C$5,$C$6*INDEX(SolarProfile!$C$4:$CT$39,MATCH(Assumptions!$B$6&amp;"|8",SolarProfile!$A$4:$A$39,0),AF$23+1))</f>
        <v>43.824</v>
      </c>
      <c r="AG32" s="45">
        <f>MIN($C$5,$C$6*INDEX(SolarProfile!$C$4:$CT$39,MATCH(Assumptions!$B$6&amp;"|8",SolarProfile!$A$4:$A$39,0),AG$23+1))</f>
        <v>57.3774</v>
      </c>
      <c r="AH32" s="45">
        <f>MIN($C$5,$C$6*INDEX(SolarProfile!$C$4:$CT$39,MATCH(Assumptions!$B$6&amp;"|8",SolarProfile!$A$4:$A$39,0),AH$23+1))</f>
        <v>71.4939</v>
      </c>
      <c r="AI32" s="45">
        <f>MIN($C$5,$C$6*INDEX(SolarProfile!$C$4:$CT$39,MATCH(Assumptions!$B$6&amp;"|8",SolarProfile!$A$4:$A$39,0),AI$23+1))</f>
        <v>85.9716</v>
      </c>
      <c r="AJ32" s="45">
        <f>MIN($C$5,$C$6*INDEX(SolarProfile!$C$4:$CT$39,MATCH(Assumptions!$B$6&amp;"|8",SolarProfile!$A$4:$A$39,0),AJ$23+1))</f>
        <v>100.62989999999999</v>
      </c>
      <c r="AK32" s="45">
        <f>MIN($C$5,$C$6*INDEX(SolarProfile!$C$4:$CT$39,MATCH(Assumptions!$B$6&amp;"|8",SolarProfile!$A$4:$A$39,0),AK$23+1))</f>
        <v>115.3035</v>
      </c>
      <c r="AL32" s="45">
        <f>MIN($C$5,$C$6*INDEX(SolarProfile!$C$4:$CT$39,MATCH(Assumptions!$B$6&amp;"|8",SolarProfile!$A$4:$A$39,0),AL$23+1))</f>
        <v>129.8379</v>
      </c>
      <c r="AM32" s="45">
        <f>MIN($C$5,$C$6*INDEX(SolarProfile!$C$4:$CT$39,MATCH(Assumptions!$B$6&amp;"|8",SolarProfile!$A$4:$A$39,0),AM$23+1))</f>
        <v>144.0888</v>
      </c>
      <c r="AN32" s="45">
        <f>MIN($C$5,$C$6*INDEX(SolarProfile!$C$4:$CT$39,MATCH(Assumptions!$B$6&amp;"|8",SolarProfile!$A$4:$A$39,0),AN$23+1))</f>
        <v>157.92</v>
      </c>
      <c r="AO32" s="45">
        <f>MIN($C$5,$C$6*INDEX(SolarProfile!$C$4:$CT$39,MATCH(Assumptions!$B$6&amp;"|8",SolarProfile!$A$4:$A$39,0),AO$23+1))</f>
        <v>171.2043</v>
      </c>
      <c r="AP32" s="45">
        <f>MIN($C$5,$C$6*INDEX(SolarProfile!$C$4:$CT$39,MATCH(Assumptions!$B$6&amp;"|8",SolarProfile!$A$4:$A$39,0),AP$23+1))</f>
        <v>183.82170000000002</v>
      </c>
      <c r="AQ32" s="45">
        <f>MIN($C$5,$C$6*INDEX(SolarProfile!$C$4:$CT$39,MATCH(Assumptions!$B$6&amp;"|8",SolarProfile!$A$4:$A$39,0),AQ$23+1))</f>
        <v>195.6612</v>
      </c>
      <c r="AR32" s="45">
        <f>MIN($C$5,$C$6*INDEX(SolarProfile!$C$4:$CT$39,MATCH(Assumptions!$B$6&amp;"|8",SolarProfile!$A$4:$A$39,0),AR$23+1))</f>
        <v>206.62019999999998</v>
      </c>
      <c r="AS32" s="45">
        <f>MIN($C$5,$C$6*INDEX(SolarProfile!$C$4:$CT$39,MATCH(Assumptions!$B$6&amp;"|8",SolarProfile!$A$4:$A$39,0),AS$23+1))</f>
        <v>216.6054</v>
      </c>
      <c r="AT32" s="45">
        <f>MIN($C$5,$C$6*INDEX(SolarProfile!$C$4:$CT$39,MATCH(Assumptions!$B$6&amp;"|8",SolarProfile!$A$4:$A$39,0),AT$23+1))</f>
        <v>225.5319</v>
      </c>
      <c r="AU32" s="45">
        <f>MIN($C$5,$C$6*INDEX(SolarProfile!$C$4:$CT$39,MATCH(Assumptions!$B$6&amp;"|8",SolarProfile!$A$4:$A$39,0),AU$23+1))</f>
        <v>233.32500000000002</v>
      </c>
      <c r="AV32" s="45">
        <f>MIN($C$5,$C$6*INDEX(SolarProfile!$C$4:$CT$39,MATCH(Assumptions!$B$6&amp;"|8",SolarProfile!$A$4:$A$39,0),AV$23+1))</f>
        <v>239.9199</v>
      </c>
      <c r="AW32" s="45">
        <f>MIN($C$5,$C$6*INDEX(SolarProfile!$C$4:$CT$39,MATCH(Assumptions!$B$6&amp;"|8",SolarProfile!$A$4:$A$39,0),AW$23+1))</f>
        <v>245.262</v>
      </c>
      <c r="AX32" s="45">
        <f>MIN($C$5,$C$6*INDEX(SolarProfile!$C$4:$CT$39,MATCH(Assumptions!$B$6&amp;"|8",SolarProfile!$A$4:$A$39,0),AX$23+1))</f>
        <v>249.3075</v>
      </c>
      <c r="AY32" s="45">
        <f>MIN($C$5,$C$6*INDEX(SolarProfile!$C$4:$CT$39,MATCH(Assumptions!$B$6&amp;"|8",SolarProfile!$A$4:$A$39,0),AY$23+1))</f>
        <v>252.0231</v>
      </c>
      <c r="AZ32" s="45">
        <f>MIN($C$5,$C$6*INDEX(SolarProfile!$C$4:$CT$39,MATCH(Assumptions!$B$6&amp;"|8",SolarProfile!$A$4:$A$39,0),AZ$23+1))</f>
        <v>253.3866</v>
      </c>
      <c r="BA32" s="45">
        <f>MIN($C$5,$C$6*INDEX(SolarProfile!$C$4:$CT$39,MATCH(Assumptions!$B$6&amp;"|8",SolarProfile!$A$4:$A$39,0),BA$23+1))</f>
        <v>253.3866</v>
      </c>
      <c r="BB32" s="45">
        <f>MIN($C$5,$C$6*INDEX(SolarProfile!$C$4:$CT$39,MATCH(Assumptions!$B$6&amp;"|8",SolarProfile!$A$4:$A$39,0),BB$23+1))</f>
        <v>252.0231</v>
      </c>
      <c r="BC32" s="45">
        <f>MIN($C$5,$C$6*INDEX(SolarProfile!$C$4:$CT$39,MATCH(Assumptions!$B$6&amp;"|8",SolarProfile!$A$4:$A$39,0),BC$23+1))</f>
        <v>249.3075</v>
      </c>
      <c r="BD32" s="45">
        <f>MIN($C$5,$C$6*INDEX(SolarProfile!$C$4:$CT$39,MATCH(Assumptions!$B$6&amp;"|8",SolarProfile!$A$4:$A$39,0),BD$23+1))</f>
        <v>245.262</v>
      </c>
      <c r="BE32" s="45">
        <f>MIN($C$5,$C$6*INDEX(SolarProfile!$C$4:$CT$39,MATCH(Assumptions!$B$6&amp;"|8",SolarProfile!$A$4:$A$39,0),BE$23+1))</f>
        <v>239.9199</v>
      </c>
      <c r="BF32" s="45">
        <f>MIN($C$5,$C$6*INDEX(SolarProfile!$C$4:$CT$39,MATCH(Assumptions!$B$6&amp;"|8",SolarProfile!$A$4:$A$39,0),BF$23+1))</f>
        <v>233.32500000000002</v>
      </c>
      <c r="BG32" s="45">
        <f>MIN($C$5,$C$6*INDEX(SolarProfile!$C$4:$CT$39,MATCH(Assumptions!$B$6&amp;"|8",SolarProfile!$A$4:$A$39,0),BG$23+1))</f>
        <v>225.5319</v>
      </c>
      <c r="BH32" s="45">
        <f>MIN($C$5,$C$6*INDEX(SolarProfile!$C$4:$CT$39,MATCH(Assumptions!$B$6&amp;"|8",SolarProfile!$A$4:$A$39,0),BH$23+1))</f>
        <v>216.6054</v>
      </c>
      <c r="BI32" s="45">
        <f>MIN($C$5,$C$6*INDEX(SolarProfile!$C$4:$CT$39,MATCH(Assumptions!$B$6&amp;"|8",SolarProfile!$A$4:$A$39,0),BI$23+1))</f>
        <v>206.62019999999998</v>
      </c>
      <c r="BJ32" s="45">
        <f>MIN($C$5,$C$6*INDEX(SolarProfile!$C$4:$CT$39,MATCH(Assumptions!$B$6&amp;"|8",SolarProfile!$A$4:$A$39,0),BJ$23+1))</f>
        <v>195.6612</v>
      </c>
      <c r="BK32" s="45">
        <f>MIN($C$5,$C$6*INDEX(SolarProfile!$C$4:$CT$39,MATCH(Assumptions!$B$6&amp;"|8",SolarProfile!$A$4:$A$39,0),BK$23+1))</f>
        <v>183.82170000000002</v>
      </c>
      <c r="BL32" s="45">
        <f>MIN($C$5,$C$6*INDEX(SolarProfile!$C$4:$CT$39,MATCH(Assumptions!$B$6&amp;"|8",SolarProfile!$A$4:$A$39,0),BL$23+1))</f>
        <v>171.2043</v>
      </c>
      <c r="BM32" s="45">
        <f>MIN($C$5,$C$6*INDEX(SolarProfile!$C$4:$CT$39,MATCH(Assumptions!$B$6&amp;"|8",SolarProfile!$A$4:$A$39,0),BM$23+1))</f>
        <v>157.92</v>
      </c>
      <c r="BN32" s="45">
        <f>MIN($C$5,$C$6*INDEX(SolarProfile!$C$4:$CT$39,MATCH(Assumptions!$B$6&amp;"|8",SolarProfile!$A$4:$A$39,0),BN$23+1))</f>
        <v>144.0888</v>
      </c>
      <c r="BO32" s="45">
        <f>MIN($C$5,$C$6*INDEX(SolarProfile!$C$4:$CT$39,MATCH(Assumptions!$B$6&amp;"|8",SolarProfile!$A$4:$A$39,0),BO$23+1))</f>
        <v>129.8379</v>
      </c>
      <c r="BP32" s="45">
        <f>MIN($C$5,$C$6*INDEX(SolarProfile!$C$4:$CT$39,MATCH(Assumptions!$B$6&amp;"|8",SolarProfile!$A$4:$A$39,0),BP$23+1))</f>
        <v>115.3035</v>
      </c>
      <c r="BQ32" s="45">
        <f>MIN($C$5,$C$6*INDEX(SolarProfile!$C$4:$CT$39,MATCH(Assumptions!$B$6&amp;"|8",SolarProfile!$A$4:$A$39,0),BQ$23+1))</f>
        <v>100.62989999999999</v>
      </c>
      <c r="BR32" s="45">
        <f>MIN($C$5,$C$6*INDEX(SolarProfile!$C$4:$CT$39,MATCH(Assumptions!$B$6&amp;"|8",SolarProfile!$A$4:$A$39,0),BR$23+1))</f>
        <v>85.9716</v>
      </c>
      <c r="BS32" s="45">
        <f>MIN($C$5,$C$6*INDEX(SolarProfile!$C$4:$CT$39,MATCH(Assumptions!$B$6&amp;"|8",SolarProfile!$A$4:$A$39,0),BS$23+1))</f>
        <v>71.4939</v>
      </c>
      <c r="BT32" s="45">
        <f>MIN($C$5,$C$6*INDEX(SolarProfile!$C$4:$CT$39,MATCH(Assumptions!$B$6&amp;"|8",SolarProfile!$A$4:$A$39,0),BT$23+1))</f>
        <v>57.3774</v>
      </c>
      <c r="BU32" s="45">
        <f>MIN($C$5,$C$6*INDEX(SolarProfile!$C$4:$CT$39,MATCH(Assumptions!$B$6&amp;"|8",SolarProfile!$A$4:$A$39,0),BU$23+1))</f>
        <v>43.824</v>
      </c>
      <c r="BV32" s="45">
        <f>MIN($C$5,$C$6*INDEX(SolarProfile!$C$4:$CT$39,MATCH(Assumptions!$B$6&amp;"|8",SolarProfile!$A$4:$A$39,0),BV$23+1))</f>
        <v>31.0695</v>
      </c>
      <c r="BW32" s="45">
        <f>MIN($C$5,$C$6*INDEX(SolarProfile!$C$4:$CT$39,MATCH(Assumptions!$B$6&amp;"|8",SolarProfile!$A$4:$A$39,0),BW$23+1))</f>
        <v>19.4124</v>
      </c>
      <c r="BX32" s="45">
        <f>MIN($C$5,$C$6*INDEX(SolarProfile!$C$4:$CT$39,MATCH(Assumptions!$B$6&amp;"|8",SolarProfile!$A$4:$A$39,0),BX$23+1))</f>
        <v>9.2886</v>
      </c>
      <c r="BY32" s="45">
        <f>MIN($C$5,$C$6*INDEX(SolarProfile!$C$4:$CT$39,MATCH(Assumptions!$B$6&amp;"|8",SolarProfile!$A$4:$A$39,0),BY$23+1))</f>
        <v>1.5831</v>
      </c>
      <c r="BZ32" s="45">
        <f>MIN($C$5,$C$6*INDEX(SolarProfile!$C$4:$CT$39,MATCH(Assumptions!$B$6&amp;"|8",SolarProfile!$A$4:$A$39,0),BZ$23+1))</f>
        <v>0.0</v>
      </c>
      <c r="CA32" s="45">
        <f>MIN($C$5,$C$6*INDEX(SolarProfile!$C$4:$CT$39,MATCH(Assumptions!$B$6&amp;"|8",SolarProfile!$A$4:$A$39,0),CA$23+1))</f>
        <v>0.0</v>
      </c>
      <c r="CB32" s="45">
        <f>MIN($C$5,$C$6*INDEX(SolarProfile!$C$4:$CT$39,MATCH(Assumptions!$B$6&amp;"|8",SolarProfile!$A$4:$A$39,0),CB$23+1))</f>
        <v>0.0</v>
      </c>
      <c r="CC32" s="45">
        <f>MIN($C$5,$C$6*INDEX(SolarProfile!$C$4:$CT$39,MATCH(Assumptions!$B$6&amp;"|8",SolarProfile!$A$4:$A$39,0),CC$23+1))</f>
        <v>0.0</v>
      </c>
      <c r="CD32" s="45">
        <f>MIN($C$5,$C$6*INDEX(SolarProfile!$C$4:$CT$39,MATCH(Assumptions!$B$6&amp;"|8",SolarProfile!$A$4:$A$39,0),CD$23+1))</f>
        <v>0.0</v>
      </c>
      <c r="CE32" s="45">
        <f>MIN($C$5,$C$6*INDEX(SolarProfile!$C$4:$CT$39,MATCH(Assumptions!$B$6&amp;"|8",SolarProfile!$A$4:$A$39,0),CE$23+1))</f>
        <v>0.0</v>
      </c>
      <c r="CF32" s="45">
        <f>MIN($C$5,$C$6*INDEX(SolarProfile!$C$4:$CT$39,MATCH(Assumptions!$B$6&amp;"|8",SolarProfile!$A$4:$A$39,0),CF$23+1))</f>
        <v>0.0</v>
      </c>
      <c r="CG32" s="45">
        <f>MIN($C$5,$C$6*INDEX(SolarProfile!$C$4:$CT$39,MATCH(Assumptions!$B$6&amp;"|8",SolarProfile!$A$4:$A$39,0),CG$23+1))</f>
        <v>0.0</v>
      </c>
      <c r="CH32" s="45">
        <f>MIN($C$5,$C$6*INDEX(SolarProfile!$C$4:$CT$39,MATCH(Assumptions!$B$6&amp;"|8",SolarProfile!$A$4:$A$39,0),CH$23+1))</f>
        <v>0.0</v>
      </c>
      <c r="CI32" s="45">
        <f>MIN($C$5,$C$6*INDEX(SolarProfile!$C$4:$CT$39,MATCH(Assumptions!$B$6&amp;"|8",SolarProfile!$A$4:$A$39,0),CI$23+1))</f>
        <v>0.0</v>
      </c>
      <c r="CJ32" s="45">
        <f>MIN($C$5,$C$6*INDEX(SolarProfile!$C$4:$CT$39,MATCH(Assumptions!$B$6&amp;"|8",SolarProfile!$A$4:$A$39,0),CJ$23+1))</f>
        <v>0.0</v>
      </c>
      <c r="CK32" s="45">
        <f>MIN($C$5,$C$6*INDEX(SolarProfile!$C$4:$CT$39,MATCH(Assumptions!$B$6&amp;"|8",SolarProfile!$A$4:$A$39,0),CK$23+1))</f>
        <v>0.0</v>
      </c>
      <c r="CL32" s="45">
        <f>MIN($C$5,$C$6*INDEX(SolarProfile!$C$4:$CT$39,MATCH(Assumptions!$B$6&amp;"|8",SolarProfile!$A$4:$A$39,0),CL$23+1))</f>
        <v>0.0</v>
      </c>
      <c r="CM32" s="45">
        <f>MIN($C$5,$C$6*INDEX(SolarProfile!$C$4:$CT$39,MATCH(Assumptions!$B$6&amp;"|8",SolarProfile!$A$4:$A$39,0),CM$23+1))</f>
        <v>0.0</v>
      </c>
      <c r="CN32" s="45">
        <f>MIN($C$5,$C$6*INDEX(SolarProfile!$C$4:$CT$39,MATCH(Assumptions!$B$6&amp;"|8",SolarProfile!$A$4:$A$39,0),CN$23+1))</f>
        <v>0.0</v>
      </c>
      <c r="CO32" s="45">
        <f>MIN($C$5,$C$6*INDEX(SolarProfile!$C$4:$CT$39,MATCH(Assumptions!$B$6&amp;"|8",SolarProfile!$A$4:$A$39,0),CO$23+1))</f>
        <v>0.0</v>
      </c>
      <c r="CP32" s="45">
        <f>MIN($C$5,$C$6*INDEX(SolarProfile!$C$4:$CT$39,MATCH(Assumptions!$B$6&amp;"|8",SolarProfile!$A$4:$A$39,0),CP$23+1))</f>
        <v>0.0</v>
      </c>
      <c r="CQ32" s="45">
        <f>MIN($C$5,$C$6*INDEX(SolarProfile!$C$4:$CT$39,MATCH(Assumptions!$B$6&amp;"|8",SolarProfile!$A$4:$A$39,0),CQ$23+1))</f>
        <v>0.0</v>
      </c>
      <c r="CR32" s="45">
        <f>MIN($C$5,$C$6*INDEX(SolarProfile!$C$4:$CT$39,MATCH(Assumptions!$B$6&amp;"|8",SolarProfile!$A$4:$A$39,0),CR$23+1))</f>
        <v>0.0</v>
      </c>
      <c r="CS32" s="45">
        <f>MIN($C$5,$C$6*INDEX(SolarProfile!$C$4:$CT$39,MATCH(Assumptions!$B$6&amp;"|8",SolarProfile!$A$4:$A$39,0),CS$23+1))</f>
        <v>0.0</v>
      </c>
      <c r="CT32" s="45">
        <f>MIN($C$5,$C$6*INDEX(SolarProfile!$C$4:$CT$39,MATCH(Assumptions!$B$6&amp;"|8",SolarProfile!$A$4:$A$39,0),CT$23+1))</f>
        <v>0.0</v>
      </c>
      <c r="CU32" s="45">
        <f>MIN($C$5,$C$6*INDEX(SolarProfile!$C$4:$CT$39,MATCH(Assumptions!$B$6&amp;"|8",SolarProfile!$A$4:$A$39,0),CU$23+1))</f>
        <v>0.0</v>
      </c>
    </row>
    <row r="33">
      <c r="A33" s="6" t="inlineStr">
        <is>
          <t>Sep</t>
        </is>
      </c>
      <c r="D33" s="45">
        <f>MIN($C$5,$C$6*INDEX(SolarProfile!$C$4:$CT$39,MATCH(Assumptions!$B$6&amp;"|9",SolarProfile!$A$4:$A$39,0),D$23+1))</f>
        <v>0.0</v>
      </c>
      <c r="E33" s="45">
        <f>MIN($C$5,$C$6*INDEX(SolarProfile!$C$4:$CT$39,MATCH(Assumptions!$B$6&amp;"|9",SolarProfile!$A$4:$A$39,0),E$23+1))</f>
        <v>0.0</v>
      </c>
      <c r="F33" s="45">
        <f>MIN($C$5,$C$6*INDEX(SolarProfile!$C$4:$CT$39,MATCH(Assumptions!$B$6&amp;"|9",SolarProfile!$A$4:$A$39,0),F$23+1))</f>
        <v>0.0</v>
      </c>
      <c r="G33" s="45">
        <f>MIN($C$5,$C$6*INDEX(SolarProfile!$C$4:$CT$39,MATCH(Assumptions!$B$6&amp;"|9",SolarProfile!$A$4:$A$39,0),G$23+1))</f>
        <v>0.0</v>
      </c>
      <c r="H33" s="45">
        <f>MIN($C$5,$C$6*INDEX(SolarProfile!$C$4:$CT$39,MATCH(Assumptions!$B$6&amp;"|9",SolarProfile!$A$4:$A$39,0),H$23+1))</f>
        <v>0.0</v>
      </c>
      <c r="I33" s="45">
        <f>MIN($C$5,$C$6*INDEX(SolarProfile!$C$4:$CT$39,MATCH(Assumptions!$B$6&amp;"|9",SolarProfile!$A$4:$A$39,0),I$23+1))</f>
        <v>0.0</v>
      </c>
      <c r="J33" s="45">
        <f>MIN($C$5,$C$6*INDEX(SolarProfile!$C$4:$CT$39,MATCH(Assumptions!$B$6&amp;"|9",SolarProfile!$A$4:$A$39,0),J$23+1))</f>
        <v>0.0</v>
      </c>
      <c r="K33" s="45">
        <f>MIN($C$5,$C$6*INDEX(SolarProfile!$C$4:$CT$39,MATCH(Assumptions!$B$6&amp;"|9",SolarProfile!$A$4:$A$39,0),K$23+1))</f>
        <v>0.0</v>
      </c>
      <c r="L33" s="45">
        <f>MIN($C$5,$C$6*INDEX(SolarProfile!$C$4:$CT$39,MATCH(Assumptions!$B$6&amp;"|9",SolarProfile!$A$4:$A$39,0),L$23+1))</f>
        <v>0.0</v>
      </c>
      <c r="M33" s="45">
        <f>MIN($C$5,$C$6*INDEX(SolarProfile!$C$4:$CT$39,MATCH(Assumptions!$B$6&amp;"|9",SolarProfile!$A$4:$A$39,0),M$23+1))</f>
        <v>0.0</v>
      </c>
      <c r="N33" s="45">
        <f>MIN($C$5,$C$6*INDEX(SolarProfile!$C$4:$CT$39,MATCH(Assumptions!$B$6&amp;"|9",SolarProfile!$A$4:$A$39,0),N$23+1))</f>
        <v>0.0</v>
      </c>
      <c r="O33" s="45">
        <f>MIN($C$5,$C$6*INDEX(SolarProfile!$C$4:$CT$39,MATCH(Assumptions!$B$6&amp;"|9",SolarProfile!$A$4:$A$39,0),O$23+1))</f>
        <v>0.0</v>
      </c>
      <c r="P33" s="45">
        <f>MIN($C$5,$C$6*INDEX(SolarProfile!$C$4:$CT$39,MATCH(Assumptions!$B$6&amp;"|9",SolarProfile!$A$4:$A$39,0),P$23+1))</f>
        <v>0.0</v>
      </c>
      <c r="Q33" s="45">
        <f>MIN($C$5,$C$6*INDEX(SolarProfile!$C$4:$CT$39,MATCH(Assumptions!$B$6&amp;"|9",SolarProfile!$A$4:$A$39,0),Q$23+1))</f>
        <v>0.0</v>
      </c>
      <c r="R33" s="45">
        <f>MIN($C$5,$C$6*INDEX(SolarProfile!$C$4:$CT$39,MATCH(Assumptions!$B$6&amp;"|9",SolarProfile!$A$4:$A$39,0),R$23+1))</f>
        <v>0.0</v>
      </c>
      <c r="S33" s="45">
        <f>MIN($C$5,$C$6*INDEX(SolarProfile!$C$4:$CT$39,MATCH(Assumptions!$B$6&amp;"|9",SolarProfile!$A$4:$A$39,0),S$23+1))</f>
        <v>0.0</v>
      </c>
      <c r="T33" s="45">
        <f>MIN($C$5,$C$6*INDEX(SolarProfile!$C$4:$CT$39,MATCH(Assumptions!$B$6&amp;"|9",SolarProfile!$A$4:$A$39,0),T$23+1))</f>
        <v>0.0</v>
      </c>
      <c r="U33" s="45">
        <f>MIN($C$5,$C$6*INDEX(SolarProfile!$C$4:$CT$39,MATCH(Assumptions!$B$6&amp;"|9",SolarProfile!$A$4:$A$39,0),U$23+1))</f>
        <v>0.0</v>
      </c>
      <c r="V33" s="45">
        <f>MIN($C$5,$C$6*INDEX(SolarProfile!$C$4:$CT$39,MATCH(Assumptions!$B$6&amp;"|9",SolarProfile!$A$4:$A$39,0),V$23+1))</f>
        <v>0.0</v>
      </c>
      <c r="W33" s="45">
        <f>MIN($C$5,$C$6*INDEX(SolarProfile!$C$4:$CT$39,MATCH(Assumptions!$B$6&amp;"|9",SolarProfile!$A$4:$A$39,0),W$23+1))</f>
        <v>0.0</v>
      </c>
      <c r="X33" s="45">
        <f>MIN($C$5,$C$6*INDEX(SolarProfile!$C$4:$CT$39,MATCH(Assumptions!$B$6&amp;"|9",SolarProfile!$A$4:$A$39,0),X$23+1))</f>
        <v>0.0</v>
      </c>
      <c r="Y33" s="45">
        <f>MIN($C$5,$C$6*INDEX(SolarProfile!$C$4:$CT$39,MATCH(Assumptions!$B$6&amp;"|9",SolarProfile!$A$4:$A$39,0),Y$23+1))</f>
        <v>0.0</v>
      </c>
      <c r="Z33" s="45">
        <f>MIN($C$5,$C$6*INDEX(SolarProfile!$C$4:$CT$39,MATCH(Assumptions!$B$6&amp;"|9",SolarProfile!$A$4:$A$39,0),Z$23+1))</f>
        <v>0.0</v>
      </c>
      <c r="AA33" s="45">
        <f>MIN($C$5,$C$6*INDEX(SolarProfile!$C$4:$CT$39,MATCH(Assumptions!$B$6&amp;"|9",SolarProfile!$A$4:$A$39,0),AA$23+1))</f>
        <v>0.0</v>
      </c>
      <c r="AB33" s="45">
        <f>MIN($C$5,$C$6*INDEX(SolarProfile!$C$4:$CT$39,MATCH(Assumptions!$B$6&amp;"|9",SolarProfile!$A$4:$A$39,0),AB$23+1))</f>
        <v>0.0</v>
      </c>
      <c r="AC33" s="45">
        <f>MIN($C$5,$C$6*INDEX(SolarProfile!$C$4:$CT$39,MATCH(Assumptions!$B$6&amp;"|9",SolarProfile!$A$4:$A$39,0),AC$23+1))</f>
        <v>3.8729999999999998</v>
      </c>
      <c r="AD33" s="45">
        <f>MIN($C$5,$C$6*INDEX(SolarProfile!$C$4:$CT$39,MATCH(Assumptions!$B$6&amp;"|9",SolarProfile!$A$4:$A$39,0),AD$23+1))</f>
        <v>13.8612</v>
      </c>
      <c r="AE33" s="45">
        <f>MIN($C$5,$C$6*INDEX(SolarProfile!$C$4:$CT$39,MATCH(Assumptions!$B$6&amp;"|9",SolarProfile!$A$4:$A$39,0),AE$23+1))</f>
        <v>26.295599999999997</v>
      </c>
      <c r="AF33" s="45">
        <f>MIN($C$5,$C$6*INDEX(SolarProfile!$C$4:$CT$39,MATCH(Assumptions!$B$6&amp;"|9",SolarProfile!$A$4:$A$39,0),AF$23+1))</f>
        <v>40.3575</v>
      </c>
      <c r="AG33" s="45">
        <f>MIN($C$5,$C$6*INDEX(SolarProfile!$C$4:$CT$39,MATCH(Assumptions!$B$6&amp;"|9",SolarProfile!$A$4:$A$39,0),AG$23+1))</f>
        <v>55.58819999999999</v>
      </c>
      <c r="AH33" s="45">
        <f>MIN($C$5,$C$6*INDEX(SolarProfile!$C$4:$CT$39,MATCH(Assumptions!$B$6&amp;"|9",SolarProfile!$A$4:$A$39,0),AH$23+1))</f>
        <v>71.655</v>
      </c>
      <c r="AI33" s="45">
        <f>MIN($C$5,$C$6*INDEX(SolarProfile!$C$4:$CT$39,MATCH(Assumptions!$B$6&amp;"|9",SolarProfile!$A$4:$A$39,0),AI$23+1))</f>
        <v>88.28699999999999</v>
      </c>
      <c r="AJ33" s="45">
        <f>MIN($C$5,$C$6*INDEX(SolarProfile!$C$4:$CT$39,MATCH(Assumptions!$B$6&amp;"|9",SolarProfile!$A$4:$A$39,0),AJ$23+1))</f>
        <v>105.24780000000001</v>
      </c>
      <c r="AK33" s="45">
        <f>MIN($C$5,$C$6*INDEX(SolarProfile!$C$4:$CT$39,MATCH(Assumptions!$B$6&amp;"|9",SolarProfile!$A$4:$A$39,0),AK$23+1))</f>
        <v>122.32469999999999</v>
      </c>
      <c r="AL33" s="45">
        <f>MIN($C$5,$C$6*INDEX(SolarProfile!$C$4:$CT$39,MATCH(Assumptions!$B$6&amp;"|9",SolarProfile!$A$4:$A$39,0),AL$23+1))</f>
        <v>139.3203</v>
      </c>
      <c r="AM33" s="45">
        <f>MIN($C$5,$C$6*INDEX(SolarProfile!$C$4:$CT$39,MATCH(Assumptions!$B$6&amp;"|9",SolarProfile!$A$4:$A$39,0),AM$23+1))</f>
        <v>156.05130000000003</v>
      </c>
      <c r="AN33" s="45">
        <f>MIN($C$5,$C$6*INDEX(SolarProfile!$C$4:$CT$39,MATCH(Assumptions!$B$6&amp;"|9",SolarProfile!$A$4:$A$39,0),AN$23+1))</f>
        <v>172.34550000000002</v>
      </c>
      <c r="AO33" s="45">
        <f>MIN($C$5,$C$6*INDEX(SolarProfile!$C$4:$CT$39,MATCH(Assumptions!$B$6&amp;"|9",SolarProfile!$A$4:$A$39,0),AO$23+1))</f>
        <v>188.0409</v>
      </c>
      <c r="AP33" s="45">
        <f>MIN($C$5,$C$6*INDEX(SolarProfile!$C$4:$CT$39,MATCH(Assumptions!$B$6&amp;"|9",SolarProfile!$A$4:$A$39,0),AP$23+1))</f>
        <v>202.9863</v>
      </c>
      <c r="AQ33" s="45">
        <f>MIN($C$5,$C$6*INDEX(SolarProfile!$C$4:$CT$39,MATCH(Assumptions!$B$6&amp;"|9",SolarProfile!$A$4:$A$39,0),AQ$23+1))</f>
        <v>217.04129999999998</v>
      </c>
      <c r="AR33" s="45">
        <f>MIN($C$5,$C$6*INDEX(SolarProfile!$C$4:$CT$39,MATCH(Assumptions!$B$6&amp;"|9",SolarProfile!$A$4:$A$39,0),AR$23+1))</f>
        <v>230.07600000000002</v>
      </c>
      <c r="AS33" s="45">
        <f>MIN($C$5,$C$6*INDEX(SolarProfile!$C$4:$CT$39,MATCH(Assumptions!$B$6&amp;"|9",SolarProfile!$A$4:$A$39,0),AS$23+1))</f>
        <v>241.9716</v>
      </c>
      <c r="AT33" s="45">
        <f>MIN($C$5,$C$6*INDEX(SolarProfile!$C$4:$CT$39,MATCH(Assumptions!$B$6&amp;"|9",SolarProfile!$A$4:$A$39,0),AT$23+1))</f>
        <v>252.621</v>
      </c>
      <c r="AU33" s="45">
        <f>MIN($C$5,$C$6*INDEX(SolarProfile!$C$4:$CT$39,MATCH(Assumptions!$B$6&amp;"|9",SolarProfile!$A$4:$A$39,0),AU$23+1))</f>
        <v>261.9291</v>
      </c>
      <c r="AV33" s="45">
        <f>MIN($C$5,$C$6*INDEX(SolarProfile!$C$4:$CT$39,MATCH(Assumptions!$B$6&amp;"|9",SolarProfile!$A$4:$A$39,0),AV$23+1))</f>
        <v>269.81399999999996</v>
      </c>
      <c r="AW33" s="45">
        <f>MIN($C$5,$C$6*INDEX(SolarProfile!$C$4:$CT$39,MATCH(Assumptions!$B$6&amp;"|9",SolarProfile!$A$4:$A$39,0),AW$23+1))</f>
        <v>276.2061</v>
      </c>
      <c r="AX33" s="45">
        <f>MIN($C$5,$C$6*INDEX(SolarProfile!$C$4:$CT$39,MATCH(Assumptions!$B$6&amp;"|9",SolarProfile!$A$4:$A$39,0),AX$23+1))</f>
        <v>281.0496</v>
      </c>
      <c r="AY33" s="45">
        <f>MIN($C$5,$C$6*INDEX(SolarProfile!$C$4:$CT$39,MATCH(Assumptions!$B$6&amp;"|9",SolarProfile!$A$4:$A$39,0),AY$23+1))</f>
        <v>284.3022</v>
      </c>
      <c r="AZ33" s="45">
        <f>MIN($C$5,$C$6*INDEX(SolarProfile!$C$4:$CT$39,MATCH(Assumptions!$B$6&amp;"|9",SolarProfile!$A$4:$A$39,0),AZ$23+1))</f>
        <v>285.9354</v>
      </c>
      <c r="BA33" s="45">
        <f>MIN($C$5,$C$6*INDEX(SolarProfile!$C$4:$CT$39,MATCH(Assumptions!$B$6&amp;"|9",SolarProfile!$A$4:$A$39,0),BA$23+1))</f>
        <v>285.9354</v>
      </c>
      <c r="BB33" s="45">
        <f>MIN($C$5,$C$6*INDEX(SolarProfile!$C$4:$CT$39,MATCH(Assumptions!$B$6&amp;"|9",SolarProfile!$A$4:$A$39,0),BB$23+1))</f>
        <v>284.3022</v>
      </c>
      <c r="BC33" s="45">
        <f>MIN($C$5,$C$6*INDEX(SolarProfile!$C$4:$CT$39,MATCH(Assumptions!$B$6&amp;"|9",SolarProfile!$A$4:$A$39,0),BC$23+1))</f>
        <v>281.0496</v>
      </c>
      <c r="BD33" s="45">
        <f>MIN($C$5,$C$6*INDEX(SolarProfile!$C$4:$CT$39,MATCH(Assumptions!$B$6&amp;"|9",SolarProfile!$A$4:$A$39,0),BD$23+1))</f>
        <v>276.2061</v>
      </c>
      <c r="BE33" s="45">
        <f>MIN($C$5,$C$6*INDEX(SolarProfile!$C$4:$CT$39,MATCH(Assumptions!$B$6&amp;"|9",SolarProfile!$A$4:$A$39,0),BE$23+1))</f>
        <v>269.81399999999996</v>
      </c>
      <c r="BF33" s="45">
        <f>MIN($C$5,$C$6*INDEX(SolarProfile!$C$4:$CT$39,MATCH(Assumptions!$B$6&amp;"|9",SolarProfile!$A$4:$A$39,0),BF$23+1))</f>
        <v>261.9291</v>
      </c>
      <c r="BG33" s="45">
        <f>MIN($C$5,$C$6*INDEX(SolarProfile!$C$4:$CT$39,MATCH(Assumptions!$B$6&amp;"|9",SolarProfile!$A$4:$A$39,0),BG$23+1))</f>
        <v>252.621</v>
      </c>
      <c r="BH33" s="45">
        <f>MIN($C$5,$C$6*INDEX(SolarProfile!$C$4:$CT$39,MATCH(Assumptions!$B$6&amp;"|9",SolarProfile!$A$4:$A$39,0),BH$23+1))</f>
        <v>241.9716</v>
      </c>
      <c r="BI33" s="45">
        <f>MIN($C$5,$C$6*INDEX(SolarProfile!$C$4:$CT$39,MATCH(Assumptions!$B$6&amp;"|9",SolarProfile!$A$4:$A$39,0),BI$23+1))</f>
        <v>230.07600000000002</v>
      </c>
      <c r="BJ33" s="45">
        <f>MIN($C$5,$C$6*INDEX(SolarProfile!$C$4:$CT$39,MATCH(Assumptions!$B$6&amp;"|9",SolarProfile!$A$4:$A$39,0),BJ$23+1))</f>
        <v>217.04129999999998</v>
      </c>
      <c r="BK33" s="45">
        <f>MIN($C$5,$C$6*INDEX(SolarProfile!$C$4:$CT$39,MATCH(Assumptions!$B$6&amp;"|9",SolarProfile!$A$4:$A$39,0),BK$23+1))</f>
        <v>202.9863</v>
      </c>
      <c r="BL33" s="45">
        <f>MIN($C$5,$C$6*INDEX(SolarProfile!$C$4:$CT$39,MATCH(Assumptions!$B$6&amp;"|9",SolarProfile!$A$4:$A$39,0),BL$23+1))</f>
        <v>188.0409</v>
      </c>
      <c r="BM33" s="45">
        <f>MIN($C$5,$C$6*INDEX(SolarProfile!$C$4:$CT$39,MATCH(Assumptions!$B$6&amp;"|9",SolarProfile!$A$4:$A$39,0),BM$23+1))</f>
        <v>172.34550000000002</v>
      </c>
      <c r="BN33" s="45">
        <f>MIN($C$5,$C$6*INDEX(SolarProfile!$C$4:$CT$39,MATCH(Assumptions!$B$6&amp;"|9",SolarProfile!$A$4:$A$39,0),BN$23+1))</f>
        <v>156.05130000000003</v>
      </c>
      <c r="BO33" s="45">
        <f>MIN($C$5,$C$6*INDEX(SolarProfile!$C$4:$CT$39,MATCH(Assumptions!$B$6&amp;"|9",SolarProfile!$A$4:$A$39,0),BO$23+1))</f>
        <v>139.3203</v>
      </c>
      <c r="BP33" s="45">
        <f>MIN($C$5,$C$6*INDEX(SolarProfile!$C$4:$CT$39,MATCH(Assumptions!$B$6&amp;"|9",SolarProfile!$A$4:$A$39,0),BP$23+1))</f>
        <v>122.32469999999999</v>
      </c>
      <c r="BQ33" s="45">
        <f>MIN($C$5,$C$6*INDEX(SolarProfile!$C$4:$CT$39,MATCH(Assumptions!$B$6&amp;"|9",SolarProfile!$A$4:$A$39,0),BQ$23+1))</f>
        <v>105.24780000000001</v>
      </c>
      <c r="BR33" s="45">
        <f>MIN($C$5,$C$6*INDEX(SolarProfile!$C$4:$CT$39,MATCH(Assumptions!$B$6&amp;"|9",SolarProfile!$A$4:$A$39,0),BR$23+1))</f>
        <v>88.28699999999999</v>
      </c>
      <c r="BS33" s="45">
        <f>MIN($C$5,$C$6*INDEX(SolarProfile!$C$4:$CT$39,MATCH(Assumptions!$B$6&amp;"|9",SolarProfile!$A$4:$A$39,0),BS$23+1))</f>
        <v>71.655</v>
      </c>
      <c r="BT33" s="45">
        <f>MIN($C$5,$C$6*INDEX(SolarProfile!$C$4:$CT$39,MATCH(Assumptions!$B$6&amp;"|9",SolarProfile!$A$4:$A$39,0),BT$23+1))</f>
        <v>55.58819999999999</v>
      </c>
      <c r="BU33" s="45">
        <f>MIN($C$5,$C$6*INDEX(SolarProfile!$C$4:$CT$39,MATCH(Assumptions!$B$6&amp;"|9",SolarProfile!$A$4:$A$39,0),BU$23+1))</f>
        <v>40.3575</v>
      </c>
      <c r="BV33" s="45">
        <f>MIN($C$5,$C$6*INDEX(SolarProfile!$C$4:$CT$39,MATCH(Assumptions!$B$6&amp;"|9",SolarProfile!$A$4:$A$39,0),BV$23+1))</f>
        <v>26.295599999999997</v>
      </c>
      <c r="BW33" s="45">
        <f>MIN($C$5,$C$6*INDEX(SolarProfile!$C$4:$CT$39,MATCH(Assumptions!$B$6&amp;"|9",SolarProfile!$A$4:$A$39,0),BW$23+1))</f>
        <v>13.8612</v>
      </c>
      <c r="BX33" s="45">
        <f>MIN($C$5,$C$6*INDEX(SolarProfile!$C$4:$CT$39,MATCH(Assumptions!$B$6&amp;"|9",SolarProfile!$A$4:$A$39,0),BX$23+1))</f>
        <v>3.8729999999999998</v>
      </c>
      <c r="BY33" s="45">
        <f>MIN($C$5,$C$6*INDEX(SolarProfile!$C$4:$CT$39,MATCH(Assumptions!$B$6&amp;"|9",SolarProfile!$A$4:$A$39,0),BY$23+1))</f>
        <v>0.0</v>
      </c>
      <c r="BZ33" s="45">
        <f>MIN($C$5,$C$6*INDEX(SolarProfile!$C$4:$CT$39,MATCH(Assumptions!$B$6&amp;"|9",SolarProfile!$A$4:$A$39,0),BZ$23+1))</f>
        <v>0.0</v>
      </c>
      <c r="CA33" s="45">
        <f>MIN($C$5,$C$6*INDEX(SolarProfile!$C$4:$CT$39,MATCH(Assumptions!$B$6&amp;"|9",SolarProfile!$A$4:$A$39,0),CA$23+1))</f>
        <v>0.0</v>
      </c>
      <c r="CB33" s="45">
        <f>MIN($C$5,$C$6*INDEX(SolarProfile!$C$4:$CT$39,MATCH(Assumptions!$B$6&amp;"|9",SolarProfile!$A$4:$A$39,0),CB$23+1))</f>
        <v>0.0</v>
      </c>
      <c r="CC33" s="45">
        <f>MIN($C$5,$C$6*INDEX(SolarProfile!$C$4:$CT$39,MATCH(Assumptions!$B$6&amp;"|9",SolarProfile!$A$4:$A$39,0),CC$23+1))</f>
        <v>0.0</v>
      </c>
      <c r="CD33" s="45">
        <f>MIN($C$5,$C$6*INDEX(SolarProfile!$C$4:$CT$39,MATCH(Assumptions!$B$6&amp;"|9",SolarProfile!$A$4:$A$39,0),CD$23+1))</f>
        <v>0.0</v>
      </c>
      <c r="CE33" s="45">
        <f>MIN($C$5,$C$6*INDEX(SolarProfile!$C$4:$CT$39,MATCH(Assumptions!$B$6&amp;"|9",SolarProfile!$A$4:$A$39,0),CE$23+1))</f>
        <v>0.0</v>
      </c>
      <c r="CF33" s="45">
        <f>MIN($C$5,$C$6*INDEX(SolarProfile!$C$4:$CT$39,MATCH(Assumptions!$B$6&amp;"|9",SolarProfile!$A$4:$A$39,0),CF$23+1))</f>
        <v>0.0</v>
      </c>
      <c r="CG33" s="45">
        <f>MIN($C$5,$C$6*INDEX(SolarProfile!$C$4:$CT$39,MATCH(Assumptions!$B$6&amp;"|9",SolarProfile!$A$4:$A$39,0),CG$23+1))</f>
        <v>0.0</v>
      </c>
      <c r="CH33" s="45">
        <f>MIN($C$5,$C$6*INDEX(SolarProfile!$C$4:$CT$39,MATCH(Assumptions!$B$6&amp;"|9",SolarProfile!$A$4:$A$39,0),CH$23+1))</f>
        <v>0.0</v>
      </c>
      <c r="CI33" s="45">
        <f>MIN($C$5,$C$6*INDEX(SolarProfile!$C$4:$CT$39,MATCH(Assumptions!$B$6&amp;"|9",SolarProfile!$A$4:$A$39,0),CI$23+1))</f>
        <v>0.0</v>
      </c>
      <c r="CJ33" s="45">
        <f>MIN($C$5,$C$6*INDEX(SolarProfile!$C$4:$CT$39,MATCH(Assumptions!$B$6&amp;"|9",SolarProfile!$A$4:$A$39,0),CJ$23+1))</f>
        <v>0.0</v>
      </c>
      <c r="CK33" s="45">
        <f>MIN($C$5,$C$6*INDEX(SolarProfile!$C$4:$CT$39,MATCH(Assumptions!$B$6&amp;"|9",SolarProfile!$A$4:$A$39,0),CK$23+1))</f>
        <v>0.0</v>
      </c>
      <c r="CL33" s="45">
        <f>MIN($C$5,$C$6*INDEX(SolarProfile!$C$4:$CT$39,MATCH(Assumptions!$B$6&amp;"|9",SolarProfile!$A$4:$A$39,0),CL$23+1))</f>
        <v>0.0</v>
      </c>
      <c r="CM33" s="45">
        <f>MIN($C$5,$C$6*INDEX(SolarProfile!$C$4:$CT$39,MATCH(Assumptions!$B$6&amp;"|9",SolarProfile!$A$4:$A$39,0),CM$23+1))</f>
        <v>0.0</v>
      </c>
      <c r="CN33" s="45">
        <f>MIN($C$5,$C$6*INDEX(SolarProfile!$C$4:$CT$39,MATCH(Assumptions!$B$6&amp;"|9",SolarProfile!$A$4:$A$39,0),CN$23+1))</f>
        <v>0.0</v>
      </c>
      <c r="CO33" s="45">
        <f>MIN($C$5,$C$6*INDEX(SolarProfile!$C$4:$CT$39,MATCH(Assumptions!$B$6&amp;"|9",SolarProfile!$A$4:$A$39,0),CO$23+1))</f>
        <v>0.0</v>
      </c>
      <c r="CP33" s="45">
        <f>MIN($C$5,$C$6*INDEX(SolarProfile!$C$4:$CT$39,MATCH(Assumptions!$B$6&amp;"|9",SolarProfile!$A$4:$A$39,0),CP$23+1))</f>
        <v>0.0</v>
      </c>
      <c r="CQ33" s="45">
        <f>MIN($C$5,$C$6*INDEX(SolarProfile!$C$4:$CT$39,MATCH(Assumptions!$B$6&amp;"|9",SolarProfile!$A$4:$A$39,0),CQ$23+1))</f>
        <v>0.0</v>
      </c>
      <c r="CR33" s="45">
        <f>MIN($C$5,$C$6*INDEX(SolarProfile!$C$4:$CT$39,MATCH(Assumptions!$B$6&amp;"|9",SolarProfile!$A$4:$A$39,0),CR$23+1))</f>
        <v>0.0</v>
      </c>
      <c r="CS33" s="45">
        <f>MIN($C$5,$C$6*INDEX(SolarProfile!$C$4:$CT$39,MATCH(Assumptions!$B$6&amp;"|9",SolarProfile!$A$4:$A$39,0),CS$23+1))</f>
        <v>0.0</v>
      </c>
      <c r="CT33" s="45">
        <f>MIN($C$5,$C$6*INDEX(SolarProfile!$C$4:$CT$39,MATCH(Assumptions!$B$6&amp;"|9",SolarProfile!$A$4:$A$39,0),CT$23+1))</f>
        <v>0.0</v>
      </c>
      <c r="CU33" s="45">
        <f>MIN($C$5,$C$6*INDEX(SolarProfile!$C$4:$CT$39,MATCH(Assumptions!$B$6&amp;"|9",SolarProfile!$A$4:$A$39,0),CU$23+1))</f>
        <v>0.0</v>
      </c>
    </row>
    <row r="34">
      <c r="A34" s="6" t="inlineStr">
        <is>
          <t>Oct</t>
        </is>
      </c>
      <c r="D34" s="45">
        <f>MIN($C$5,$C$6*INDEX(SolarProfile!$C$4:$CT$39,MATCH(Assumptions!$B$6&amp;"|10",SolarProfile!$A$4:$A$39,0),D$23+1))</f>
        <v>0.0</v>
      </c>
      <c r="E34" s="45">
        <f>MIN($C$5,$C$6*INDEX(SolarProfile!$C$4:$CT$39,MATCH(Assumptions!$B$6&amp;"|10",SolarProfile!$A$4:$A$39,0),E$23+1))</f>
        <v>0.0</v>
      </c>
      <c r="F34" s="45">
        <f>MIN($C$5,$C$6*INDEX(SolarProfile!$C$4:$CT$39,MATCH(Assumptions!$B$6&amp;"|10",SolarProfile!$A$4:$A$39,0),F$23+1))</f>
        <v>0.0</v>
      </c>
      <c r="G34" s="45">
        <f>MIN($C$5,$C$6*INDEX(SolarProfile!$C$4:$CT$39,MATCH(Assumptions!$B$6&amp;"|10",SolarProfile!$A$4:$A$39,0),G$23+1))</f>
        <v>0.0</v>
      </c>
      <c r="H34" s="45">
        <f>MIN($C$5,$C$6*INDEX(SolarProfile!$C$4:$CT$39,MATCH(Assumptions!$B$6&amp;"|10",SolarProfile!$A$4:$A$39,0),H$23+1))</f>
        <v>0.0</v>
      </c>
      <c r="I34" s="45">
        <f>MIN($C$5,$C$6*INDEX(SolarProfile!$C$4:$CT$39,MATCH(Assumptions!$B$6&amp;"|10",SolarProfile!$A$4:$A$39,0),I$23+1))</f>
        <v>0.0</v>
      </c>
      <c r="J34" s="45">
        <f>MIN($C$5,$C$6*INDEX(SolarProfile!$C$4:$CT$39,MATCH(Assumptions!$B$6&amp;"|10",SolarProfile!$A$4:$A$39,0),J$23+1))</f>
        <v>0.0</v>
      </c>
      <c r="K34" s="45">
        <f>MIN($C$5,$C$6*INDEX(SolarProfile!$C$4:$CT$39,MATCH(Assumptions!$B$6&amp;"|10",SolarProfile!$A$4:$A$39,0),K$23+1))</f>
        <v>0.0</v>
      </c>
      <c r="L34" s="45">
        <f>MIN($C$5,$C$6*INDEX(SolarProfile!$C$4:$CT$39,MATCH(Assumptions!$B$6&amp;"|10",SolarProfile!$A$4:$A$39,0),L$23+1))</f>
        <v>0.0</v>
      </c>
      <c r="M34" s="45">
        <f>MIN($C$5,$C$6*INDEX(SolarProfile!$C$4:$CT$39,MATCH(Assumptions!$B$6&amp;"|10",SolarProfile!$A$4:$A$39,0),M$23+1))</f>
        <v>0.0</v>
      </c>
      <c r="N34" s="45">
        <f>MIN($C$5,$C$6*INDEX(SolarProfile!$C$4:$CT$39,MATCH(Assumptions!$B$6&amp;"|10",SolarProfile!$A$4:$A$39,0),N$23+1))</f>
        <v>0.0</v>
      </c>
      <c r="O34" s="45">
        <f>MIN($C$5,$C$6*INDEX(SolarProfile!$C$4:$CT$39,MATCH(Assumptions!$B$6&amp;"|10",SolarProfile!$A$4:$A$39,0),O$23+1))</f>
        <v>0.0</v>
      </c>
      <c r="P34" s="45">
        <f>MIN($C$5,$C$6*INDEX(SolarProfile!$C$4:$CT$39,MATCH(Assumptions!$B$6&amp;"|10",SolarProfile!$A$4:$A$39,0),P$23+1))</f>
        <v>0.0</v>
      </c>
      <c r="Q34" s="45">
        <f>MIN($C$5,$C$6*INDEX(SolarProfile!$C$4:$CT$39,MATCH(Assumptions!$B$6&amp;"|10",SolarProfile!$A$4:$A$39,0),Q$23+1))</f>
        <v>0.0</v>
      </c>
      <c r="R34" s="45">
        <f>MIN($C$5,$C$6*INDEX(SolarProfile!$C$4:$CT$39,MATCH(Assumptions!$B$6&amp;"|10",SolarProfile!$A$4:$A$39,0),R$23+1))</f>
        <v>0.0</v>
      </c>
      <c r="S34" s="45">
        <f>MIN($C$5,$C$6*INDEX(SolarProfile!$C$4:$CT$39,MATCH(Assumptions!$B$6&amp;"|10",SolarProfile!$A$4:$A$39,0),S$23+1))</f>
        <v>0.0</v>
      </c>
      <c r="T34" s="45">
        <f>MIN($C$5,$C$6*INDEX(SolarProfile!$C$4:$CT$39,MATCH(Assumptions!$B$6&amp;"|10",SolarProfile!$A$4:$A$39,0),T$23+1))</f>
        <v>0.0</v>
      </c>
      <c r="U34" s="45">
        <f>MIN($C$5,$C$6*INDEX(SolarProfile!$C$4:$CT$39,MATCH(Assumptions!$B$6&amp;"|10",SolarProfile!$A$4:$A$39,0),U$23+1))</f>
        <v>0.0</v>
      </c>
      <c r="V34" s="45">
        <f>MIN($C$5,$C$6*INDEX(SolarProfile!$C$4:$CT$39,MATCH(Assumptions!$B$6&amp;"|10",SolarProfile!$A$4:$A$39,0),V$23+1))</f>
        <v>0.0</v>
      </c>
      <c r="W34" s="45">
        <f>MIN($C$5,$C$6*INDEX(SolarProfile!$C$4:$CT$39,MATCH(Assumptions!$B$6&amp;"|10",SolarProfile!$A$4:$A$39,0),W$23+1))</f>
        <v>0.0</v>
      </c>
      <c r="X34" s="45">
        <f>MIN($C$5,$C$6*INDEX(SolarProfile!$C$4:$CT$39,MATCH(Assumptions!$B$6&amp;"|10",SolarProfile!$A$4:$A$39,0),X$23+1))</f>
        <v>0.0</v>
      </c>
      <c r="Y34" s="45">
        <f>MIN($C$5,$C$6*INDEX(SolarProfile!$C$4:$CT$39,MATCH(Assumptions!$B$6&amp;"|10",SolarProfile!$A$4:$A$39,0),Y$23+1))</f>
        <v>0.0</v>
      </c>
      <c r="Z34" s="45">
        <f>MIN($C$5,$C$6*INDEX(SolarProfile!$C$4:$CT$39,MATCH(Assumptions!$B$6&amp;"|10",SolarProfile!$A$4:$A$39,0),Z$23+1))</f>
        <v>0.0</v>
      </c>
      <c r="AA34" s="45">
        <f>MIN($C$5,$C$6*INDEX(SolarProfile!$C$4:$CT$39,MATCH(Assumptions!$B$6&amp;"|10",SolarProfile!$A$4:$A$39,0),AA$23+1))</f>
        <v>0.0</v>
      </c>
      <c r="AB34" s="45">
        <f>MIN($C$5,$C$6*INDEX(SolarProfile!$C$4:$CT$39,MATCH(Assumptions!$B$6&amp;"|10",SolarProfile!$A$4:$A$39,0),AB$23+1))</f>
        <v>0.0</v>
      </c>
      <c r="AC34" s="45">
        <f>MIN($C$5,$C$6*INDEX(SolarProfile!$C$4:$CT$39,MATCH(Assumptions!$B$6&amp;"|10",SolarProfile!$A$4:$A$39,0),AC$23+1))</f>
        <v>0.0</v>
      </c>
      <c r="AD34" s="45">
        <f>MIN($C$5,$C$6*INDEX(SolarProfile!$C$4:$CT$39,MATCH(Assumptions!$B$6&amp;"|10",SolarProfile!$A$4:$A$39,0),AD$23+1))</f>
        <v>6.8481</v>
      </c>
      <c r="AE34" s="45">
        <f>MIN($C$5,$C$6*INDEX(SolarProfile!$C$4:$CT$39,MATCH(Assumptions!$B$6&amp;"|10",SolarProfile!$A$4:$A$39,0),AE$23+1))</f>
        <v>19.1082</v>
      </c>
      <c r="AF34" s="45">
        <f>MIN($C$5,$C$6*INDEX(SolarProfile!$C$4:$CT$39,MATCH(Assumptions!$B$6&amp;"|10",SolarProfile!$A$4:$A$39,0),AF$23+1))</f>
        <v>33.8637</v>
      </c>
      <c r="AG34" s="45">
        <f>MIN($C$5,$C$6*INDEX(SolarProfile!$C$4:$CT$39,MATCH(Assumptions!$B$6&amp;"|10",SolarProfile!$A$4:$A$39,0),AG$23+1))</f>
        <v>50.3217</v>
      </c>
      <c r="AH34" s="45">
        <f>MIN($C$5,$C$6*INDEX(SolarProfile!$C$4:$CT$39,MATCH(Assumptions!$B$6&amp;"|10",SolarProfile!$A$4:$A$39,0),AH$23+1))</f>
        <v>67.9941</v>
      </c>
      <c r="AI34" s="45">
        <f>MIN($C$5,$C$6*INDEX(SolarProfile!$C$4:$CT$39,MATCH(Assumptions!$B$6&amp;"|10",SolarProfile!$A$4:$A$39,0),AI$23+1))</f>
        <v>86.5131</v>
      </c>
      <c r="AJ34" s="45">
        <f>MIN($C$5,$C$6*INDEX(SolarProfile!$C$4:$CT$39,MATCH(Assumptions!$B$6&amp;"|10",SolarProfile!$A$4:$A$39,0),AJ$23+1))</f>
        <v>105.5706</v>
      </c>
      <c r="AK34" s="45">
        <f>MIN($C$5,$C$6*INDEX(SolarProfile!$C$4:$CT$39,MATCH(Assumptions!$B$6&amp;"|10",SolarProfile!$A$4:$A$39,0),AK$23+1))</f>
        <v>124.8951</v>
      </c>
      <c r="AL34" s="45">
        <f>MIN($C$5,$C$6*INDEX(SolarProfile!$C$4:$CT$39,MATCH(Assumptions!$B$6&amp;"|10",SolarProfile!$A$4:$A$39,0),AL$23+1))</f>
        <v>144.2388</v>
      </c>
      <c r="AM34" s="45">
        <f>MIN($C$5,$C$6*INDEX(SolarProfile!$C$4:$CT$39,MATCH(Assumptions!$B$6&amp;"|10",SolarProfile!$A$4:$A$39,0),AM$23+1))</f>
        <v>163.3725</v>
      </c>
      <c r="AN34" s="45">
        <f>MIN($C$5,$C$6*INDEX(SolarProfile!$C$4:$CT$39,MATCH(Assumptions!$B$6&amp;"|10",SolarProfile!$A$4:$A$39,0),AN$23+1))</f>
        <v>182.0811</v>
      </c>
      <c r="AO34" s="45">
        <f>MIN($C$5,$C$6*INDEX(SolarProfile!$C$4:$CT$39,MATCH(Assumptions!$B$6&amp;"|10",SolarProfile!$A$4:$A$39,0),AO$23+1))</f>
        <v>200.1645</v>
      </c>
      <c r="AP34" s="45">
        <f>MIN($C$5,$C$6*INDEX(SolarProfile!$C$4:$CT$39,MATCH(Assumptions!$B$6&amp;"|10",SolarProfile!$A$4:$A$39,0),AP$23+1))</f>
        <v>217.4349</v>
      </c>
      <c r="AQ34" s="45">
        <f>MIN($C$5,$C$6*INDEX(SolarProfile!$C$4:$CT$39,MATCH(Assumptions!$B$6&amp;"|10",SolarProfile!$A$4:$A$39,0),AQ$23+1))</f>
        <v>233.7174</v>
      </c>
      <c r="AR34" s="45">
        <f>MIN($C$5,$C$6*INDEX(SolarProfile!$C$4:$CT$39,MATCH(Assumptions!$B$6&amp;"|10",SolarProfile!$A$4:$A$39,0),AR$23+1))</f>
        <v>248.8509</v>
      </c>
      <c r="AS34" s="45">
        <f>MIN($C$5,$C$6*INDEX(SolarProfile!$C$4:$CT$39,MATCH(Assumptions!$B$6&amp;"|10",SolarProfile!$A$4:$A$39,0),AS$23+1))</f>
        <v>262.6878</v>
      </c>
      <c r="AT34" s="45">
        <f>MIN($C$5,$C$6*INDEX(SolarProfile!$C$4:$CT$39,MATCH(Assumptions!$B$6&amp;"|10",SolarProfile!$A$4:$A$39,0),AT$23+1))</f>
        <v>275.0949</v>
      </c>
      <c r="AU34" s="45">
        <f>MIN($C$5,$C$6*INDEX(SolarProfile!$C$4:$CT$39,MATCH(Assumptions!$B$6&amp;"|10",SolarProfile!$A$4:$A$39,0),AU$23+1))</f>
        <v>285.9543</v>
      </c>
      <c r="AV34" s="45">
        <f>MIN($C$5,$C$6*INDEX(SolarProfile!$C$4:$CT$39,MATCH(Assumptions!$B$6&amp;"|10",SolarProfile!$A$4:$A$39,0),AV$23+1))</f>
        <v>295.1634</v>
      </c>
      <c r="AW34" s="45">
        <f>MIN($C$5,$C$6*INDEX(SolarProfile!$C$4:$CT$39,MATCH(Assumptions!$B$6&amp;"|10",SolarProfile!$A$4:$A$39,0),AW$23+1))</f>
        <v>300.0</v>
      </c>
      <c r="AX34" s="45">
        <f>MIN($C$5,$C$6*INDEX(SolarProfile!$C$4:$CT$39,MATCH(Assumptions!$B$6&amp;"|10",SolarProfile!$A$4:$A$39,0),AX$23+1))</f>
        <v>300.0</v>
      </c>
      <c r="AY34" s="45">
        <f>MIN($C$5,$C$6*INDEX(SolarProfile!$C$4:$CT$39,MATCH(Assumptions!$B$6&amp;"|10",SolarProfile!$A$4:$A$39,0),AY$23+1))</f>
        <v>300.0</v>
      </c>
      <c r="AZ34" s="45">
        <f>MIN($C$5,$C$6*INDEX(SolarProfile!$C$4:$CT$39,MATCH(Assumptions!$B$6&amp;"|10",SolarProfile!$A$4:$A$39,0),AZ$23+1))</f>
        <v>300.0</v>
      </c>
      <c r="BA34" s="45">
        <f>MIN($C$5,$C$6*INDEX(SolarProfile!$C$4:$CT$39,MATCH(Assumptions!$B$6&amp;"|10",SolarProfile!$A$4:$A$39,0),BA$23+1))</f>
        <v>300.0</v>
      </c>
      <c r="BB34" s="45">
        <f>MIN($C$5,$C$6*INDEX(SolarProfile!$C$4:$CT$39,MATCH(Assumptions!$B$6&amp;"|10",SolarProfile!$A$4:$A$39,0),BB$23+1))</f>
        <v>300.0</v>
      </c>
      <c r="BC34" s="45">
        <f>MIN($C$5,$C$6*INDEX(SolarProfile!$C$4:$CT$39,MATCH(Assumptions!$B$6&amp;"|10",SolarProfile!$A$4:$A$39,0),BC$23+1))</f>
        <v>300.0</v>
      </c>
      <c r="BD34" s="45">
        <f>MIN($C$5,$C$6*INDEX(SolarProfile!$C$4:$CT$39,MATCH(Assumptions!$B$6&amp;"|10",SolarProfile!$A$4:$A$39,0),BD$23+1))</f>
        <v>300.0</v>
      </c>
      <c r="BE34" s="45">
        <f>MIN($C$5,$C$6*INDEX(SolarProfile!$C$4:$CT$39,MATCH(Assumptions!$B$6&amp;"|10",SolarProfile!$A$4:$A$39,0),BE$23+1))</f>
        <v>295.1634</v>
      </c>
      <c r="BF34" s="45">
        <f>MIN($C$5,$C$6*INDEX(SolarProfile!$C$4:$CT$39,MATCH(Assumptions!$B$6&amp;"|10",SolarProfile!$A$4:$A$39,0),BF$23+1))</f>
        <v>285.9543</v>
      </c>
      <c r="BG34" s="45">
        <f>MIN($C$5,$C$6*INDEX(SolarProfile!$C$4:$CT$39,MATCH(Assumptions!$B$6&amp;"|10",SolarProfile!$A$4:$A$39,0),BG$23+1))</f>
        <v>275.0949</v>
      </c>
      <c r="BH34" s="45">
        <f>MIN($C$5,$C$6*INDEX(SolarProfile!$C$4:$CT$39,MATCH(Assumptions!$B$6&amp;"|10",SolarProfile!$A$4:$A$39,0),BH$23+1))</f>
        <v>262.6878</v>
      </c>
      <c r="BI34" s="45">
        <f>MIN($C$5,$C$6*INDEX(SolarProfile!$C$4:$CT$39,MATCH(Assumptions!$B$6&amp;"|10",SolarProfile!$A$4:$A$39,0),BI$23+1))</f>
        <v>248.8509</v>
      </c>
      <c r="BJ34" s="45">
        <f>MIN($C$5,$C$6*INDEX(SolarProfile!$C$4:$CT$39,MATCH(Assumptions!$B$6&amp;"|10",SolarProfile!$A$4:$A$39,0),BJ$23+1))</f>
        <v>233.7174</v>
      </c>
      <c r="BK34" s="45">
        <f>MIN($C$5,$C$6*INDEX(SolarProfile!$C$4:$CT$39,MATCH(Assumptions!$B$6&amp;"|10",SolarProfile!$A$4:$A$39,0),BK$23+1))</f>
        <v>217.4349</v>
      </c>
      <c r="BL34" s="45">
        <f>MIN($C$5,$C$6*INDEX(SolarProfile!$C$4:$CT$39,MATCH(Assumptions!$B$6&amp;"|10",SolarProfile!$A$4:$A$39,0),BL$23+1))</f>
        <v>200.1645</v>
      </c>
      <c r="BM34" s="45">
        <f>MIN($C$5,$C$6*INDEX(SolarProfile!$C$4:$CT$39,MATCH(Assumptions!$B$6&amp;"|10",SolarProfile!$A$4:$A$39,0),BM$23+1))</f>
        <v>182.0811</v>
      </c>
      <c r="BN34" s="45">
        <f>MIN($C$5,$C$6*INDEX(SolarProfile!$C$4:$CT$39,MATCH(Assumptions!$B$6&amp;"|10",SolarProfile!$A$4:$A$39,0),BN$23+1))</f>
        <v>163.3725</v>
      </c>
      <c r="BO34" s="45">
        <f>MIN($C$5,$C$6*INDEX(SolarProfile!$C$4:$CT$39,MATCH(Assumptions!$B$6&amp;"|10",SolarProfile!$A$4:$A$39,0),BO$23+1))</f>
        <v>144.2388</v>
      </c>
      <c r="BP34" s="45">
        <f>MIN($C$5,$C$6*INDEX(SolarProfile!$C$4:$CT$39,MATCH(Assumptions!$B$6&amp;"|10",SolarProfile!$A$4:$A$39,0),BP$23+1))</f>
        <v>124.8951</v>
      </c>
      <c r="BQ34" s="45">
        <f>MIN($C$5,$C$6*INDEX(SolarProfile!$C$4:$CT$39,MATCH(Assumptions!$B$6&amp;"|10",SolarProfile!$A$4:$A$39,0),BQ$23+1))</f>
        <v>105.5706</v>
      </c>
      <c r="BR34" s="45">
        <f>MIN($C$5,$C$6*INDEX(SolarProfile!$C$4:$CT$39,MATCH(Assumptions!$B$6&amp;"|10",SolarProfile!$A$4:$A$39,0),BR$23+1))</f>
        <v>86.5131</v>
      </c>
      <c r="BS34" s="45">
        <f>MIN($C$5,$C$6*INDEX(SolarProfile!$C$4:$CT$39,MATCH(Assumptions!$B$6&amp;"|10",SolarProfile!$A$4:$A$39,0),BS$23+1))</f>
        <v>67.9941</v>
      </c>
      <c r="BT34" s="45">
        <f>MIN($C$5,$C$6*INDEX(SolarProfile!$C$4:$CT$39,MATCH(Assumptions!$B$6&amp;"|10",SolarProfile!$A$4:$A$39,0),BT$23+1))</f>
        <v>50.3217</v>
      </c>
      <c r="BU34" s="45">
        <f>MIN($C$5,$C$6*INDEX(SolarProfile!$C$4:$CT$39,MATCH(Assumptions!$B$6&amp;"|10",SolarProfile!$A$4:$A$39,0),BU$23+1))</f>
        <v>33.8637</v>
      </c>
      <c r="BV34" s="45">
        <f>MIN($C$5,$C$6*INDEX(SolarProfile!$C$4:$CT$39,MATCH(Assumptions!$B$6&amp;"|10",SolarProfile!$A$4:$A$39,0),BV$23+1))</f>
        <v>19.1082</v>
      </c>
      <c r="BW34" s="45">
        <f>MIN($C$5,$C$6*INDEX(SolarProfile!$C$4:$CT$39,MATCH(Assumptions!$B$6&amp;"|10",SolarProfile!$A$4:$A$39,0),BW$23+1))</f>
        <v>6.8481</v>
      </c>
      <c r="BX34" s="45">
        <f>MIN($C$5,$C$6*INDEX(SolarProfile!$C$4:$CT$39,MATCH(Assumptions!$B$6&amp;"|10",SolarProfile!$A$4:$A$39,0),BX$23+1))</f>
        <v>0.0</v>
      </c>
      <c r="BY34" s="45">
        <f>MIN($C$5,$C$6*INDEX(SolarProfile!$C$4:$CT$39,MATCH(Assumptions!$B$6&amp;"|10",SolarProfile!$A$4:$A$39,0),BY$23+1))</f>
        <v>0.0</v>
      </c>
      <c r="BZ34" s="45">
        <f>MIN($C$5,$C$6*INDEX(SolarProfile!$C$4:$CT$39,MATCH(Assumptions!$B$6&amp;"|10",SolarProfile!$A$4:$A$39,0),BZ$23+1))</f>
        <v>0.0</v>
      </c>
      <c r="CA34" s="45">
        <f>MIN($C$5,$C$6*INDEX(SolarProfile!$C$4:$CT$39,MATCH(Assumptions!$B$6&amp;"|10",SolarProfile!$A$4:$A$39,0),CA$23+1))</f>
        <v>0.0</v>
      </c>
      <c r="CB34" s="45">
        <f>MIN($C$5,$C$6*INDEX(SolarProfile!$C$4:$CT$39,MATCH(Assumptions!$B$6&amp;"|10",SolarProfile!$A$4:$A$39,0),CB$23+1))</f>
        <v>0.0</v>
      </c>
      <c r="CC34" s="45">
        <f>MIN($C$5,$C$6*INDEX(SolarProfile!$C$4:$CT$39,MATCH(Assumptions!$B$6&amp;"|10",SolarProfile!$A$4:$A$39,0),CC$23+1))</f>
        <v>0.0</v>
      </c>
      <c r="CD34" s="45">
        <f>MIN($C$5,$C$6*INDEX(SolarProfile!$C$4:$CT$39,MATCH(Assumptions!$B$6&amp;"|10",SolarProfile!$A$4:$A$39,0),CD$23+1))</f>
        <v>0.0</v>
      </c>
      <c r="CE34" s="45">
        <f>MIN($C$5,$C$6*INDEX(SolarProfile!$C$4:$CT$39,MATCH(Assumptions!$B$6&amp;"|10",SolarProfile!$A$4:$A$39,0),CE$23+1))</f>
        <v>0.0</v>
      </c>
      <c r="CF34" s="45">
        <f>MIN($C$5,$C$6*INDEX(SolarProfile!$C$4:$CT$39,MATCH(Assumptions!$B$6&amp;"|10",SolarProfile!$A$4:$A$39,0),CF$23+1))</f>
        <v>0.0</v>
      </c>
      <c r="CG34" s="45">
        <f>MIN($C$5,$C$6*INDEX(SolarProfile!$C$4:$CT$39,MATCH(Assumptions!$B$6&amp;"|10",SolarProfile!$A$4:$A$39,0),CG$23+1))</f>
        <v>0.0</v>
      </c>
      <c r="CH34" s="45">
        <f>MIN($C$5,$C$6*INDEX(SolarProfile!$C$4:$CT$39,MATCH(Assumptions!$B$6&amp;"|10",SolarProfile!$A$4:$A$39,0),CH$23+1))</f>
        <v>0.0</v>
      </c>
      <c r="CI34" s="45">
        <f>MIN($C$5,$C$6*INDEX(SolarProfile!$C$4:$CT$39,MATCH(Assumptions!$B$6&amp;"|10",SolarProfile!$A$4:$A$39,0),CI$23+1))</f>
        <v>0.0</v>
      </c>
      <c r="CJ34" s="45">
        <f>MIN($C$5,$C$6*INDEX(SolarProfile!$C$4:$CT$39,MATCH(Assumptions!$B$6&amp;"|10",SolarProfile!$A$4:$A$39,0),CJ$23+1))</f>
        <v>0.0</v>
      </c>
      <c r="CK34" s="45">
        <f>MIN($C$5,$C$6*INDEX(SolarProfile!$C$4:$CT$39,MATCH(Assumptions!$B$6&amp;"|10",SolarProfile!$A$4:$A$39,0),CK$23+1))</f>
        <v>0.0</v>
      </c>
      <c r="CL34" s="45">
        <f>MIN($C$5,$C$6*INDEX(SolarProfile!$C$4:$CT$39,MATCH(Assumptions!$B$6&amp;"|10",SolarProfile!$A$4:$A$39,0),CL$23+1))</f>
        <v>0.0</v>
      </c>
      <c r="CM34" s="45">
        <f>MIN($C$5,$C$6*INDEX(SolarProfile!$C$4:$CT$39,MATCH(Assumptions!$B$6&amp;"|10",SolarProfile!$A$4:$A$39,0),CM$23+1))</f>
        <v>0.0</v>
      </c>
      <c r="CN34" s="45">
        <f>MIN($C$5,$C$6*INDEX(SolarProfile!$C$4:$CT$39,MATCH(Assumptions!$B$6&amp;"|10",SolarProfile!$A$4:$A$39,0),CN$23+1))</f>
        <v>0.0</v>
      </c>
      <c r="CO34" s="45">
        <f>MIN($C$5,$C$6*INDEX(SolarProfile!$C$4:$CT$39,MATCH(Assumptions!$B$6&amp;"|10",SolarProfile!$A$4:$A$39,0),CO$23+1))</f>
        <v>0.0</v>
      </c>
      <c r="CP34" s="45">
        <f>MIN($C$5,$C$6*INDEX(SolarProfile!$C$4:$CT$39,MATCH(Assumptions!$B$6&amp;"|10",SolarProfile!$A$4:$A$39,0),CP$23+1))</f>
        <v>0.0</v>
      </c>
      <c r="CQ34" s="45">
        <f>MIN($C$5,$C$6*INDEX(SolarProfile!$C$4:$CT$39,MATCH(Assumptions!$B$6&amp;"|10",SolarProfile!$A$4:$A$39,0),CQ$23+1))</f>
        <v>0.0</v>
      </c>
      <c r="CR34" s="45">
        <f>MIN($C$5,$C$6*INDEX(SolarProfile!$C$4:$CT$39,MATCH(Assumptions!$B$6&amp;"|10",SolarProfile!$A$4:$A$39,0),CR$23+1))</f>
        <v>0.0</v>
      </c>
      <c r="CS34" s="45">
        <f>MIN($C$5,$C$6*INDEX(SolarProfile!$C$4:$CT$39,MATCH(Assumptions!$B$6&amp;"|10",SolarProfile!$A$4:$A$39,0),CS$23+1))</f>
        <v>0.0</v>
      </c>
      <c r="CT34" s="45">
        <f>MIN($C$5,$C$6*INDEX(SolarProfile!$C$4:$CT$39,MATCH(Assumptions!$B$6&amp;"|10",SolarProfile!$A$4:$A$39,0),CT$23+1))</f>
        <v>0.0</v>
      </c>
      <c r="CU34" s="45">
        <f>MIN($C$5,$C$6*INDEX(SolarProfile!$C$4:$CT$39,MATCH(Assumptions!$B$6&amp;"|10",SolarProfile!$A$4:$A$39,0),CU$23+1))</f>
        <v>0.0</v>
      </c>
    </row>
    <row r="35">
      <c r="A35" s="6" t="inlineStr">
        <is>
          <t>Nov</t>
        </is>
      </c>
      <c r="D35" s="45">
        <f>MIN($C$5,$C$6*INDEX(SolarProfile!$C$4:$CT$39,MATCH(Assumptions!$B$6&amp;"|11",SolarProfile!$A$4:$A$39,0),D$23+1))</f>
        <v>0.0</v>
      </c>
      <c r="E35" s="45">
        <f>MIN($C$5,$C$6*INDEX(SolarProfile!$C$4:$CT$39,MATCH(Assumptions!$B$6&amp;"|11",SolarProfile!$A$4:$A$39,0),E$23+1))</f>
        <v>0.0</v>
      </c>
      <c r="F35" s="45">
        <f>MIN($C$5,$C$6*INDEX(SolarProfile!$C$4:$CT$39,MATCH(Assumptions!$B$6&amp;"|11",SolarProfile!$A$4:$A$39,0),F$23+1))</f>
        <v>0.0</v>
      </c>
      <c r="G35" s="45">
        <f>MIN($C$5,$C$6*INDEX(SolarProfile!$C$4:$CT$39,MATCH(Assumptions!$B$6&amp;"|11",SolarProfile!$A$4:$A$39,0),G$23+1))</f>
        <v>0.0</v>
      </c>
      <c r="H35" s="45">
        <f>MIN($C$5,$C$6*INDEX(SolarProfile!$C$4:$CT$39,MATCH(Assumptions!$B$6&amp;"|11",SolarProfile!$A$4:$A$39,0),H$23+1))</f>
        <v>0.0</v>
      </c>
      <c r="I35" s="45">
        <f>MIN($C$5,$C$6*INDEX(SolarProfile!$C$4:$CT$39,MATCH(Assumptions!$B$6&amp;"|11",SolarProfile!$A$4:$A$39,0),I$23+1))</f>
        <v>0.0</v>
      </c>
      <c r="J35" s="45">
        <f>MIN($C$5,$C$6*INDEX(SolarProfile!$C$4:$CT$39,MATCH(Assumptions!$B$6&amp;"|11",SolarProfile!$A$4:$A$39,0),J$23+1))</f>
        <v>0.0</v>
      </c>
      <c r="K35" s="45">
        <f>MIN($C$5,$C$6*INDEX(SolarProfile!$C$4:$CT$39,MATCH(Assumptions!$B$6&amp;"|11",SolarProfile!$A$4:$A$39,0),K$23+1))</f>
        <v>0.0</v>
      </c>
      <c r="L35" s="45">
        <f>MIN($C$5,$C$6*INDEX(SolarProfile!$C$4:$CT$39,MATCH(Assumptions!$B$6&amp;"|11",SolarProfile!$A$4:$A$39,0),L$23+1))</f>
        <v>0.0</v>
      </c>
      <c r="M35" s="45">
        <f>MIN($C$5,$C$6*INDEX(SolarProfile!$C$4:$CT$39,MATCH(Assumptions!$B$6&amp;"|11",SolarProfile!$A$4:$A$39,0),M$23+1))</f>
        <v>0.0</v>
      </c>
      <c r="N35" s="45">
        <f>MIN($C$5,$C$6*INDEX(SolarProfile!$C$4:$CT$39,MATCH(Assumptions!$B$6&amp;"|11",SolarProfile!$A$4:$A$39,0),N$23+1))</f>
        <v>0.0</v>
      </c>
      <c r="O35" s="45">
        <f>MIN($C$5,$C$6*INDEX(SolarProfile!$C$4:$CT$39,MATCH(Assumptions!$B$6&amp;"|11",SolarProfile!$A$4:$A$39,0),O$23+1))</f>
        <v>0.0</v>
      </c>
      <c r="P35" s="45">
        <f>MIN($C$5,$C$6*INDEX(SolarProfile!$C$4:$CT$39,MATCH(Assumptions!$B$6&amp;"|11",SolarProfile!$A$4:$A$39,0),P$23+1))</f>
        <v>0.0</v>
      </c>
      <c r="Q35" s="45">
        <f>MIN($C$5,$C$6*INDEX(SolarProfile!$C$4:$CT$39,MATCH(Assumptions!$B$6&amp;"|11",SolarProfile!$A$4:$A$39,0),Q$23+1))</f>
        <v>0.0</v>
      </c>
      <c r="R35" s="45">
        <f>MIN($C$5,$C$6*INDEX(SolarProfile!$C$4:$CT$39,MATCH(Assumptions!$B$6&amp;"|11",SolarProfile!$A$4:$A$39,0),R$23+1))</f>
        <v>0.0</v>
      </c>
      <c r="S35" s="45">
        <f>MIN($C$5,$C$6*INDEX(SolarProfile!$C$4:$CT$39,MATCH(Assumptions!$B$6&amp;"|11",SolarProfile!$A$4:$A$39,0),S$23+1))</f>
        <v>0.0</v>
      </c>
      <c r="T35" s="45">
        <f>MIN($C$5,$C$6*INDEX(SolarProfile!$C$4:$CT$39,MATCH(Assumptions!$B$6&amp;"|11",SolarProfile!$A$4:$A$39,0),T$23+1))</f>
        <v>0.0</v>
      </c>
      <c r="U35" s="45">
        <f>MIN($C$5,$C$6*INDEX(SolarProfile!$C$4:$CT$39,MATCH(Assumptions!$B$6&amp;"|11",SolarProfile!$A$4:$A$39,0),U$23+1))</f>
        <v>0.0</v>
      </c>
      <c r="V35" s="45">
        <f>MIN($C$5,$C$6*INDEX(SolarProfile!$C$4:$CT$39,MATCH(Assumptions!$B$6&amp;"|11",SolarProfile!$A$4:$A$39,0),V$23+1))</f>
        <v>0.0</v>
      </c>
      <c r="W35" s="45">
        <f>MIN($C$5,$C$6*INDEX(SolarProfile!$C$4:$CT$39,MATCH(Assumptions!$B$6&amp;"|11",SolarProfile!$A$4:$A$39,0),W$23+1))</f>
        <v>0.0</v>
      </c>
      <c r="X35" s="45">
        <f>MIN($C$5,$C$6*INDEX(SolarProfile!$C$4:$CT$39,MATCH(Assumptions!$B$6&amp;"|11",SolarProfile!$A$4:$A$39,0),X$23+1))</f>
        <v>0.0</v>
      </c>
      <c r="Y35" s="45">
        <f>MIN($C$5,$C$6*INDEX(SolarProfile!$C$4:$CT$39,MATCH(Assumptions!$B$6&amp;"|11",SolarProfile!$A$4:$A$39,0),Y$23+1))</f>
        <v>0.0</v>
      </c>
      <c r="Z35" s="45">
        <f>MIN($C$5,$C$6*INDEX(SolarProfile!$C$4:$CT$39,MATCH(Assumptions!$B$6&amp;"|11",SolarProfile!$A$4:$A$39,0),Z$23+1))</f>
        <v>0.0</v>
      </c>
      <c r="AA35" s="45">
        <f>MIN($C$5,$C$6*INDEX(SolarProfile!$C$4:$CT$39,MATCH(Assumptions!$B$6&amp;"|11",SolarProfile!$A$4:$A$39,0),AA$23+1))</f>
        <v>0.0</v>
      </c>
      <c r="AB35" s="45">
        <f>MIN($C$5,$C$6*INDEX(SolarProfile!$C$4:$CT$39,MATCH(Assumptions!$B$6&amp;"|11",SolarProfile!$A$4:$A$39,0),AB$23+1))</f>
        <v>0.0</v>
      </c>
      <c r="AC35" s="45">
        <f>MIN($C$5,$C$6*INDEX(SolarProfile!$C$4:$CT$39,MATCH(Assumptions!$B$6&amp;"|11",SolarProfile!$A$4:$A$39,0),AC$23+1))</f>
        <v>0.0</v>
      </c>
      <c r="AD35" s="45">
        <f>MIN($C$5,$C$6*INDEX(SolarProfile!$C$4:$CT$39,MATCH(Assumptions!$B$6&amp;"|11",SolarProfile!$A$4:$A$39,0),AD$23+1))</f>
        <v>1.425</v>
      </c>
      <c r="AE35" s="45">
        <f>MIN($C$5,$C$6*INDEX(SolarProfile!$C$4:$CT$39,MATCH(Assumptions!$B$6&amp;"|11",SolarProfile!$A$4:$A$39,0),AE$23+1))</f>
        <v>12.764999999999999</v>
      </c>
      <c r="AF35" s="45">
        <f>MIN($C$5,$C$6*INDEX(SolarProfile!$C$4:$CT$39,MATCH(Assumptions!$B$6&amp;"|11",SolarProfile!$A$4:$A$39,0),AF$23+1))</f>
        <v>28.1859</v>
      </c>
      <c r="AG35" s="45">
        <f>MIN($C$5,$C$6*INDEX(SolarProfile!$C$4:$CT$39,MATCH(Assumptions!$B$6&amp;"|11",SolarProfile!$A$4:$A$39,0),AG$23+1))</f>
        <v>46.074</v>
      </c>
      <c r="AH35" s="45">
        <f>MIN($C$5,$C$6*INDEX(SolarProfile!$C$4:$CT$39,MATCH(Assumptions!$B$6&amp;"|11",SolarProfile!$A$4:$A$39,0),AH$23+1))</f>
        <v>65.68079999999999</v>
      </c>
      <c r="AI35" s="45">
        <f>MIN($C$5,$C$6*INDEX(SolarProfile!$C$4:$CT$39,MATCH(Assumptions!$B$6&amp;"|11",SolarProfile!$A$4:$A$39,0),AI$23+1))</f>
        <v>86.4972</v>
      </c>
      <c r="AJ35" s="45">
        <f>MIN($C$5,$C$6*INDEX(SolarProfile!$C$4:$CT$39,MATCH(Assumptions!$B$6&amp;"|11",SolarProfile!$A$4:$A$39,0),AJ$23+1))</f>
        <v>108.11850000000001</v>
      </c>
      <c r="AK35" s="45">
        <f>MIN($C$5,$C$6*INDEX(SolarProfile!$C$4:$CT$39,MATCH(Assumptions!$B$6&amp;"|11",SolarProfile!$A$4:$A$39,0),AK$23+1))</f>
        <v>130.197</v>
      </c>
      <c r="AL35" s="45">
        <f>MIN($C$5,$C$6*INDEX(SolarProfile!$C$4:$CT$39,MATCH(Assumptions!$B$6&amp;"|11",SolarProfile!$A$4:$A$39,0),AL$23+1))</f>
        <v>152.421</v>
      </c>
      <c r="AM35" s="45">
        <f>MIN($C$5,$C$6*INDEX(SolarProfile!$C$4:$CT$39,MATCH(Assumptions!$B$6&amp;"|11",SolarProfile!$A$4:$A$39,0),AM$23+1))</f>
        <v>174.5031</v>
      </c>
      <c r="AN35" s="45">
        <f>MIN($C$5,$C$6*INDEX(SolarProfile!$C$4:$CT$39,MATCH(Assumptions!$B$6&amp;"|11",SolarProfile!$A$4:$A$39,0),AN$23+1))</f>
        <v>196.17719999999997</v>
      </c>
      <c r="AO35" s="45">
        <f>MIN($C$5,$C$6*INDEX(SolarProfile!$C$4:$CT$39,MATCH(Assumptions!$B$6&amp;"|11",SolarProfile!$A$4:$A$39,0),AO$23+1))</f>
        <v>217.194</v>
      </c>
      <c r="AP35" s="45">
        <f>MIN($C$5,$C$6*INDEX(SolarProfile!$C$4:$CT$39,MATCH(Assumptions!$B$6&amp;"|11",SolarProfile!$A$4:$A$39,0),AP$23+1))</f>
        <v>237.32070000000002</v>
      </c>
      <c r="AQ35" s="45">
        <f>MIN($C$5,$C$6*INDEX(SolarProfile!$C$4:$CT$39,MATCH(Assumptions!$B$6&amp;"|11",SolarProfile!$A$4:$A$39,0),AQ$23+1))</f>
        <v>256.3407</v>
      </c>
      <c r="AR35" s="45">
        <f>MIN($C$5,$C$6*INDEX(SolarProfile!$C$4:$CT$39,MATCH(Assumptions!$B$6&amp;"|11",SolarProfile!$A$4:$A$39,0),AR$23+1))</f>
        <v>274.0539</v>
      </c>
      <c r="AS35" s="45">
        <f>MIN($C$5,$C$6*INDEX(SolarProfile!$C$4:$CT$39,MATCH(Assumptions!$B$6&amp;"|11",SolarProfile!$A$4:$A$39,0),AS$23+1))</f>
        <v>290.27729999999997</v>
      </c>
      <c r="AT35" s="45">
        <f>MIN($C$5,$C$6*INDEX(SolarProfile!$C$4:$CT$39,MATCH(Assumptions!$B$6&amp;"|11",SolarProfile!$A$4:$A$39,0),AT$23+1))</f>
        <v>300.0</v>
      </c>
      <c r="AU35" s="45">
        <f>MIN($C$5,$C$6*INDEX(SolarProfile!$C$4:$CT$39,MATCH(Assumptions!$B$6&amp;"|11",SolarProfile!$A$4:$A$39,0),AU$23+1))</f>
        <v>300.0</v>
      </c>
      <c r="AV35" s="45">
        <f>MIN($C$5,$C$6*INDEX(SolarProfile!$C$4:$CT$39,MATCH(Assumptions!$B$6&amp;"|11",SolarProfile!$A$4:$A$39,0),AV$23+1))</f>
        <v>300.0</v>
      </c>
      <c r="AW35" s="45">
        <f>MIN($C$5,$C$6*INDEX(SolarProfile!$C$4:$CT$39,MATCH(Assumptions!$B$6&amp;"|11",SolarProfile!$A$4:$A$39,0),AW$23+1))</f>
        <v>300.0</v>
      </c>
      <c r="AX35" s="45">
        <f>MIN($C$5,$C$6*INDEX(SolarProfile!$C$4:$CT$39,MATCH(Assumptions!$B$6&amp;"|11",SolarProfile!$A$4:$A$39,0),AX$23+1))</f>
        <v>300.0</v>
      </c>
      <c r="AY35" s="45">
        <f>MIN($C$5,$C$6*INDEX(SolarProfile!$C$4:$CT$39,MATCH(Assumptions!$B$6&amp;"|11",SolarProfile!$A$4:$A$39,0),AY$23+1))</f>
        <v>300.0</v>
      </c>
      <c r="AZ35" s="45">
        <f>MIN($C$5,$C$6*INDEX(SolarProfile!$C$4:$CT$39,MATCH(Assumptions!$B$6&amp;"|11",SolarProfile!$A$4:$A$39,0),AZ$23+1))</f>
        <v>300.0</v>
      </c>
      <c r="BA35" s="45">
        <f>MIN($C$5,$C$6*INDEX(SolarProfile!$C$4:$CT$39,MATCH(Assumptions!$B$6&amp;"|11",SolarProfile!$A$4:$A$39,0),BA$23+1))</f>
        <v>300.0</v>
      </c>
      <c r="BB35" s="45">
        <f>MIN($C$5,$C$6*INDEX(SolarProfile!$C$4:$CT$39,MATCH(Assumptions!$B$6&amp;"|11",SolarProfile!$A$4:$A$39,0),BB$23+1))</f>
        <v>300.0</v>
      </c>
      <c r="BC35" s="45">
        <f>MIN($C$5,$C$6*INDEX(SolarProfile!$C$4:$CT$39,MATCH(Assumptions!$B$6&amp;"|11",SolarProfile!$A$4:$A$39,0),BC$23+1))</f>
        <v>300.0</v>
      </c>
      <c r="BD35" s="45">
        <f>MIN($C$5,$C$6*INDEX(SolarProfile!$C$4:$CT$39,MATCH(Assumptions!$B$6&amp;"|11",SolarProfile!$A$4:$A$39,0),BD$23+1))</f>
        <v>300.0</v>
      </c>
      <c r="BE35" s="45">
        <f>MIN($C$5,$C$6*INDEX(SolarProfile!$C$4:$CT$39,MATCH(Assumptions!$B$6&amp;"|11",SolarProfile!$A$4:$A$39,0),BE$23+1))</f>
        <v>300.0</v>
      </c>
      <c r="BF35" s="45">
        <f>MIN($C$5,$C$6*INDEX(SolarProfile!$C$4:$CT$39,MATCH(Assumptions!$B$6&amp;"|11",SolarProfile!$A$4:$A$39,0),BF$23+1))</f>
        <v>300.0</v>
      </c>
      <c r="BG35" s="45">
        <f>MIN($C$5,$C$6*INDEX(SolarProfile!$C$4:$CT$39,MATCH(Assumptions!$B$6&amp;"|11",SolarProfile!$A$4:$A$39,0),BG$23+1))</f>
        <v>300.0</v>
      </c>
      <c r="BH35" s="45">
        <f>MIN($C$5,$C$6*INDEX(SolarProfile!$C$4:$CT$39,MATCH(Assumptions!$B$6&amp;"|11",SolarProfile!$A$4:$A$39,0),BH$23+1))</f>
        <v>290.27729999999997</v>
      </c>
      <c r="BI35" s="45">
        <f>MIN($C$5,$C$6*INDEX(SolarProfile!$C$4:$CT$39,MATCH(Assumptions!$B$6&amp;"|11",SolarProfile!$A$4:$A$39,0),BI$23+1))</f>
        <v>274.0539</v>
      </c>
      <c r="BJ35" s="45">
        <f>MIN($C$5,$C$6*INDEX(SolarProfile!$C$4:$CT$39,MATCH(Assumptions!$B$6&amp;"|11",SolarProfile!$A$4:$A$39,0),BJ$23+1))</f>
        <v>256.3407</v>
      </c>
      <c r="BK35" s="45">
        <f>MIN($C$5,$C$6*INDEX(SolarProfile!$C$4:$CT$39,MATCH(Assumptions!$B$6&amp;"|11",SolarProfile!$A$4:$A$39,0),BK$23+1))</f>
        <v>237.32070000000002</v>
      </c>
      <c r="BL35" s="45">
        <f>MIN($C$5,$C$6*INDEX(SolarProfile!$C$4:$CT$39,MATCH(Assumptions!$B$6&amp;"|11",SolarProfile!$A$4:$A$39,0),BL$23+1))</f>
        <v>217.194</v>
      </c>
      <c r="BM35" s="45">
        <f>MIN($C$5,$C$6*INDEX(SolarProfile!$C$4:$CT$39,MATCH(Assumptions!$B$6&amp;"|11",SolarProfile!$A$4:$A$39,0),BM$23+1))</f>
        <v>196.17719999999997</v>
      </c>
      <c r="BN35" s="45">
        <f>MIN($C$5,$C$6*INDEX(SolarProfile!$C$4:$CT$39,MATCH(Assumptions!$B$6&amp;"|11",SolarProfile!$A$4:$A$39,0),BN$23+1))</f>
        <v>174.5031</v>
      </c>
      <c r="BO35" s="45">
        <f>MIN($C$5,$C$6*INDEX(SolarProfile!$C$4:$CT$39,MATCH(Assumptions!$B$6&amp;"|11",SolarProfile!$A$4:$A$39,0),BO$23+1))</f>
        <v>152.421</v>
      </c>
      <c r="BP35" s="45">
        <f>MIN($C$5,$C$6*INDEX(SolarProfile!$C$4:$CT$39,MATCH(Assumptions!$B$6&amp;"|11",SolarProfile!$A$4:$A$39,0),BP$23+1))</f>
        <v>130.197</v>
      </c>
      <c r="BQ35" s="45">
        <f>MIN($C$5,$C$6*INDEX(SolarProfile!$C$4:$CT$39,MATCH(Assumptions!$B$6&amp;"|11",SolarProfile!$A$4:$A$39,0),BQ$23+1))</f>
        <v>108.11850000000001</v>
      </c>
      <c r="BR35" s="45">
        <f>MIN($C$5,$C$6*INDEX(SolarProfile!$C$4:$CT$39,MATCH(Assumptions!$B$6&amp;"|11",SolarProfile!$A$4:$A$39,0),BR$23+1))</f>
        <v>86.4972</v>
      </c>
      <c r="BS35" s="45">
        <f>MIN($C$5,$C$6*INDEX(SolarProfile!$C$4:$CT$39,MATCH(Assumptions!$B$6&amp;"|11",SolarProfile!$A$4:$A$39,0),BS$23+1))</f>
        <v>65.68079999999999</v>
      </c>
      <c r="BT35" s="45">
        <f>MIN($C$5,$C$6*INDEX(SolarProfile!$C$4:$CT$39,MATCH(Assumptions!$B$6&amp;"|11",SolarProfile!$A$4:$A$39,0),BT$23+1))</f>
        <v>46.074</v>
      </c>
      <c r="BU35" s="45">
        <f>MIN($C$5,$C$6*INDEX(SolarProfile!$C$4:$CT$39,MATCH(Assumptions!$B$6&amp;"|11",SolarProfile!$A$4:$A$39,0),BU$23+1))</f>
        <v>28.1859</v>
      </c>
      <c r="BV35" s="45">
        <f>MIN($C$5,$C$6*INDEX(SolarProfile!$C$4:$CT$39,MATCH(Assumptions!$B$6&amp;"|11",SolarProfile!$A$4:$A$39,0),BV$23+1))</f>
        <v>12.764999999999999</v>
      </c>
      <c r="BW35" s="45">
        <f>MIN($C$5,$C$6*INDEX(SolarProfile!$C$4:$CT$39,MATCH(Assumptions!$B$6&amp;"|11",SolarProfile!$A$4:$A$39,0),BW$23+1))</f>
        <v>1.425</v>
      </c>
      <c r="BX35" s="45">
        <f>MIN($C$5,$C$6*INDEX(SolarProfile!$C$4:$CT$39,MATCH(Assumptions!$B$6&amp;"|11",SolarProfile!$A$4:$A$39,0),BX$23+1))</f>
        <v>0.0</v>
      </c>
      <c r="BY35" s="45">
        <f>MIN($C$5,$C$6*INDEX(SolarProfile!$C$4:$CT$39,MATCH(Assumptions!$B$6&amp;"|11",SolarProfile!$A$4:$A$39,0),BY$23+1))</f>
        <v>0.0</v>
      </c>
      <c r="BZ35" s="45">
        <f>MIN($C$5,$C$6*INDEX(SolarProfile!$C$4:$CT$39,MATCH(Assumptions!$B$6&amp;"|11",SolarProfile!$A$4:$A$39,0),BZ$23+1))</f>
        <v>0.0</v>
      </c>
      <c r="CA35" s="45">
        <f>MIN($C$5,$C$6*INDEX(SolarProfile!$C$4:$CT$39,MATCH(Assumptions!$B$6&amp;"|11",SolarProfile!$A$4:$A$39,0),CA$23+1))</f>
        <v>0.0</v>
      </c>
      <c r="CB35" s="45">
        <f>MIN($C$5,$C$6*INDEX(SolarProfile!$C$4:$CT$39,MATCH(Assumptions!$B$6&amp;"|11",SolarProfile!$A$4:$A$39,0),CB$23+1))</f>
        <v>0.0</v>
      </c>
      <c r="CC35" s="45">
        <f>MIN($C$5,$C$6*INDEX(SolarProfile!$C$4:$CT$39,MATCH(Assumptions!$B$6&amp;"|11",SolarProfile!$A$4:$A$39,0),CC$23+1))</f>
        <v>0.0</v>
      </c>
      <c r="CD35" s="45">
        <f>MIN($C$5,$C$6*INDEX(SolarProfile!$C$4:$CT$39,MATCH(Assumptions!$B$6&amp;"|11",SolarProfile!$A$4:$A$39,0),CD$23+1))</f>
        <v>0.0</v>
      </c>
      <c r="CE35" s="45">
        <f>MIN($C$5,$C$6*INDEX(SolarProfile!$C$4:$CT$39,MATCH(Assumptions!$B$6&amp;"|11",SolarProfile!$A$4:$A$39,0),CE$23+1))</f>
        <v>0.0</v>
      </c>
      <c r="CF35" s="45">
        <f>MIN($C$5,$C$6*INDEX(SolarProfile!$C$4:$CT$39,MATCH(Assumptions!$B$6&amp;"|11",SolarProfile!$A$4:$A$39,0),CF$23+1))</f>
        <v>0.0</v>
      </c>
      <c r="CG35" s="45">
        <f>MIN($C$5,$C$6*INDEX(SolarProfile!$C$4:$CT$39,MATCH(Assumptions!$B$6&amp;"|11",SolarProfile!$A$4:$A$39,0),CG$23+1))</f>
        <v>0.0</v>
      </c>
      <c r="CH35" s="45">
        <f>MIN($C$5,$C$6*INDEX(SolarProfile!$C$4:$CT$39,MATCH(Assumptions!$B$6&amp;"|11",SolarProfile!$A$4:$A$39,0),CH$23+1))</f>
        <v>0.0</v>
      </c>
      <c r="CI35" s="45">
        <f>MIN($C$5,$C$6*INDEX(SolarProfile!$C$4:$CT$39,MATCH(Assumptions!$B$6&amp;"|11",SolarProfile!$A$4:$A$39,0),CI$23+1))</f>
        <v>0.0</v>
      </c>
      <c r="CJ35" s="45">
        <f>MIN($C$5,$C$6*INDEX(SolarProfile!$C$4:$CT$39,MATCH(Assumptions!$B$6&amp;"|11",SolarProfile!$A$4:$A$39,0),CJ$23+1))</f>
        <v>0.0</v>
      </c>
      <c r="CK35" s="45">
        <f>MIN($C$5,$C$6*INDEX(SolarProfile!$C$4:$CT$39,MATCH(Assumptions!$B$6&amp;"|11",SolarProfile!$A$4:$A$39,0),CK$23+1))</f>
        <v>0.0</v>
      </c>
      <c r="CL35" s="45">
        <f>MIN($C$5,$C$6*INDEX(SolarProfile!$C$4:$CT$39,MATCH(Assumptions!$B$6&amp;"|11",SolarProfile!$A$4:$A$39,0),CL$23+1))</f>
        <v>0.0</v>
      </c>
      <c r="CM35" s="45">
        <f>MIN($C$5,$C$6*INDEX(SolarProfile!$C$4:$CT$39,MATCH(Assumptions!$B$6&amp;"|11",SolarProfile!$A$4:$A$39,0),CM$23+1))</f>
        <v>0.0</v>
      </c>
      <c r="CN35" s="45">
        <f>MIN($C$5,$C$6*INDEX(SolarProfile!$C$4:$CT$39,MATCH(Assumptions!$B$6&amp;"|11",SolarProfile!$A$4:$A$39,0),CN$23+1))</f>
        <v>0.0</v>
      </c>
      <c r="CO35" s="45">
        <f>MIN($C$5,$C$6*INDEX(SolarProfile!$C$4:$CT$39,MATCH(Assumptions!$B$6&amp;"|11",SolarProfile!$A$4:$A$39,0),CO$23+1))</f>
        <v>0.0</v>
      </c>
      <c r="CP35" s="45">
        <f>MIN($C$5,$C$6*INDEX(SolarProfile!$C$4:$CT$39,MATCH(Assumptions!$B$6&amp;"|11",SolarProfile!$A$4:$A$39,0),CP$23+1))</f>
        <v>0.0</v>
      </c>
      <c r="CQ35" s="45">
        <f>MIN($C$5,$C$6*INDEX(SolarProfile!$C$4:$CT$39,MATCH(Assumptions!$B$6&amp;"|11",SolarProfile!$A$4:$A$39,0),CQ$23+1))</f>
        <v>0.0</v>
      </c>
      <c r="CR35" s="45">
        <f>MIN($C$5,$C$6*INDEX(SolarProfile!$C$4:$CT$39,MATCH(Assumptions!$B$6&amp;"|11",SolarProfile!$A$4:$A$39,0),CR$23+1))</f>
        <v>0.0</v>
      </c>
      <c r="CS35" s="45">
        <f>MIN($C$5,$C$6*INDEX(SolarProfile!$C$4:$CT$39,MATCH(Assumptions!$B$6&amp;"|11",SolarProfile!$A$4:$A$39,0),CS$23+1))</f>
        <v>0.0</v>
      </c>
      <c r="CT35" s="45">
        <f>MIN($C$5,$C$6*INDEX(SolarProfile!$C$4:$CT$39,MATCH(Assumptions!$B$6&amp;"|11",SolarProfile!$A$4:$A$39,0),CT$23+1))</f>
        <v>0.0</v>
      </c>
      <c r="CU35" s="45">
        <f>MIN($C$5,$C$6*INDEX(SolarProfile!$C$4:$CT$39,MATCH(Assumptions!$B$6&amp;"|11",SolarProfile!$A$4:$A$39,0),CU$23+1))</f>
        <v>0.0</v>
      </c>
    </row>
    <row r="36">
      <c r="A36" s="6" t="inlineStr">
        <is>
          <t>Dec</t>
        </is>
      </c>
      <c r="D36" s="45">
        <f>MIN($C$5,$C$6*INDEX(SolarProfile!$C$4:$CT$39,MATCH(Assumptions!$B$6&amp;"|12",SolarProfile!$A$4:$A$39,0),D$23+1))</f>
        <v>0.0</v>
      </c>
      <c r="E36" s="45">
        <f>MIN($C$5,$C$6*INDEX(SolarProfile!$C$4:$CT$39,MATCH(Assumptions!$B$6&amp;"|12",SolarProfile!$A$4:$A$39,0),E$23+1))</f>
        <v>0.0</v>
      </c>
      <c r="F36" s="45">
        <f>MIN($C$5,$C$6*INDEX(SolarProfile!$C$4:$CT$39,MATCH(Assumptions!$B$6&amp;"|12",SolarProfile!$A$4:$A$39,0),F$23+1))</f>
        <v>0.0</v>
      </c>
      <c r="G36" s="45">
        <f>MIN($C$5,$C$6*INDEX(SolarProfile!$C$4:$CT$39,MATCH(Assumptions!$B$6&amp;"|12",SolarProfile!$A$4:$A$39,0),G$23+1))</f>
        <v>0.0</v>
      </c>
      <c r="H36" s="45">
        <f>MIN($C$5,$C$6*INDEX(SolarProfile!$C$4:$CT$39,MATCH(Assumptions!$B$6&amp;"|12",SolarProfile!$A$4:$A$39,0),H$23+1))</f>
        <v>0.0</v>
      </c>
      <c r="I36" s="45">
        <f>MIN($C$5,$C$6*INDEX(SolarProfile!$C$4:$CT$39,MATCH(Assumptions!$B$6&amp;"|12",SolarProfile!$A$4:$A$39,0),I$23+1))</f>
        <v>0.0</v>
      </c>
      <c r="J36" s="45">
        <f>MIN($C$5,$C$6*INDEX(SolarProfile!$C$4:$CT$39,MATCH(Assumptions!$B$6&amp;"|12",SolarProfile!$A$4:$A$39,0),J$23+1))</f>
        <v>0.0</v>
      </c>
      <c r="K36" s="45">
        <f>MIN($C$5,$C$6*INDEX(SolarProfile!$C$4:$CT$39,MATCH(Assumptions!$B$6&amp;"|12",SolarProfile!$A$4:$A$39,0),K$23+1))</f>
        <v>0.0</v>
      </c>
      <c r="L36" s="45">
        <f>MIN($C$5,$C$6*INDEX(SolarProfile!$C$4:$CT$39,MATCH(Assumptions!$B$6&amp;"|12",SolarProfile!$A$4:$A$39,0),L$23+1))</f>
        <v>0.0</v>
      </c>
      <c r="M36" s="45">
        <f>MIN($C$5,$C$6*INDEX(SolarProfile!$C$4:$CT$39,MATCH(Assumptions!$B$6&amp;"|12",SolarProfile!$A$4:$A$39,0),M$23+1))</f>
        <v>0.0</v>
      </c>
      <c r="N36" s="45">
        <f>MIN($C$5,$C$6*INDEX(SolarProfile!$C$4:$CT$39,MATCH(Assumptions!$B$6&amp;"|12",SolarProfile!$A$4:$A$39,0),N$23+1))</f>
        <v>0.0</v>
      </c>
      <c r="O36" s="45">
        <f>MIN($C$5,$C$6*INDEX(SolarProfile!$C$4:$CT$39,MATCH(Assumptions!$B$6&amp;"|12",SolarProfile!$A$4:$A$39,0),O$23+1))</f>
        <v>0.0</v>
      </c>
      <c r="P36" s="45">
        <f>MIN($C$5,$C$6*INDEX(SolarProfile!$C$4:$CT$39,MATCH(Assumptions!$B$6&amp;"|12",SolarProfile!$A$4:$A$39,0),P$23+1))</f>
        <v>0.0</v>
      </c>
      <c r="Q36" s="45">
        <f>MIN($C$5,$C$6*INDEX(SolarProfile!$C$4:$CT$39,MATCH(Assumptions!$B$6&amp;"|12",SolarProfile!$A$4:$A$39,0),Q$23+1))</f>
        <v>0.0</v>
      </c>
      <c r="R36" s="45">
        <f>MIN($C$5,$C$6*INDEX(SolarProfile!$C$4:$CT$39,MATCH(Assumptions!$B$6&amp;"|12",SolarProfile!$A$4:$A$39,0),R$23+1))</f>
        <v>0.0</v>
      </c>
      <c r="S36" s="45">
        <f>MIN($C$5,$C$6*INDEX(SolarProfile!$C$4:$CT$39,MATCH(Assumptions!$B$6&amp;"|12",SolarProfile!$A$4:$A$39,0),S$23+1))</f>
        <v>0.0</v>
      </c>
      <c r="T36" s="45">
        <f>MIN($C$5,$C$6*INDEX(SolarProfile!$C$4:$CT$39,MATCH(Assumptions!$B$6&amp;"|12",SolarProfile!$A$4:$A$39,0),T$23+1))</f>
        <v>0.0</v>
      </c>
      <c r="U36" s="45">
        <f>MIN($C$5,$C$6*INDEX(SolarProfile!$C$4:$CT$39,MATCH(Assumptions!$B$6&amp;"|12",SolarProfile!$A$4:$A$39,0),U$23+1))</f>
        <v>0.0</v>
      </c>
      <c r="V36" s="45">
        <f>MIN($C$5,$C$6*INDEX(SolarProfile!$C$4:$CT$39,MATCH(Assumptions!$B$6&amp;"|12",SolarProfile!$A$4:$A$39,0),V$23+1))</f>
        <v>0.0</v>
      </c>
      <c r="W36" s="45">
        <f>MIN($C$5,$C$6*INDEX(SolarProfile!$C$4:$CT$39,MATCH(Assumptions!$B$6&amp;"|12",SolarProfile!$A$4:$A$39,0),W$23+1))</f>
        <v>0.0</v>
      </c>
      <c r="X36" s="45">
        <f>MIN($C$5,$C$6*INDEX(SolarProfile!$C$4:$CT$39,MATCH(Assumptions!$B$6&amp;"|12",SolarProfile!$A$4:$A$39,0),X$23+1))</f>
        <v>0.0</v>
      </c>
      <c r="Y36" s="45">
        <f>MIN($C$5,$C$6*INDEX(SolarProfile!$C$4:$CT$39,MATCH(Assumptions!$B$6&amp;"|12",SolarProfile!$A$4:$A$39,0),Y$23+1))</f>
        <v>0.0</v>
      </c>
      <c r="Z36" s="45">
        <f>MIN($C$5,$C$6*INDEX(SolarProfile!$C$4:$CT$39,MATCH(Assumptions!$B$6&amp;"|12",SolarProfile!$A$4:$A$39,0),Z$23+1))</f>
        <v>0.0</v>
      </c>
      <c r="AA36" s="45">
        <f>MIN($C$5,$C$6*INDEX(SolarProfile!$C$4:$CT$39,MATCH(Assumptions!$B$6&amp;"|12",SolarProfile!$A$4:$A$39,0),AA$23+1))</f>
        <v>0.0</v>
      </c>
      <c r="AB36" s="45">
        <f>MIN($C$5,$C$6*INDEX(SolarProfile!$C$4:$CT$39,MATCH(Assumptions!$B$6&amp;"|12",SolarProfile!$A$4:$A$39,0),AB$23+1))</f>
        <v>0.0</v>
      </c>
      <c r="AC36" s="45">
        <f>MIN($C$5,$C$6*INDEX(SolarProfile!$C$4:$CT$39,MATCH(Assumptions!$B$6&amp;"|12",SolarProfile!$A$4:$A$39,0),AC$23+1))</f>
        <v>0.0</v>
      </c>
      <c r="AD36" s="45">
        <f>MIN($C$5,$C$6*INDEX(SolarProfile!$C$4:$CT$39,MATCH(Assumptions!$B$6&amp;"|12",SolarProfile!$A$4:$A$39,0),AD$23+1))</f>
        <v>0.0</v>
      </c>
      <c r="AE36" s="45">
        <f>MIN($C$5,$C$6*INDEX(SolarProfile!$C$4:$CT$39,MATCH(Assumptions!$B$6&amp;"|12",SolarProfile!$A$4:$A$39,0),AE$23+1))</f>
        <v>9.5034</v>
      </c>
      <c r="AF36" s="45">
        <f>MIN($C$5,$C$6*INDEX(SolarProfile!$C$4:$CT$39,MATCH(Assumptions!$B$6&amp;"|12",SolarProfile!$A$4:$A$39,0),AF$23+1))</f>
        <v>25.217699999999997</v>
      </c>
      <c r="AG36" s="45">
        <f>MIN($C$5,$C$6*INDEX(SolarProfile!$C$4:$CT$39,MATCH(Assumptions!$B$6&amp;"|12",SolarProfile!$A$4:$A$39,0),AG$23+1))</f>
        <v>43.9773</v>
      </c>
      <c r="AH36" s="45">
        <f>MIN($C$5,$C$6*INDEX(SolarProfile!$C$4:$CT$39,MATCH(Assumptions!$B$6&amp;"|12",SolarProfile!$A$4:$A$39,0),AH$23+1))</f>
        <v>64.809</v>
      </c>
      <c r="AI36" s="45">
        <f>MIN($C$5,$C$6*INDEX(SolarProfile!$C$4:$CT$39,MATCH(Assumptions!$B$6&amp;"|12",SolarProfile!$A$4:$A$39,0),AI$23+1))</f>
        <v>87.09720000000002</v>
      </c>
      <c r="AJ36" s="45">
        <f>MIN($C$5,$C$6*INDEX(SolarProfile!$C$4:$CT$39,MATCH(Assumptions!$B$6&amp;"|12",SolarProfile!$A$4:$A$39,0),AJ$23+1))</f>
        <v>110.3694</v>
      </c>
      <c r="AK36" s="45">
        <f>MIN($C$5,$C$6*INDEX(SolarProfile!$C$4:$CT$39,MATCH(Assumptions!$B$6&amp;"|12",SolarProfile!$A$4:$A$39,0),AK$23+1))</f>
        <v>134.2263</v>
      </c>
      <c r="AL36" s="45">
        <f>MIN($C$5,$C$6*INDEX(SolarProfile!$C$4:$CT$39,MATCH(Assumptions!$B$6&amp;"|12",SolarProfile!$A$4:$A$39,0),AL$23+1))</f>
        <v>158.3127</v>
      </c>
      <c r="AM36" s="45">
        <f>MIN($C$5,$C$6*INDEX(SolarProfile!$C$4:$CT$39,MATCH(Assumptions!$B$6&amp;"|12",SolarProfile!$A$4:$A$39,0),AM$23+1))</f>
        <v>182.3043</v>
      </c>
      <c r="AN36" s="45">
        <f>MIN($C$5,$C$6*INDEX(SolarProfile!$C$4:$CT$39,MATCH(Assumptions!$B$6&amp;"|12",SolarProfile!$A$4:$A$39,0),AN$23+1))</f>
        <v>205.89960000000002</v>
      </c>
      <c r="AO36" s="45">
        <f>MIN($C$5,$C$6*INDEX(SolarProfile!$C$4:$CT$39,MATCH(Assumptions!$B$6&amp;"|12",SolarProfile!$A$4:$A$39,0),AO$23+1))</f>
        <v>228.8184</v>
      </c>
      <c r="AP36" s="45">
        <f>MIN($C$5,$C$6*INDEX(SolarProfile!$C$4:$CT$39,MATCH(Assumptions!$B$6&amp;"|12",SolarProfile!$A$4:$A$39,0),AP$23+1))</f>
        <v>250.7976</v>
      </c>
      <c r="AQ36" s="45">
        <f>MIN($C$5,$C$6*INDEX(SolarProfile!$C$4:$CT$39,MATCH(Assumptions!$B$6&amp;"|12",SolarProfile!$A$4:$A$39,0),AQ$23+1))</f>
        <v>271.5942</v>
      </c>
      <c r="AR36" s="45">
        <f>MIN($C$5,$C$6*INDEX(SolarProfile!$C$4:$CT$39,MATCH(Assumptions!$B$6&amp;"|12",SolarProfile!$A$4:$A$39,0),AR$23+1))</f>
        <v>290.982</v>
      </c>
      <c r="AS36" s="45">
        <f>MIN($C$5,$C$6*INDEX(SolarProfile!$C$4:$CT$39,MATCH(Assumptions!$B$6&amp;"|12",SolarProfile!$A$4:$A$39,0),AS$23+1))</f>
        <v>300.0</v>
      </c>
      <c r="AT36" s="45">
        <f>MIN($C$5,$C$6*INDEX(SolarProfile!$C$4:$CT$39,MATCH(Assumptions!$B$6&amp;"|12",SolarProfile!$A$4:$A$39,0),AT$23+1))</f>
        <v>300.0</v>
      </c>
      <c r="AU36" s="45">
        <f>MIN($C$5,$C$6*INDEX(SolarProfile!$C$4:$CT$39,MATCH(Assumptions!$B$6&amp;"|12",SolarProfile!$A$4:$A$39,0),AU$23+1))</f>
        <v>300.0</v>
      </c>
      <c r="AV36" s="45">
        <f>MIN($C$5,$C$6*INDEX(SolarProfile!$C$4:$CT$39,MATCH(Assumptions!$B$6&amp;"|12",SolarProfile!$A$4:$A$39,0),AV$23+1))</f>
        <v>300.0</v>
      </c>
      <c r="AW36" s="45">
        <f>MIN($C$5,$C$6*INDEX(SolarProfile!$C$4:$CT$39,MATCH(Assumptions!$B$6&amp;"|12",SolarProfile!$A$4:$A$39,0),AW$23+1))</f>
        <v>300.0</v>
      </c>
      <c r="AX36" s="45">
        <f>MIN($C$5,$C$6*INDEX(SolarProfile!$C$4:$CT$39,MATCH(Assumptions!$B$6&amp;"|12",SolarProfile!$A$4:$A$39,0),AX$23+1))</f>
        <v>300.0</v>
      </c>
      <c r="AY36" s="45">
        <f>MIN($C$5,$C$6*INDEX(SolarProfile!$C$4:$CT$39,MATCH(Assumptions!$B$6&amp;"|12",SolarProfile!$A$4:$A$39,0),AY$23+1))</f>
        <v>300.0</v>
      </c>
      <c r="AZ36" s="45">
        <f>MIN($C$5,$C$6*INDEX(SolarProfile!$C$4:$CT$39,MATCH(Assumptions!$B$6&amp;"|12",SolarProfile!$A$4:$A$39,0),AZ$23+1))</f>
        <v>300.0</v>
      </c>
      <c r="BA36" s="45">
        <f>MIN($C$5,$C$6*INDEX(SolarProfile!$C$4:$CT$39,MATCH(Assumptions!$B$6&amp;"|12",SolarProfile!$A$4:$A$39,0),BA$23+1))</f>
        <v>300.0</v>
      </c>
      <c r="BB36" s="45">
        <f>MIN($C$5,$C$6*INDEX(SolarProfile!$C$4:$CT$39,MATCH(Assumptions!$B$6&amp;"|12",SolarProfile!$A$4:$A$39,0),BB$23+1))</f>
        <v>300.0</v>
      </c>
      <c r="BC36" s="45">
        <f>MIN($C$5,$C$6*INDEX(SolarProfile!$C$4:$CT$39,MATCH(Assumptions!$B$6&amp;"|12",SolarProfile!$A$4:$A$39,0),BC$23+1))</f>
        <v>300.0</v>
      </c>
      <c r="BD36" s="45">
        <f>MIN($C$5,$C$6*INDEX(SolarProfile!$C$4:$CT$39,MATCH(Assumptions!$B$6&amp;"|12",SolarProfile!$A$4:$A$39,0),BD$23+1))</f>
        <v>300.0</v>
      </c>
      <c r="BE36" s="45">
        <f>MIN($C$5,$C$6*INDEX(SolarProfile!$C$4:$CT$39,MATCH(Assumptions!$B$6&amp;"|12",SolarProfile!$A$4:$A$39,0),BE$23+1))</f>
        <v>300.0</v>
      </c>
      <c r="BF36" s="45">
        <f>MIN($C$5,$C$6*INDEX(SolarProfile!$C$4:$CT$39,MATCH(Assumptions!$B$6&amp;"|12",SolarProfile!$A$4:$A$39,0),BF$23+1))</f>
        <v>300.0</v>
      </c>
      <c r="BG36" s="45">
        <f>MIN($C$5,$C$6*INDEX(SolarProfile!$C$4:$CT$39,MATCH(Assumptions!$B$6&amp;"|12",SolarProfile!$A$4:$A$39,0),BG$23+1))</f>
        <v>300.0</v>
      </c>
      <c r="BH36" s="45">
        <f>MIN($C$5,$C$6*INDEX(SolarProfile!$C$4:$CT$39,MATCH(Assumptions!$B$6&amp;"|12",SolarProfile!$A$4:$A$39,0),BH$23+1))</f>
        <v>300.0</v>
      </c>
      <c r="BI36" s="45">
        <f>MIN($C$5,$C$6*INDEX(SolarProfile!$C$4:$CT$39,MATCH(Assumptions!$B$6&amp;"|12",SolarProfile!$A$4:$A$39,0),BI$23+1))</f>
        <v>290.982</v>
      </c>
      <c r="BJ36" s="45">
        <f>MIN($C$5,$C$6*INDEX(SolarProfile!$C$4:$CT$39,MATCH(Assumptions!$B$6&amp;"|12",SolarProfile!$A$4:$A$39,0),BJ$23+1))</f>
        <v>271.5942</v>
      </c>
      <c r="BK36" s="45">
        <f>MIN($C$5,$C$6*INDEX(SolarProfile!$C$4:$CT$39,MATCH(Assumptions!$B$6&amp;"|12",SolarProfile!$A$4:$A$39,0),BK$23+1))</f>
        <v>250.7976</v>
      </c>
      <c r="BL36" s="45">
        <f>MIN($C$5,$C$6*INDEX(SolarProfile!$C$4:$CT$39,MATCH(Assumptions!$B$6&amp;"|12",SolarProfile!$A$4:$A$39,0),BL$23+1))</f>
        <v>228.8184</v>
      </c>
      <c r="BM36" s="45">
        <f>MIN($C$5,$C$6*INDEX(SolarProfile!$C$4:$CT$39,MATCH(Assumptions!$B$6&amp;"|12",SolarProfile!$A$4:$A$39,0),BM$23+1))</f>
        <v>205.89960000000002</v>
      </c>
      <c r="BN36" s="45">
        <f>MIN($C$5,$C$6*INDEX(SolarProfile!$C$4:$CT$39,MATCH(Assumptions!$B$6&amp;"|12",SolarProfile!$A$4:$A$39,0),BN$23+1))</f>
        <v>182.3043</v>
      </c>
      <c r="BO36" s="45">
        <f>MIN($C$5,$C$6*INDEX(SolarProfile!$C$4:$CT$39,MATCH(Assumptions!$B$6&amp;"|12",SolarProfile!$A$4:$A$39,0),BO$23+1))</f>
        <v>158.3127</v>
      </c>
      <c r="BP36" s="45">
        <f>MIN($C$5,$C$6*INDEX(SolarProfile!$C$4:$CT$39,MATCH(Assumptions!$B$6&amp;"|12",SolarProfile!$A$4:$A$39,0),BP$23+1))</f>
        <v>134.2263</v>
      </c>
      <c r="BQ36" s="45">
        <f>MIN($C$5,$C$6*INDEX(SolarProfile!$C$4:$CT$39,MATCH(Assumptions!$B$6&amp;"|12",SolarProfile!$A$4:$A$39,0),BQ$23+1))</f>
        <v>110.3694</v>
      </c>
      <c r="BR36" s="45">
        <f>MIN($C$5,$C$6*INDEX(SolarProfile!$C$4:$CT$39,MATCH(Assumptions!$B$6&amp;"|12",SolarProfile!$A$4:$A$39,0),BR$23+1))</f>
        <v>87.09720000000002</v>
      </c>
      <c r="BS36" s="45">
        <f>MIN($C$5,$C$6*INDEX(SolarProfile!$C$4:$CT$39,MATCH(Assumptions!$B$6&amp;"|12",SolarProfile!$A$4:$A$39,0),BS$23+1))</f>
        <v>64.809</v>
      </c>
      <c r="BT36" s="45">
        <f>MIN($C$5,$C$6*INDEX(SolarProfile!$C$4:$CT$39,MATCH(Assumptions!$B$6&amp;"|12",SolarProfile!$A$4:$A$39,0),BT$23+1))</f>
        <v>43.9773</v>
      </c>
      <c r="BU36" s="45">
        <f>MIN($C$5,$C$6*INDEX(SolarProfile!$C$4:$CT$39,MATCH(Assumptions!$B$6&amp;"|12",SolarProfile!$A$4:$A$39,0),BU$23+1))</f>
        <v>25.217699999999997</v>
      </c>
      <c r="BV36" s="45">
        <f>MIN($C$5,$C$6*INDEX(SolarProfile!$C$4:$CT$39,MATCH(Assumptions!$B$6&amp;"|12",SolarProfile!$A$4:$A$39,0),BV$23+1))</f>
        <v>9.5034</v>
      </c>
      <c r="BW36" s="45">
        <f>MIN($C$5,$C$6*INDEX(SolarProfile!$C$4:$CT$39,MATCH(Assumptions!$B$6&amp;"|12",SolarProfile!$A$4:$A$39,0),BW$23+1))</f>
        <v>0.0</v>
      </c>
      <c r="BX36" s="45">
        <f>MIN($C$5,$C$6*INDEX(SolarProfile!$C$4:$CT$39,MATCH(Assumptions!$B$6&amp;"|12",SolarProfile!$A$4:$A$39,0),BX$23+1))</f>
        <v>0.0</v>
      </c>
      <c r="BY36" s="45">
        <f>MIN($C$5,$C$6*INDEX(SolarProfile!$C$4:$CT$39,MATCH(Assumptions!$B$6&amp;"|12",SolarProfile!$A$4:$A$39,0),BY$23+1))</f>
        <v>0.0</v>
      </c>
      <c r="BZ36" s="45">
        <f>MIN($C$5,$C$6*INDEX(SolarProfile!$C$4:$CT$39,MATCH(Assumptions!$B$6&amp;"|12",SolarProfile!$A$4:$A$39,0),BZ$23+1))</f>
        <v>0.0</v>
      </c>
      <c r="CA36" s="45">
        <f>MIN($C$5,$C$6*INDEX(SolarProfile!$C$4:$CT$39,MATCH(Assumptions!$B$6&amp;"|12",SolarProfile!$A$4:$A$39,0),CA$23+1))</f>
        <v>0.0</v>
      </c>
      <c r="CB36" s="45">
        <f>MIN($C$5,$C$6*INDEX(SolarProfile!$C$4:$CT$39,MATCH(Assumptions!$B$6&amp;"|12",SolarProfile!$A$4:$A$39,0),CB$23+1))</f>
        <v>0.0</v>
      </c>
      <c r="CC36" s="45">
        <f>MIN($C$5,$C$6*INDEX(SolarProfile!$C$4:$CT$39,MATCH(Assumptions!$B$6&amp;"|12",SolarProfile!$A$4:$A$39,0),CC$23+1))</f>
        <v>0.0</v>
      </c>
      <c r="CD36" s="45">
        <f>MIN($C$5,$C$6*INDEX(SolarProfile!$C$4:$CT$39,MATCH(Assumptions!$B$6&amp;"|12",SolarProfile!$A$4:$A$39,0),CD$23+1))</f>
        <v>0.0</v>
      </c>
      <c r="CE36" s="45">
        <f>MIN($C$5,$C$6*INDEX(SolarProfile!$C$4:$CT$39,MATCH(Assumptions!$B$6&amp;"|12",SolarProfile!$A$4:$A$39,0),CE$23+1))</f>
        <v>0.0</v>
      </c>
      <c r="CF36" s="45">
        <f>MIN($C$5,$C$6*INDEX(SolarProfile!$C$4:$CT$39,MATCH(Assumptions!$B$6&amp;"|12",SolarProfile!$A$4:$A$39,0),CF$23+1))</f>
        <v>0.0</v>
      </c>
      <c r="CG36" s="45">
        <f>MIN($C$5,$C$6*INDEX(SolarProfile!$C$4:$CT$39,MATCH(Assumptions!$B$6&amp;"|12",SolarProfile!$A$4:$A$39,0),CG$23+1))</f>
        <v>0.0</v>
      </c>
      <c r="CH36" s="45">
        <f>MIN($C$5,$C$6*INDEX(SolarProfile!$C$4:$CT$39,MATCH(Assumptions!$B$6&amp;"|12",SolarProfile!$A$4:$A$39,0),CH$23+1))</f>
        <v>0.0</v>
      </c>
      <c r="CI36" s="45">
        <f>MIN($C$5,$C$6*INDEX(SolarProfile!$C$4:$CT$39,MATCH(Assumptions!$B$6&amp;"|12",SolarProfile!$A$4:$A$39,0),CI$23+1))</f>
        <v>0.0</v>
      </c>
      <c r="CJ36" s="45">
        <f>MIN($C$5,$C$6*INDEX(SolarProfile!$C$4:$CT$39,MATCH(Assumptions!$B$6&amp;"|12",SolarProfile!$A$4:$A$39,0),CJ$23+1))</f>
        <v>0.0</v>
      </c>
      <c r="CK36" s="45">
        <f>MIN($C$5,$C$6*INDEX(SolarProfile!$C$4:$CT$39,MATCH(Assumptions!$B$6&amp;"|12",SolarProfile!$A$4:$A$39,0),CK$23+1))</f>
        <v>0.0</v>
      </c>
      <c r="CL36" s="45">
        <f>MIN($C$5,$C$6*INDEX(SolarProfile!$C$4:$CT$39,MATCH(Assumptions!$B$6&amp;"|12",SolarProfile!$A$4:$A$39,0),CL$23+1))</f>
        <v>0.0</v>
      </c>
      <c r="CM36" s="45">
        <f>MIN($C$5,$C$6*INDEX(SolarProfile!$C$4:$CT$39,MATCH(Assumptions!$B$6&amp;"|12",SolarProfile!$A$4:$A$39,0),CM$23+1))</f>
        <v>0.0</v>
      </c>
      <c r="CN36" s="45">
        <f>MIN($C$5,$C$6*INDEX(SolarProfile!$C$4:$CT$39,MATCH(Assumptions!$B$6&amp;"|12",SolarProfile!$A$4:$A$39,0),CN$23+1))</f>
        <v>0.0</v>
      </c>
      <c r="CO36" s="45">
        <f>MIN($C$5,$C$6*INDEX(SolarProfile!$C$4:$CT$39,MATCH(Assumptions!$B$6&amp;"|12",SolarProfile!$A$4:$A$39,0),CO$23+1))</f>
        <v>0.0</v>
      </c>
      <c r="CP36" s="45">
        <f>MIN($C$5,$C$6*INDEX(SolarProfile!$C$4:$CT$39,MATCH(Assumptions!$B$6&amp;"|12",SolarProfile!$A$4:$A$39,0),CP$23+1))</f>
        <v>0.0</v>
      </c>
      <c r="CQ36" s="45">
        <f>MIN($C$5,$C$6*INDEX(SolarProfile!$C$4:$CT$39,MATCH(Assumptions!$B$6&amp;"|12",SolarProfile!$A$4:$A$39,0),CQ$23+1))</f>
        <v>0.0</v>
      </c>
      <c r="CR36" s="45">
        <f>MIN($C$5,$C$6*INDEX(SolarProfile!$C$4:$CT$39,MATCH(Assumptions!$B$6&amp;"|12",SolarProfile!$A$4:$A$39,0),CR$23+1))</f>
        <v>0.0</v>
      </c>
      <c r="CS36" s="45">
        <f>MIN($C$5,$C$6*INDEX(SolarProfile!$C$4:$CT$39,MATCH(Assumptions!$B$6&amp;"|12",SolarProfile!$A$4:$A$39,0),CS$23+1))</f>
        <v>0.0</v>
      </c>
      <c r="CT36" s="45">
        <f>MIN($C$5,$C$6*INDEX(SolarProfile!$C$4:$CT$39,MATCH(Assumptions!$B$6&amp;"|12",SolarProfile!$A$4:$A$39,0),CT$23+1))</f>
        <v>0.0</v>
      </c>
      <c r="CU36" s="45">
        <f>MIN($C$5,$C$6*INDEX(SolarProfile!$C$4:$CT$39,MATCH(Assumptions!$B$6&amp;"|12",SolarProfile!$A$4:$A$39,0),CU$23+1))</f>
        <v>0.0</v>
      </c>
    </row>
    <row r="38">
      <c r="A38" s="3" t="inlineStr">
        <is>
          <t>Charging and sale by month (year 1, before availability)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>
      <c r="A39" s="52" t="inlineStr">
        <is>
          <t>Month</t>
        </is>
      </c>
      <c r="B39" s="52" t="inlineStr">
        <is>
          <t>Days in data</t>
        </is>
      </c>
      <c r="C39" s="52" t="inlineStr">
        <is>
          <t>Solar outside window, MWh/day</t>
        </is>
      </c>
      <c r="D39" s="52" t="inlineStr">
        <is>
          <t>Charged, MWh/day</t>
        </is>
      </c>
      <c r="E39" s="52" t="inlineStr">
        <is>
          <t>Sale price, ₹/MWh</t>
        </is>
      </c>
      <c r="F39" s="52" t="inlineStr">
        <is>
          <t>Delivered, MWh/day</t>
        </is>
      </c>
      <c r="G39" s="52" t="inlineStr">
        <is>
          <t>Full-charge days</t>
        </is>
      </c>
    </row>
    <row r="40">
      <c r="A40" s="6" t="inlineStr">
        <is>
          <t>Jan</t>
        </is>
      </c>
      <c r="B40" s="9">
        <f>SolarProfile!$B$42</f>
        <v>31.0</v>
      </c>
      <c r="C40" s="27">
        <f>SUMPRODUCT($D$25:$CU$25,1-$D$24:$CU$24)*0.25</f>
        <v>2318.6322</v>
      </c>
      <c r="D40" s="27">
        <f>MIN($C$17,C40)</f>
        <v>680.2027004047208</v>
      </c>
      <c r="E40" s="27">
        <f>IF($C$9=1,Assumptions!$B$95*1000,SUMPRODUCT((PricesMonth!$A$4:$A$39=$C$8&amp;"|1")*(PricesMonth!$C$3:$GL$3&gt;=$C$19)*(PricesMonth!$C$3:$GL$3&lt;$C$19+$C$18)*PricesMonth!$C$4:$GL$39)/$C$18)</f>
        <v>6723.1375</v>
      </c>
      <c r="F40" s="27">
        <f>D40*$C$11*$C$13</f>
        <v>600.0</v>
      </c>
      <c r="G40" s="30">
        <f>IF(D40&gt;=$C$17-0.000001,B40,0)</f>
        <v>31.0</v>
      </c>
    </row>
    <row r="41">
      <c r="A41" s="6" t="inlineStr">
        <is>
          <t>Feb</t>
        </is>
      </c>
      <c r="B41" s="9">
        <f>SolarProfile!$B$43</f>
        <v>28.0</v>
      </c>
      <c r="C41" s="27">
        <f>SUMPRODUCT($D$26:$CU$26,1-$D$24:$CU$24)*0.25</f>
        <v>2470.31865</v>
      </c>
      <c r="D41" s="27">
        <f>MIN($C$17,C41)</f>
        <v>680.2027004047208</v>
      </c>
      <c r="E41" s="27">
        <f>IF($C$9=1,Assumptions!$B$95*1000,SUMPRODUCT((PricesMonth!$A$4:$A$39=$C$8&amp;"|2")*(PricesMonth!$C$3:$GL$3&gt;=$C$19)*(PricesMonth!$C$3:$GL$3&lt;$C$19+$C$18)*PricesMonth!$C$4:$GL$39)/$C$18)</f>
        <v>5658.93625</v>
      </c>
      <c r="F41" s="27">
        <f>D41*$C$11*$C$13</f>
        <v>600.0</v>
      </c>
      <c r="G41" s="30">
        <f>IF(D41&gt;=$C$17-0.000001,B41,0)</f>
        <v>28.0</v>
      </c>
    </row>
    <row r="42">
      <c r="A42" s="6" t="inlineStr">
        <is>
          <t>Mar</t>
        </is>
      </c>
      <c r="B42" s="9">
        <f>SolarProfile!$B$44</f>
        <v>31.0</v>
      </c>
      <c r="C42" s="27">
        <f>SUMPRODUCT($D$27:$CU$27,1-$D$24:$CU$24)*0.25</f>
        <v>2491.98825</v>
      </c>
      <c r="D42" s="27">
        <f>MIN($C$17,C42)</f>
        <v>680.2027004047208</v>
      </c>
      <c r="E42" s="27">
        <f>IF($C$9=1,Assumptions!$B$95*1000,SUMPRODUCT((PricesMonth!$A$4:$A$39=$C$8&amp;"|3")*(PricesMonth!$C$3:$GL$3&gt;=$C$19)*(PricesMonth!$C$3:$GL$3&lt;$C$19+$C$18)*PricesMonth!$C$4:$GL$39)/$C$18)</f>
        <v>7483.1775</v>
      </c>
      <c r="F42" s="27">
        <f>D42*$C$11*$C$13</f>
        <v>600.0</v>
      </c>
      <c r="G42" s="30">
        <f>IF(D42&gt;=$C$17-0.000001,B42,0)</f>
        <v>31.0</v>
      </c>
    </row>
    <row r="43">
      <c r="A43" s="6" t="inlineStr">
        <is>
          <t>Apr</t>
        </is>
      </c>
      <c r="B43" s="9">
        <f>SolarProfile!$B$45</f>
        <v>30.0</v>
      </c>
      <c r="C43" s="27">
        <f>SUMPRODUCT($D$28:$CU$28,1-$D$24:$CU$24)*0.25</f>
        <v>2426.9797500000004</v>
      </c>
      <c r="D43" s="27">
        <f>MIN($C$17,C43)</f>
        <v>680.2027004047208</v>
      </c>
      <c r="E43" s="27">
        <f>IF($C$9=1,Assumptions!$B$95*1000,SUMPRODUCT((PricesMonth!$A$4:$A$39=$C$8&amp;"|4")*(PricesMonth!$C$3:$GL$3&gt;=$C$19)*(PricesMonth!$C$3:$GL$3&lt;$C$19+$C$18)*PricesMonth!$C$4:$GL$39)/$C$18)</f>
        <v>9093.925</v>
      </c>
      <c r="F43" s="27">
        <f>D43*$C$11*$C$13</f>
        <v>600.0</v>
      </c>
      <c r="G43" s="30">
        <f>IF(D43&gt;=$C$17-0.000001,B43,0)</f>
        <v>30.0</v>
      </c>
    </row>
    <row r="44">
      <c r="A44" s="6" t="inlineStr">
        <is>
          <t>May</t>
        </is>
      </c>
      <c r="B44" s="9">
        <f>SolarProfile!$B$46</f>
        <v>31.0</v>
      </c>
      <c r="C44" s="27">
        <f>SUMPRODUCT($D$29:$CU$29,1-$D$24:$CU$24)*0.25</f>
        <v>2275.2936</v>
      </c>
      <c r="D44" s="27">
        <f>MIN($C$17,C44)</f>
        <v>680.2027004047208</v>
      </c>
      <c r="E44" s="27">
        <f>IF($C$9=1,Assumptions!$B$95*1000,SUMPRODUCT((PricesMonth!$A$4:$A$39=$C$8&amp;"|5")*(PricesMonth!$C$3:$GL$3&gt;=$C$19)*(PricesMonth!$C$3:$GL$3&lt;$C$19+$C$18)*PricesMonth!$C$4:$GL$39)/$C$18)</f>
        <v>9248.23625</v>
      </c>
      <c r="F44" s="27">
        <f>D44*$C$11*$C$13</f>
        <v>600.0</v>
      </c>
      <c r="G44" s="30">
        <f>IF(D44&gt;=$C$17-0.000001,B44,0)</f>
        <v>31.0</v>
      </c>
    </row>
    <row r="45">
      <c r="A45" s="6" t="inlineStr">
        <is>
          <t>Jun</t>
        </is>
      </c>
      <c r="B45" s="9">
        <f>SolarProfile!$B$47</f>
        <v>30.0</v>
      </c>
      <c r="C45" s="27">
        <f>SUMPRODUCT($D$30:$CU$30,1-$D$24:$CU$24)*0.25</f>
        <v>1863.5736</v>
      </c>
      <c r="D45" s="27">
        <f>MIN($C$17,C45)</f>
        <v>680.2027004047208</v>
      </c>
      <c r="E45" s="27">
        <f>IF($C$9=1,Assumptions!$B$95*1000,SUMPRODUCT((PricesMonth!$A$4:$A$39=$C$8&amp;"|6")*(PricesMonth!$C$3:$GL$3&gt;=$C$19)*(PricesMonth!$C$3:$GL$3&lt;$C$19+$C$18)*PricesMonth!$C$4:$GL$39)/$C$18)</f>
        <v>9317.13875</v>
      </c>
      <c r="F45" s="27">
        <f>D45*$C$11*$C$13</f>
        <v>600.0</v>
      </c>
      <c r="G45" s="30">
        <f>IF(D45&gt;=$C$17-0.000001,B45,0)</f>
        <v>30.0</v>
      </c>
    </row>
    <row r="46">
      <c r="A46" s="6" t="inlineStr">
        <is>
          <t>Jul</t>
        </is>
      </c>
      <c r="B46" s="9">
        <f>SolarProfile!$B$48</f>
        <v>29.0</v>
      </c>
      <c r="C46" s="27">
        <f>SUMPRODUCT($D$31:$CU$31,1-$D$24:$CU$24)*0.25</f>
        <v>1733.55675</v>
      </c>
      <c r="D46" s="27">
        <f>MIN($C$17,C46)</f>
        <v>680.2027004047208</v>
      </c>
      <c r="E46" s="27">
        <f>IF($C$9=1,Assumptions!$B$95*1000,SUMPRODUCT((PricesMonth!$A$4:$A$39=$C$8&amp;"|7")*(PricesMonth!$C$3:$GL$3&gt;=$C$19)*(PricesMonth!$C$3:$GL$3&lt;$C$19+$C$18)*PricesMonth!$C$4:$GL$39)/$C$18)</f>
        <v>8585.3625</v>
      </c>
      <c r="F46" s="27">
        <f>D46*$C$11*$C$13</f>
        <v>600.0</v>
      </c>
      <c r="G46" s="30">
        <f>IF(D46&gt;=$C$17-0.000001,B46,0)</f>
        <v>29.0</v>
      </c>
    </row>
    <row r="47">
      <c r="A47" s="6" t="inlineStr">
        <is>
          <t>Aug</t>
        </is>
      </c>
      <c r="B47" s="9">
        <f>SolarProfile!$B$49</f>
        <v>29.0</v>
      </c>
      <c r="C47" s="27">
        <f>SUMPRODUCT($D$32:$CU$32,1-$D$24:$CU$24)*0.25</f>
        <v>1820.2347</v>
      </c>
      <c r="D47" s="27">
        <f>MIN($C$17,C47)</f>
        <v>680.2027004047208</v>
      </c>
      <c r="E47" s="27">
        <f>IF($C$9=1,Assumptions!$B$95*1000,SUMPRODUCT((PricesMonth!$A$4:$A$39=$C$8&amp;"|8")*(PricesMonth!$C$3:$GL$3&gt;=$C$19)*(PricesMonth!$C$3:$GL$3&lt;$C$19+$C$18)*PricesMonth!$C$4:$GL$39)/$C$18)</f>
        <v>9540.13</v>
      </c>
      <c r="F47" s="27">
        <f>D47*$C$11*$C$13</f>
        <v>600.0</v>
      </c>
      <c r="G47" s="30">
        <f>IF(D47&gt;=$C$17-0.000001,B47,0)</f>
        <v>29.0</v>
      </c>
    </row>
    <row r="48">
      <c r="A48" s="6" t="inlineStr">
        <is>
          <t>Sep</t>
        </is>
      </c>
      <c r="B48" s="9">
        <f>SolarProfile!$B$50</f>
        <v>34.0</v>
      </c>
      <c r="C48" s="27">
        <f>SUMPRODUCT($D$33:$CU$33,1-$D$24:$CU$24)*0.25</f>
        <v>1993.5903</v>
      </c>
      <c r="D48" s="27">
        <f>MIN($C$17,C48)</f>
        <v>680.2027004047208</v>
      </c>
      <c r="E48" s="27">
        <f>IF($C$9=1,Assumptions!$B$95*1000,SUMPRODUCT((PricesMonth!$A$4:$A$39=$C$8&amp;"|9")*(PricesMonth!$C$3:$GL$3&gt;=$C$19)*(PricesMonth!$C$3:$GL$3&lt;$C$19+$C$18)*PricesMonth!$C$4:$GL$39)/$C$18)</f>
        <v>9678.39875</v>
      </c>
      <c r="F48" s="27">
        <f>D48*$C$11*$C$13</f>
        <v>600.0</v>
      </c>
      <c r="G48" s="30">
        <f>IF(D48&gt;=$C$17-0.000001,B48,0)</f>
        <v>34.0</v>
      </c>
    </row>
    <row r="49">
      <c r="A49" s="6" t="inlineStr">
        <is>
          <t>Oct</t>
        </is>
      </c>
      <c r="B49" s="9">
        <f>SolarProfile!$B$51</f>
        <v>31.0</v>
      </c>
      <c r="C49" s="27">
        <f>SUMPRODUCT($D$34:$CU$34,1-$D$24:$CU$24)*0.25</f>
        <v>2101.9375499999996</v>
      </c>
      <c r="D49" s="27">
        <f>MIN($C$17,C49)</f>
        <v>680.2027004047208</v>
      </c>
      <c r="E49" s="27">
        <f>IF($C$9=1,Assumptions!$B$95*1000,SUMPRODUCT((PricesMonth!$A$4:$A$39=$C$8&amp;"|10")*(PricesMonth!$C$3:$GL$3&gt;=$C$19)*(PricesMonth!$C$3:$GL$3&lt;$C$19+$C$18)*PricesMonth!$C$4:$GL$39)/$C$18)</f>
        <v>6329.01125</v>
      </c>
      <c r="F49" s="27">
        <f>D49*$C$11*$C$13</f>
        <v>600.0</v>
      </c>
      <c r="G49" s="30">
        <f>IF(D49&gt;=$C$17-0.000001,B49,0)</f>
        <v>31.0</v>
      </c>
    </row>
    <row r="50">
      <c r="A50" s="6" t="inlineStr">
        <is>
          <t>Nov</t>
        </is>
      </c>
      <c r="B50" s="9">
        <f>SolarProfile!$B$52</f>
        <v>30.0</v>
      </c>
      <c r="C50" s="27">
        <f>SUMPRODUCT($D$35:$CU$35,1-$D$24:$CU$24)*0.25</f>
        <v>2188.61565</v>
      </c>
      <c r="D50" s="27">
        <f>MIN($C$17,C50)</f>
        <v>680.2027004047208</v>
      </c>
      <c r="E50" s="27">
        <f>IF($C$9=1,Assumptions!$B$95*1000,SUMPRODUCT((PricesMonth!$A$4:$A$39=$C$8&amp;"|11")*(PricesMonth!$C$3:$GL$3&gt;=$C$19)*(PricesMonth!$C$3:$GL$3&lt;$C$19+$C$18)*PricesMonth!$C$4:$GL$39)/$C$18)</f>
        <v>6305.78</v>
      </c>
      <c r="F50" s="27">
        <f>D50*$C$11*$C$13</f>
        <v>600.0</v>
      </c>
      <c r="G50" s="30">
        <f>IF(D50&gt;=$C$17-0.000001,B50,0)</f>
        <v>30.0</v>
      </c>
    </row>
    <row r="51">
      <c r="A51" s="6" t="inlineStr">
        <is>
          <t>Dec</t>
        </is>
      </c>
      <c r="B51" s="9">
        <f>SolarProfile!$B$53</f>
        <v>31.0</v>
      </c>
      <c r="C51" s="27">
        <f>SUMPRODUCT($D$36:$CU$36,1-$D$24:$CU$24)*0.25</f>
        <v>2231.95455</v>
      </c>
      <c r="D51" s="27">
        <f>MIN($C$17,C51)</f>
        <v>680.2027004047208</v>
      </c>
      <c r="E51" s="27">
        <f>IF($C$9=1,Assumptions!$B$95*1000,SUMPRODUCT((PricesMonth!$A$4:$A$39=$C$8&amp;"|12")*(PricesMonth!$C$3:$GL$3&gt;=$C$19)*(PricesMonth!$C$3:$GL$3&lt;$C$19+$C$18)*PricesMonth!$C$4:$GL$39)/$C$18)</f>
        <v>6184.862499999999</v>
      </c>
      <c r="F51" s="27">
        <f>D51*$C$11*$C$13</f>
        <v>600.0</v>
      </c>
      <c r="G51" s="30">
        <f>IF(D51&gt;=$C$17-0.000001,B51,0)</f>
        <v>31.0</v>
      </c>
    </row>
    <row r="53">
      <c r="A53" s="6" t="inlineStr">
        <is>
          <t>Year-1 solar bought</t>
        </is>
      </c>
      <c r="B53" s="2" t="inlineStr">
        <is>
          <t>MWh</t>
        </is>
      </c>
      <c r="C53" s="27">
        <f>SUMPRODUCT($B$40:$B$51,$D$40:$D$51)*Assumptions!$B$41</f>
        <v>245791.24579124586</v>
      </c>
    </row>
    <row r="54">
      <c r="A54" s="6" t="inlineStr">
        <is>
          <t>Year-1 energy sold</t>
        </is>
      </c>
      <c r="B54" s="2" t="inlineStr">
        <is>
          <t>MWh</t>
        </is>
      </c>
      <c r="C54" s="27">
        <f>SUMPRODUCT($B$40:$B$51,$F$40:$F$51)*Assumptions!$B$41</f>
        <v>216810.0</v>
      </c>
    </row>
    <row r="55">
      <c r="A55" s="6" t="inlineStr">
        <is>
          <t>Year-1 sales revenue</t>
        </is>
      </c>
      <c r="B55" s="2" t="inlineStr">
        <is>
          <t>₹ Cr</t>
        </is>
      </c>
      <c r="C55" s="36">
        <f>SUMPRODUCT($B$40:$B$51,$F$40:$F$51,$E$40:$E$51)*Assumptions!$B$41/10000000</f>
        <v>170.45908362449998</v>
      </c>
    </row>
    <row r="56">
      <c r="A56" s="6" t="inlineStr">
        <is>
          <t>Average sale price</t>
        </is>
      </c>
      <c r="B56" s="2" t="inlineStr">
        <is>
          <t>₹ / MWh</t>
        </is>
      </c>
      <c r="C56" s="27">
        <f>IFERROR($C$55*10000000/$C$54,0)</f>
        <v>7862.141212328766</v>
      </c>
    </row>
    <row r="57">
      <c r="A57" s="6" t="inlineStr">
        <is>
          <t>Days the BESS fills completely</t>
        </is>
      </c>
      <c r="B57" s="2" t="inlineStr">
        <is>
          <t>days</t>
        </is>
      </c>
      <c r="C57" s="30">
        <f>SUM($G$40:$G$51)</f>
        <v>365.0</v>
      </c>
    </row>
    <row r="59">
      <c r="A59" s="3" t="inlineStr">
        <is>
          <t>Capex &amp; financing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>
      <c r="A60" s="6" t="inlineStr">
        <is>
          <t>BESS capex</t>
        </is>
      </c>
      <c r="B60" s="2" t="inlineStr">
        <is>
          <t>₹ Cr</t>
        </is>
      </c>
      <c r="C60" s="36">
        <f>$C$16*Assumptions!$B$96</f>
        <v>707.9664173966522</v>
      </c>
    </row>
    <row r="61">
      <c r="A61" s="5" t="inlineStr">
        <is>
          <t>Total capex (no solar capex)</t>
        </is>
      </c>
      <c r="B61" s="2" t="inlineStr">
        <is>
          <t>₹ Cr</t>
        </is>
      </c>
      <c r="C61" s="37">
        <f>$C$60</f>
        <v>707.9664173966522</v>
      </c>
    </row>
    <row r="62">
      <c r="A62" s="6" t="inlineStr">
        <is>
          <t>Debt share</t>
        </is>
      </c>
      <c r="B62" s="2" t="inlineStr">
        <is>
          <t>%</t>
        </is>
      </c>
      <c r="C62" s="31">
        <f>MIN(0.95,MAX(0,Assumptions!$B$58))</f>
        <v>0.7</v>
      </c>
    </row>
    <row r="63">
      <c r="A63" s="5" t="inlineStr">
        <is>
          <t>WACC</t>
        </is>
      </c>
      <c r="B63" s="2" t="inlineStr">
        <is>
          <t>%</t>
        </is>
      </c>
      <c r="C63" s="38">
        <f>(1-$C$62)*Assumptions!$B$61+$C$62*Assumptions!$B$59*(1-Assumptions!$B$52)</f>
        <v>0.09176195000000001</v>
      </c>
    </row>
    <row r="64">
      <c r="A64" s="6" t="inlineStr">
        <is>
          <t>Debt</t>
        </is>
      </c>
      <c r="B64" s="2" t="inlineStr">
        <is>
          <t>₹ Cr</t>
        </is>
      </c>
      <c r="C64" s="36">
        <f>$C$61*$C$62</f>
        <v>495.5764921776565</v>
      </c>
    </row>
    <row r="65">
      <c r="A65" s="6" t="inlineStr">
        <is>
          <t>Equity</t>
        </is>
      </c>
      <c r="B65" s="2" t="inlineStr">
        <is>
          <t>₹ Cr</t>
        </is>
      </c>
      <c r="C65" s="36">
        <f>$C$61-$C$64</f>
        <v>212.3899252189957</v>
      </c>
    </row>
    <row r="66">
      <c r="A66" s="6" t="inlineStr">
        <is>
          <t>Annual principal repayment</t>
        </is>
      </c>
      <c r="B66" s="2" t="inlineStr">
        <is>
          <t>₹ Cr</t>
        </is>
      </c>
      <c r="C66" s="36">
        <f>$C$64/MAX(1,Assumptions!$B$60)</f>
        <v>33.03843281184377</v>
      </c>
    </row>
    <row r="67">
      <c r="A67" s="3" t="inlineStr">
        <is>
          <t>Results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>
      <c r="A68" s="5" t="inlineStr">
        <is>
          <t>Project IRR, post-tax</t>
        </is>
      </c>
      <c r="C68" s="39">
        <f>IFERROR(IRR($D$99:$AC$99),"&lt; 0%")</f>
        <v>0.08875084578873449</v>
      </c>
    </row>
    <row r="69">
      <c r="A69" s="5" t="inlineStr">
        <is>
          <t>Project IRR, pre-tax</t>
        </is>
      </c>
      <c r="C69" s="39">
        <f>IFERROR(IRR($D$98:$AC$98),"&lt; 0%")</f>
        <v>0.11517829931773615</v>
      </c>
    </row>
    <row r="70">
      <c r="A70" s="5" t="inlineStr">
        <is>
          <t>Equity IRR, post-tax</t>
        </is>
      </c>
      <c r="C70" s="39">
        <f>IFERROR(IRR($D$105:$AC$105),"&lt; 0%")</f>
        <v>0.10407867255661274</v>
      </c>
    </row>
    <row r="71">
      <c r="A71" s="5" t="inlineStr">
        <is>
          <t>NPV at WACC, post-tax</t>
        </is>
      </c>
      <c r="C71" s="37">
        <f>$D$99+NPV($C$63,$E$99:$AC$99)</f>
        <v>-16.64688101136585</v>
      </c>
    </row>
    <row r="72">
      <c r="A72" s="5" t="inlineStr">
        <is>
          <t>Payback, post-tax (years)</t>
        </is>
      </c>
      <c r="C72" s="40">
        <f>IF(SUM($E$108:$AC$108)&gt;0,SUM($E$108:$AC$108),"beyond life")</f>
        <v>9.272299413157246</v>
      </c>
    </row>
    <row r="73">
      <c r="A73" s="5" t="inlineStr">
        <is>
          <t>Minimum DSCR</t>
        </is>
      </c>
      <c r="C73" s="41">
        <f>MIN($E$106:$AC$106)</f>
        <v>1.25481157589943</v>
      </c>
    </row>
    <row r="74">
      <c r="A74" s="5" t="inlineStr">
        <is>
          <t>Margin per kWh sold, year 1 (sale − solar)</t>
        </is>
      </c>
      <c r="C74" s="42">
        <f>IFERROR(($C$55-$C$53*$C$10/10000000)*10000000/($C$54*1000),0)</f>
        <v>4.976948091445409</v>
      </c>
    </row>
    <row r="75">
      <c r="A75" s="5" t="inlineStr">
        <is>
          <t>Average sale price, year 1</t>
        </is>
      </c>
      <c r="C75" s="43">
        <f>$C$56/1000</f>
        <v>7.862141212328766</v>
      </c>
    </row>
    <row r="76">
      <c r="A76" s="5" t="inlineStr">
        <is>
          <t>Solar cost per kWh sold</t>
        </is>
      </c>
      <c r="C76" s="43">
        <f>$C$20</f>
        <v>2.885193120883357</v>
      </c>
    </row>
    <row r="79">
      <c r="A79" s="3" t="inlineStr">
        <is>
          <t>Annual projection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>
      <c r="A80" s="5" t="inlineStr">
        <is>
          <t>Year</t>
        </is>
      </c>
      <c r="D80" s="44" t="n">
        <v>0</v>
      </c>
      <c r="E80" s="44" t="n">
        <v>1</v>
      </c>
      <c r="F80" s="44" t="n">
        <v>2</v>
      </c>
      <c r="G80" s="44" t="n">
        <v>3</v>
      </c>
      <c r="H80" s="44" t="n">
        <v>4</v>
      </c>
      <c r="I80" s="44" t="n">
        <v>5</v>
      </c>
      <c r="J80" s="44" t="n">
        <v>6</v>
      </c>
      <c r="K80" s="44" t="n">
        <v>7</v>
      </c>
      <c r="L80" s="44" t="n">
        <v>8</v>
      </c>
      <c r="M80" s="44" t="n">
        <v>9</v>
      </c>
      <c r="N80" s="44" t="n">
        <v>10</v>
      </c>
      <c r="O80" s="44" t="n">
        <v>11</v>
      </c>
      <c r="P80" s="44" t="n">
        <v>12</v>
      </c>
      <c r="Q80" s="44" t="n">
        <v>13</v>
      </c>
      <c r="R80" s="44" t="n">
        <v>14</v>
      </c>
      <c r="S80" s="44" t="n">
        <v>15</v>
      </c>
      <c r="T80" s="44" t="n">
        <v>16</v>
      </c>
      <c r="U80" s="44" t="n">
        <v>17</v>
      </c>
      <c r="V80" s="44" t="n">
        <v>18</v>
      </c>
      <c r="W80" s="44" t="n">
        <v>19</v>
      </c>
      <c r="X80" s="44" t="n">
        <v>20</v>
      </c>
      <c r="Y80" s="44" t="n">
        <v>21</v>
      </c>
      <c r="Z80" s="44" t="n">
        <v>22</v>
      </c>
      <c r="AA80" s="44" t="n">
        <v>23</v>
      </c>
      <c r="AB80" s="44" t="n">
        <v>24</v>
      </c>
      <c r="AC80" s="44" t="n">
        <v>25</v>
      </c>
    </row>
    <row r="81">
      <c r="A81" s="6" t="inlineStr">
        <is>
          <t>In project life (1/0)</t>
        </is>
      </c>
      <c r="B81" s="2" t="inlineStr">
        <is>
          <t>flag</t>
        </is>
      </c>
      <c r="E81" s="30">
        <f>IF(E$80&lt;=Assumptions!$B$51,1,0)</f>
        <v>1.0</v>
      </c>
      <c r="F81" s="30">
        <f>IF(F$80&lt;=Assumptions!$B$51,1,0)</f>
        <v>1.0</v>
      </c>
      <c r="G81" s="30">
        <f>IF(G$80&lt;=Assumptions!$B$51,1,0)</f>
        <v>1.0</v>
      </c>
      <c r="H81" s="30">
        <f>IF(H$80&lt;=Assumptions!$B$51,1,0)</f>
        <v>1.0</v>
      </c>
      <c r="I81" s="30">
        <f>IF(I$80&lt;=Assumptions!$B$51,1,0)</f>
        <v>1.0</v>
      </c>
      <c r="J81" s="30">
        <f>IF(J$80&lt;=Assumptions!$B$51,1,0)</f>
        <v>1.0</v>
      </c>
      <c r="K81" s="30">
        <f>IF(K$80&lt;=Assumptions!$B$51,1,0)</f>
        <v>1.0</v>
      </c>
      <c r="L81" s="30">
        <f>IF(L$80&lt;=Assumptions!$B$51,1,0)</f>
        <v>1.0</v>
      </c>
      <c r="M81" s="30">
        <f>IF(M$80&lt;=Assumptions!$B$51,1,0)</f>
        <v>1.0</v>
      </c>
      <c r="N81" s="30">
        <f>IF(N$80&lt;=Assumptions!$B$51,1,0)</f>
        <v>1.0</v>
      </c>
      <c r="O81" s="30">
        <f>IF(O$80&lt;=Assumptions!$B$51,1,0)</f>
        <v>1.0</v>
      </c>
      <c r="P81" s="30">
        <f>IF(P$80&lt;=Assumptions!$B$51,1,0)</f>
        <v>1.0</v>
      </c>
      <c r="Q81" s="30">
        <f>IF(Q$80&lt;=Assumptions!$B$51,1,0)</f>
        <v>1.0</v>
      </c>
      <c r="R81" s="30">
        <f>IF(R$80&lt;=Assumptions!$B$51,1,0)</f>
        <v>1.0</v>
      </c>
      <c r="S81" s="30">
        <f>IF(S$80&lt;=Assumptions!$B$51,1,0)</f>
        <v>1.0</v>
      </c>
      <c r="T81" s="30">
        <f>IF(T$80&lt;=Assumptions!$B$51,1,0)</f>
        <v>1.0</v>
      </c>
      <c r="U81" s="30">
        <f>IF(U$80&lt;=Assumptions!$B$51,1,0)</f>
        <v>1.0</v>
      </c>
      <c r="V81" s="30">
        <f>IF(V$80&lt;=Assumptions!$B$51,1,0)</f>
        <v>1.0</v>
      </c>
      <c r="W81" s="30">
        <f>IF(W$80&lt;=Assumptions!$B$51,1,0)</f>
        <v>1.0</v>
      </c>
      <c r="X81" s="30">
        <f>IF(X$80&lt;=Assumptions!$B$51,1,0)</f>
        <v>1.0</v>
      </c>
      <c r="Y81" s="30">
        <f>IF(Y$80&lt;=Assumptions!$B$51,1,0)</f>
        <v>1.0</v>
      </c>
      <c r="Z81" s="30">
        <f>IF(Z$80&lt;=Assumptions!$B$51,1,0)</f>
        <v>1.0</v>
      </c>
      <c r="AA81" s="30">
        <f>IF(AA$80&lt;=Assumptions!$B$51,1,0)</f>
        <v>1.0</v>
      </c>
      <c r="AB81" s="30">
        <f>IF(AB$80&lt;=Assumptions!$B$51,1,0)</f>
        <v>1.0</v>
      </c>
      <c r="AC81" s="30">
        <f>IF(AC$80&lt;=Assumptions!$B$51,1,0)</f>
        <v>1.0</v>
      </c>
    </row>
    <row r="82">
      <c r="A82" s="6" t="inlineStr">
        <is>
          <t>Years since augmentation (mid-year)</t>
        </is>
      </c>
      <c r="B82" s="2" t="inlineStr">
        <is>
          <t>years</t>
        </is>
      </c>
      <c r="E82" s="45">
        <f>IF(AND(Assumptions!$B$42&gt;0,E$80&gt;Assumptions!$B$42),E$80-Assumptions!$B$42-0.5,E$80-0.5)</f>
        <v>0.5</v>
      </c>
      <c r="F82" s="45">
        <f>IF(AND(Assumptions!$B$42&gt;0,F$80&gt;Assumptions!$B$42),F$80-Assumptions!$B$42-0.5,F$80-0.5)</f>
        <v>1.5</v>
      </c>
      <c r="G82" s="45">
        <f>IF(AND(Assumptions!$B$42&gt;0,G$80&gt;Assumptions!$B$42),G$80-Assumptions!$B$42-0.5,G$80-0.5)</f>
        <v>2.5</v>
      </c>
      <c r="H82" s="45">
        <f>IF(AND(Assumptions!$B$42&gt;0,H$80&gt;Assumptions!$B$42),H$80-Assumptions!$B$42-0.5,H$80-0.5)</f>
        <v>3.5</v>
      </c>
      <c r="I82" s="45">
        <f>IF(AND(Assumptions!$B$42&gt;0,I$80&gt;Assumptions!$B$42),I$80-Assumptions!$B$42-0.5,I$80-0.5)</f>
        <v>4.5</v>
      </c>
      <c r="J82" s="45">
        <f>IF(AND(Assumptions!$B$42&gt;0,J$80&gt;Assumptions!$B$42),J$80-Assumptions!$B$42-0.5,J$80-0.5)</f>
        <v>5.5</v>
      </c>
      <c r="K82" s="45">
        <f>IF(AND(Assumptions!$B$42&gt;0,K$80&gt;Assumptions!$B$42),K$80-Assumptions!$B$42-0.5,K$80-0.5)</f>
        <v>6.5</v>
      </c>
      <c r="L82" s="45">
        <f>IF(AND(Assumptions!$B$42&gt;0,L$80&gt;Assumptions!$B$42),L$80-Assumptions!$B$42-0.5,L$80-0.5)</f>
        <v>7.5</v>
      </c>
      <c r="M82" s="45">
        <f>IF(AND(Assumptions!$B$42&gt;0,M$80&gt;Assumptions!$B$42),M$80-Assumptions!$B$42-0.5,M$80-0.5)</f>
        <v>8.5</v>
      </c>
      <c r="N82" s="45">
        <f>IF(AND(Assumptions!$B$42&gt;0,N$80&gt;Assumptions!$B$42),N$80-Assumptions!$B$42-0.5,N$80-0.5)</f>
        <v>9.5</v>
      </c>
      <c r="O82" s="45">
        <f>IF(AND(Assumptions!$B$42&gt;0,O$80&gt;Assumptions!$B$42),O$80-Assumptions!$B$42-0.5,O$80-0.5)</f>
        <v>10.5</v>
      </c>
      <c r="P82" s="45">
        <f>IF(AND(Assumptions!$B$42&gt;0,P$80&gt;Assumptions!$B$42),P$80-Assumptions!$B$42-0.5,P$80-0.5)</f>
        <v>11.5</v>
      </c>
      <c r="Q82" s="45">
        <f>IF(AND(Assumptions!$B$42&gt;0,Q$80&gt;Assumptions!$B$42),Q$80-Assumptions!$B$42-0.5,Q$80-0.5)</f>
        <v>0.5</v>
      </c>
      <c r="R82" s="45">
        <f>IF(AND(Assumptions!$B$42&gt;0,R$80&gt;Assumptions!$B$42),R$80-Assumptions!$B$42-0.5,R$80-0.5)</f>
        <v>1.5</v>
      </c>
      <c r="S82" s="45">
        <f>IF(AND(Assumptions!$B$42&gt;0,S$80&gt;Assumptions!$B$42),S$80-Assumptions!$B$42-0.5,S$80-0.5)</f>
        <v>2.5</v>
      </c>
      <c r="T82" s="45">
        <f>IF(AND(Assumptions!$B$42&gt;0,T$80&gt;Assumptions!$B$42),T$80-Assumptions!$B$42-0.5,T$80-0.5)</f>
        <v>3.5</v>
      </c>
      <c r="U82" s="45">
        <f>IF(AND(Assumptions!$B$42&gt;0,U$80&gt;Assumptions!$B$42),U$80-Assumptions!$B$42-0.5,U$80-0.5)</f>
        <v>4.5</v>
      </c>
      <c r="V82" s="45">
        <f>IF(AND(Assumptions!$B$42&gt;0,V$80&gt;Assumptions!$B$42),V$80-Assumptions!$B$42-0.5,V$80-0.5)</f>
        <v>5.5</v>
      </c>
      <c r="W82" s="45">
        <f>IF(AND(Assumptions!$B$42&gt;0,W$80&gt;Assumptions!$B$42),W$80-Assumptions!$B$42-0.5,W$80-0.5)</f>
        <v>6.5</v>
      </c>
      <c r="X82" s="45">
        <f>IF(AND(Assumptions!$B$42&gt;0,X$80&gt;Assumptions!$B$42),X$80-Assumptions!$B$42-0.5,X$80-0.5)</f>
        <v>7.5</v>
      </c>
      <c r="Y82" s="45">
        <f>IF(AND(Assumptions!$B$42&gt;0,Y$80&gt;Assumptions!$B$42),Y$80-Assumptions!$B$42-0.5,Y$80-0.5)</f>
        <v>8.5</v>
      </c>
      <c r="Z82" s="45">
        <f>IF(AND(Assumptions!$B$42&gt;0,Z$80&gt;Assumptions!$B$42),Z$80-Assumptions!$B$42-0.5,Z$80-0.5)</f>
        <v>9.5</v>
      </c>
      <c r="AA82" s="45">
        <f>IF(AND(Assumptions!$B$42&gt;0,AA$80&gt;Assumptions!$B$42),AA$80-Assumptions!$B$42-0.5,AA$80-0.5)</f>
        <v>10.5</v>
      </c>
      <c r="AB82" s="45">
        <f>IF(AND(Assumptions!$B$42&gt;0,AB$80&gt;Assumptions!$B$42),AB$80-Assumptions!$B$42-0.5,AB$80-0.5)</f>
        <v>11.5</v>
      </c>
      <c r="AC82" s="45">
        <f>IF(AND(Assumptions!$B$42&gt;0,AC$80&gt;Assumptions!$B$42),AC$80-Assumptions!$B$42-0.5,AC$80-0.5)</f>
        <v>12.5</v>
      </c>
    </row>
    <row r="83">
      <c r="A83" s="6" t="inlineStr">
        <is>
          <t>BESS capacity, % of nameplate</t>
        </is>
      </c>
      <c r="B83" s="2" t="inlineStr">
        <is>
          <t>%</t>
        </is>
      </c>
      <c r="E83" s="31">
        <f>MAX(0.4,1-Assumptions!$B$37*E$82)</f>
        <v>0.9925</v>
      </c>
      <c r="F83" s="31">
        <f>MAX(0.4,1-Assumptions!$B$37*F$82)</f>
        <v>0.9775</v>
      </c>
      <c r="G83" s="31">
        <f>MAX(0.4,1-Assumptions!$B$37*G$82)</f>
        <v>0.9625</v>
      </c>
      <c r="H83" s="31">
        <f>MAX(0.4,1-Assumptions!$B$37*H$82)</f>
        <v>0.9475</v>
      </c>
      <c r="I83" s="31">
        <f>MAX(0.4,1-Assumptions!$B$37*I$82)</f>
        <v>0.9325</v>
      </c>
      <c r="J83" s="31">
        <f>MAX(0.4,1-Assumptions!$B$37*J$82)</f>
        <v>0.9175</v>
      </c>
      <c r="K83" s="31">
        <f>MAX(0.4,1-Assumptions!$B$37*K$82)</f>
        <v>0.9025</v>
      </c>
      <c r="L83" s="31">
        <f>MAX(0.4,1-Assumptions!$B$37*L$82)</f>
        <v>0.8875</v>
      </c>
      <c r="M83" s="31">
        <f>MAX(0.4,1-Assumptions!$B$37*M$82)</f>
        <v>0.8725</v>
      </c>
      <c r="N83" s="31">
        <f>MAX(0.4,1-Assumptions!$B$37*N$82)</f>
        <v>0.8575</v>
      </c>
      <c r="O83" s="31">
        <f>MAX(0.4,1-Assumptions!$B$37*O$82)</f>
        <v>0.8425</v>
      </c>
      <c r="P83" s="31">
        <f>MAX(0.4,1-Assumptions!$B$37*P$82)</f>
        <v>0.8275</v>
      </c>
      <c r="Q83" s="31">
        <f>MAX(0.4,1-Assumptions!$B$37*Q$82)</f>
        <v>0.9925</v>
      </c>
      <c r="R83" s="31">
        <f>MAX(0.4,1-Assumptions!$B$37*R$82)</f>
        <v>0.9775</v>
      </c>
      <c r="S83" s="31">
        <f>MAX(0.4,1-Assumptions!$B$37*S$82)</f>
        <v>0.9625</v>
      </c>
      <c r="T83" s="31">
        <f>MAX(0.4,1-Assumptions!$B$37*T$82)</f>
        <v>0.9475</v>
      </c>
      <c r="U83" s="31">
        <f>MAX(0.4,1-Assumptions!$B$37*U$82)</f>
        <v>0.9325</v>
      </c>
      <c r="V83" s="31">
        <f>MAX(0.4,1-Assumptions!$B$37*V$82)</f>
        <v>0.9175</v>
      </c>
      <c r="W83" s="31">
        <f>MAX(0.4,1-Assumptions!$B$37*W$82)</f>
        <v>0.9025</v>
      </c>
      <c r="X83" s="31">
        <f>MAX(0.4,1-Assumptions!$B$37*X$82)</f>
        <v>0.8875</v>
      </c>
      <c r="Y83" s="31">
        <f>MAX(0.4,1-Assumptions!$B$37*Y$82)</f>
        <v>0.8725</v>
      </c>
      <c r="Z83" s="31">
        <f>MAX(0.4,1-Assumptions!$B$37*Z$82)</f>
        <v>0.8575</v>
      </c>
      <c r="AA83" s="31">
        <f>MAX(0.4,1-Assumptions!$B$37*AA$82)</f>
        <v>0.8425</v>
      </c>
      <c r="AB83" s="31">
        <f>MAX(0.4,1-Assumptions!$B$37*AB$82)</f>
        <v>0.8275</v>
      </c>
      <c r="AC83" s="31">
        <f>MAX(0.4,1-Assumptions!$B$37*AC$82)</f>
        <v>0.8125</v>
      </c>
    </row>
    <row r="84">
      <c r="A84" s="6" t="inlineStr">
        <is>
          <t>Energy factor vs year 1</t>
        </is>
      </c>
      <c r="B84" s="2" t="inlineStr">
        <is>
          <t>x</t>
        </is>
      </c>
      <c r="E84" s="46">
        <f>E$83/$C$12</f>
        <v>1.0</v>
      </c>
      <c r="F84" s="46">
        <f>F$83/$C$12</f>
        <v>0.9848866498740554</v>
      </c>
      <c r="G84" s="46">
        <f>G$83/$C$12</f>
        <v>0.9697732997481108</v>
      </c>
      <c r="H84" s="46">
        <f>H$83/$C$12</f>
        <v>0.9546599496221662</v>
      </c>
      <c r="I84" s="46">
        <f>I$83/$C$12</f>
        <v>0.9395465994962217</v>
      </c>
      <c r="J84" s="46">
        <f>J$83/$C$12</f>
        <v>0.924433249370277</v>
      </c>
      <c r="K84" s="46">
        <f>K$83/$C$12</f>
        <v>0.9093198992443324</v>
      </c>
      <c r="L84" s="46">
        <f>L$83/$C$12</f>
        <v>0.8942065491183878</v>
      </c>
      <c r="M84" s="46">
        <f>M$83/$C$12</f>
        <v>0.8790931989924433</v>
      </c>
      <c r="N84" s="46">
        <f>N$83/$C$12</f>
        <v>0.8639798488664987</v>
      </c>
      <c r="O84" s="46">
        <f>O$83/$C$12</f>
        <v>0.8488664987405541</v>
      </c>
      <c r="P84" s="46">
        <f>P$83/$C$12</f>
        <v>0.8337531486146096</v>
      </c>
      <c r="Q84" s="46">
        <f>Q$83/$C$12</f>
        <v>1.0</v>
      </c>
      <c r="R84" s="46">
        <f>R$83/$C$12</f>
        <v>0.9848866498740554</v>
      </c>
      <c r="S84" s="46">
        <f>S$83/$C$12</f>
        <v>0.9697732997481108</v>
      </c>
      <c r="T84" s="46">
        <f>T$83/$C$12</f>
        <v>0.9546599496221662</v>
      </c>
      <c r="U84" s="46">
        <f>U$83/$C$12</f>
        <v>0.9395465994962217</v>
      </c>
      <c r="V84" s="46">
        <f>V$83/$C$12</f>
        <v>0.924433249370277</v>
      </c>
      <c r="W84" s="46">
        <f>W$83/$C$12</f>
        <v>0.9093198992443324</v>
      </c>
      <c r="X84" s="46">
        <f>X$83/$C$12</f>
        <v>0.8942065491183878</v>
      </c>
      <c r="Y84" s="46">
        <f>Y$83/$C$12</f>
        <v>0.8790931989924433</v>
      </c>
      <c r="Z84" s="46">
        <f>Z$83/$C$12</f>
        <v>0.8639798488664987</v>
      </c>
      <c r="AA84" s="46">
        <f>AA$83/$C$12</f>
        <v>0.8488664987405541</v>
      </c>
      <c r="AB84" s="46">
        <f>AB$83/$C$12</f>
        <v>0.8337531486146096</v>
      </c>
      <c r="AC84" s="46">
        <f>AC$83/$C$12</f>
        <v>0.818639798488665</v>
      </c>
    </row>
    <row r="85">
      <c r="A85" s="6" t="inlineStr">
        <is>
          <t>IEX price escalation index (not applied to Flexible)</t>
        </is>
      </c>
      <c r="B85" s="2" t="inlineStr">
        <is>
          <t>x</t>
        </is>
      </c>
      <c r="E85" s="46">
        <f>IF($C$9=1,1,(1+Assumptions!$B$53)^(E$80-1))</f>
        <v>1.0</v>
      </c>
      <c r="F85" s="46">
        <f>IF($C$9=1,1,(1+Assumptions!$B$53)^(F$80-1))</f>
        <v>1.0</v>
      </c>
      <c r="G85" s="46">
        <f>IF($C$9=1,1,(1+Assumptions!$B$53)^(G$80-1))</f>
        <v>1.0</v>
      </c>
      <c r="H85" s="46">
        <f>IF($C$9=1,1,(1+Assumptions!$B$53)^(H$80-1))</f>
        <v>1.0</v>
      </c>
      <c r="I85" s="46">
        <f>IF($C$9=1,1,(1+Assumptions!$B$53)^(I$80-1))</f>
        <v>1.0</v>
      </c>
      <c r="J85" s="46">
        <f>IF($C$9=1,1,(1+Assumptions!$B$53)^(J$80-1))</f>
        <v>1.0</v>
      </c>
      <c r="K85" s="46">
        <f>IF($C$9=1,1,(1+Assumptions!$B$53)^(K$80-1))</f>
        <v>1.0</v>
      </c>
      <c r="L85" s="46">
        <f>IF($C$9=1,1,(1+Assumptions!$B$53)^(L$80-1))</f>
        <v>1.0</v>
      </c>
      <c r="M85" s="46">
        <f>IF($C$9=1,1,(1+Assumptions!$B$53)^(M$80-1))</f>
        <v>1.0</v>
      </c>
      <c r="N85" s="46">
        <f>IF($C$9=1,1,(1+Assumptions!$B$53)^(N$80-1))</f>
        <v>1.0</v>
      </c>
      <c r="O85" s="46">
        <f>IF($C$9=1,1,(1+Assumptions!$B$53)^(O$80-1))</f>
        <v>1.0</v>
      </c>
      <c r="P85" s="46">
        <f>IF($C$9=1,1,(1+Assumptions!$B$53)^(P$80-1))</f>
        <v>1.0</v>
      </c>
      <c r="Q85" s="46">
        <f>IF($C$9=1,1,(1+Assumptions!$B$53)^(Q$80-1))</f>
        <v>1.0</v>
      </c>
      <c r="R85" s="46">
        <f>IF($C$9=1,1,(1+Assumptions!$B$53)^(R$80-1))</f>
        <v>1.0</v>
      </c>
      <c r="S85" s="46">
        <f>IF($C$9=1,1,(1+Assumptions!$B$53)^(S$80-1))</f>
        <v>1.0</v>
      </c>
      <c r="T85" s="46">
        <f>IF($C$9=1,1,(1+Assumptions!$B$53)^(T$80-1))</f>
        <v>1.0</v>
      </c>
      <c r="U85" s="46">
        <f>IF($C$9=1,1,(1+Assumptions!$B$53)^(U$80-1))</f>
        <v>1.0</v>
      </c>
      <c r="V85" s="46">
        <f>IF($C$9=1,1,(1+Assumptions!$B$53)^(V$80-1))</f>
        <v>1.0</v>
      </c>
      <c r="W85" s="46">
        <f>IF($C$9=1,1,(1+Assumptions!$B$53)^(W$80-1))</f>
        <v>1.0</v>
      </c>
      <c r="X85" s="46">
        <f>IF($C$9=1,1,(1+Assumptions!$B$53)^(X$80-1))</f>
        <v>1.0</v>
      </c>
      <c r="Y85" s="46">
        <f>IF($C$9=1,1,(1+Assumptions!$B$53)^(Y$80-1))</f>
        <v>1.0</v>
      </c>
      <c r="Z85" s="46">
        <f>IF($C$9=1,1,(1+Assumptions!$B$53)^(Z$80-1))</f>
        <v>1.0</v>
      </c>
      <c r="AA85" s="46">
        <f>IF($C$9=1,1,(1+Assumptions!$B$53)^(AA$80-1))</f>
        <v>1.0</v>
      </c>
      <c r="AB85" s="46">
        <f>IF($C$9=1,1,(1+Assumptions!$B$53)^(AB$80-1))</f>
        <v>1.0</v>
      </c>
      <c r="AC85" s="46">
        <f>IF($C$9=1,1,(1+Assumptions!$B$53)^(AC$80-1))</f>
        <v>1.0</v>
      </c>
    </row>
    <row r="86">
      <c r="A86" s="6" t="inlineStr">
        <is>
          <t>O&amp;M escalation index</t>
        </is>
      </c>
      <c r="B86" s="2" t="inlineStr">
        <is>
          <t>x</t>
        </is>
      </c>
      <c r="E86" s="46">
        <f>(1+Assumptions!$B$56)^(E$80-1)</f>
        <v>1.0</v>
      </c>
      <c r="F86" s="46">
        <f>(1+Assumptions!$B$56)^(F$80-1)</f>
        <v>1.03</v>
      </c>
      <c r="G86" s="46">
        <f>(1+Assumptions!$B$56)^(G$80-1)</f>
        <v>1.0609</v>
      </c>
      <c r="H86" s="46">
        <f>(1+Assumptions!$B$56)^(H$80-1)</f>
        <v>1.092727</v>
      </c>
      <c r="I86" s="46">
        <f>(1+Assumptions!$B$56)^(I$80-1)</f>
        <v>1.1255088100000001</v>
      </c>
      <c r="J86" s="46">
        <f>(1+Assumptions!$B$56)^(J$80-1)</f>
        <v>1.1592740743</v>
      </c>
      <c r="K86" s="46">
        <f>(1+Assumptions!$B$56)^(K$80-1)</f>
        <v>1.1940522965290001</v>
      </c>
      <c r="L86" s="46">
        <f>(1+Assumptions!$B$56)^(L$80-1)</f>
        <v>1.2298738654248702</v>
      </c>
      <c r="M86" s="46">
        <f>(1+Assumptions!$B$56)^(M$80-1)</f>
        <v>1.2667700813876164</v>
      </c>
      <c r="N86" s="46">
        <f>(1+Assumptions!$B$56)^(N$80-1)</f>
        <v>1.304773183829245</v>
      </c>
      <c r="O86" s="46">
        <f>(1+Assumptions!$B$56)^(O$80-1)</f>
        <v>1.3439163793441222</v>
      </c>
      <c r="P86" s="46">
        <f>(1+Assumptions!$B$56)^(P$80-1)</f>
        <v>1.384233870724446</v>
      </c>
      <c r="Q86" s="46">
        <f>(1+Assumptions!$B$56)^(Q$80-1)</f>
        <v>1.4257608868461793</v>
      </c>
      <c r="R86" s="46">
        <f>(1+Assumptions!$B$56)^(R$80-1)</f>
        <v>1.4685337134515648</v>
      </c>
      <c r="S86" s="46">
        <f>(1+Assumptions!$B$56)^(S$80-1)</f>
        <v>1.512589724855112</v>
      </c>
      <c r="T86" s="46">
        <f>(1+Assumptions!$B$56)^(T$80-1)</f>
        <v>1.557967416600765</v>
      </c>
      <c r="U86" s="46">
        <f>(1+Assumptions!$B$56)^(U$80-1)</f>
        <v>1.6047064390987882</v>
      </c>
      <c r="V86" s="46">
        <f>(1+Assumptions!$B$56)^(V$80-1)</f>
        <v>1.6528476322717518</v>
      </c>
      <c r="W86" s="46">
        <f>(1+Assumptions!$B$56)^(W$80-1)</f>
        <v>1.7024330612399046</v>
      </c>
      <c r="X86" s="46">
        <f>(1+Assumptions!$B$56)^(X$80-1)</f>
        <v>1.7535060530771016</v>
      </c>
      <c r="Y86" s="46">
        <f>(1+Assumptions!$B$56)^(Y$80-1)</f>
        <v>1.8061112346694148</v>
      </c>
      <c r="Z86" s="46">
        <f>(1+Assumptions!$B$56)^(Z$80-1)</f>
        <v>1.8602945717094972</v>
      </c>
      <c r="AA86" s="46">
        <f>(1+Assumptions!$B$56)^(AA$80-1)</f>
        <v>1.9161034088607822</v>
      </c>
      <c r="AB86" s="46">
        <f>(1+Assumptions!$B$56)^(AB$80-1)</f>
        <v>1.9735865111266058</v>
      </c>
      <c r="AC86" s="46">
        <f>(1+Assumptions!$B$56)^(AC$80-1)</f>
        <v>2.032794106460404</v>
      </c>
    </row>
    <row r="87">
      <c r="A87" s="6" t="inlineStr">
        <is>
          <t>Energy sold</t>
        </is>
      </c>
      <c r="B87" s="2" t="inlineStr">
        <is>
          <t>MWh</t>
        </is>
      </c>
      <c r="E87" s="27">
        <f>E$81*$C$54*E$84</f>
        <v>216810.0</v>
      </c>
      <c r="F87" s="27">
        <f>F$81*$C$54*F$84</f>
        <v>213533.27455919396</v>
      </c>
      <c r="G87" s="27">
        <f>G$81*$C$54*G$84</f>
        <v>210256.5491183879</v>
      </c>
      <c r="H87" s="27">
        <f>H$81*$C$54*H$84</f>
        <v>206979.82367758185</v>
      </c>
      <c r="I87" s="27">
        <f>I$81*$C$54*I$84</f>
        <v>203703.0982367758</v>
      </c>
      <c r="J87" s="27">
        <f>J$81*$C$54*J$84</f>
        <v>200426.37279596977</v>
      </c>
      <c r="K87" s="27">
        <f>K$81*$C$54*K$84</f>
        <v>197149.6473551637</v>
      </c>
      <c r="L87" s="27">
        <f>L$81*$C$54*L$84</f>
        <v>193872.92191435766</v>
      </c>
      <c r="M87" s="27">
        <f>M$81*$C$54*M$84</f>
        <v>190596.19647355162</v>
      </c>
      <c r="N87" s="27">
        <f>N$81*$C$54*N$84</f>
        <v>187319.47103274558</v>
      </c>
      <c r="O87" s="27">
        <f>O$81*$C$54*O$84</f>
        <v>184042.74559193954</v>
      </c>
      <c r="P87" s="27">
        <f>P$81*$C$54*P$84</f>
        <v>180766.0201511335</v>
      </c>
      <c r="Q87" s="27">
        <f>Q$81*$C$54*Q$84</f>
        <v>216810.0</v>
      </c>
      <c r="R87" s="27">
        <f>R$81*$C$54*R$84</f>
        <v>213533.27455919396</v>
      </c>
      <c r="S87" s="27">
        <f>S$81*$C$54*S$84</f>
        <v>210256.5491183879</v>
      </c>
      <c r="T87" s="27">
        <f>T$81*$C$54*T$84</f>
        <v>206979.82367758185</v>
      </c>
      <c r="U87" s="27">
        <f>U$81*$C$54*U$84</f>
        <v>203703.0982367758</v>
      </c>
      <c r="V87" s="27">
        <f>V$81*$C$54*V$84</f>
        <v>200426.37279596977</v>
      </c>
      <c r="W87" s="27">
        <f>W$81*$C$54*W$84</f>
        <v>197149.6473551637</v>
      </c>
      <c r="X87" s="27">
        <f>X$81*$C$54*X$84</f>
        <v>193872.92191435766</v>
      </c>
      <c r="Y87" s="27">
        <f>Y$81*$C$54*Y$84</f>
        <v>190596.19647355162</v>
      </c>
      <c r="Z87" s="27">
        <f>Z$81*$C$54*Z$84</f>
        <v>187319.47103274558</v>
      </c>
      <c r="AA87" s="27">
        <f>AA$81*$C$54*AA$84</f>
        <v>184042.74559193954</v>
      </c>
      <c r="AB87" s="27">
        <f>AB$81*$C$54*AB$84</f>
        <v>180766.0201511335</v>
      </c>
      <c r="AC87" s="27">
        <f>AC$81*$C$54*AC$84</f>
        <v>177489.29471032746</v>
      </c>
    </row>
    <row r="88">
      <c r="A88" s="6" t="inlineStr">
        <is>
          <t>Solar bought</t>
        </is>
      </c>
      <c r="B88" s="2" t="inlineStr">
        <is>
          <t>MWh</t>
        </is>
      </c>
      <c r="E88" s="27">
        <f>E$81*$C$53*E$84</f>
        <v>245791.24579124586</v>
      </c>
      <c r="F88" s="27">
        <f>F$81*$C$53*F$84</f>
        <v>242076.51663571066</v>
      </c>
      <c r="G88" s="27">
        <f>G$81*$C$53*G$84</f>
        <v>238361.78748017544</v>
      </c>
      <c r="H88" s="27">
        <f>H$81*$C$53*H$84</f>
        <v>234647.05832464024</v>
      </c>
      <c r="I88" s="27">
        <f>I$81*$C$53*I$84</f>
        <v>230932.32916910504</v>
      </c>
      <c r="J88" s="27">
        <f>J$81*$C$53*J$84</f>
        <v>227217.60001356984</v>
      </c>
      <c r="K88" s="27">
        <f>K$81*$C$53*K$84</f>
        <v>223502.87085803464</v>
      </c>
      <c r="L88" s="27">
        <f>L$81*$C$53*L$84</f>
        <v>219788.14170249942</v>
      </c>
      <c r="M88" s="27">
        <f>M$81*$C$53*M$84</f>
        <v>216073.41254696425</v>
      </c>
      <c r="N88" s="27">
        <f>N$81*$C$53*N$84</f>
        <v>212358.68339142905</v>
      </c>
      <c r="O88" s="27">
        <f>O$81*$C$53*O$84</f>
        <v>208643.95423589382</v>
      </c>
      <c r="P88" s="27">
        <f>P$81*$C$53*P$84</f>
        <v>204929.22508035865</v>
      </c>
      <c r="Q88" s="27">
        <f>Q$81*$C$53*Q$84</f>
        <v>245791.24579124586</v>
      </c>
      <c r="R88" s="27">
        <f>R$81*$C$53*R$84</f>
        <v>242076.51663571066</v>
      </c>
      <c r="S88" s="27">
        <f>S$81*$C$53*S$84</f>
        <v>238361.78748017544</v>
      </c>
      <c r="T88" s="27">
        <f>T$81*$C$53*T$84</f>
        <v>234647.05832464024</v>
      </c>
      <c r="U88" s="27">
        <f>U$81*$C$53*U$84</f>
        <v>230932.32916910504</v>
      </c>
      <c r="V88" s="27">
        <f>V$81*$C$53*V$84</f>
        <v>227217.60001356984</v>
      </c>
      <c r="W88" s="27">
        <f>W$81*$C$53*W$84</f>
        <v>223502.87085803464</v>
      </c>
      <c r="X88" s="27">
        <f>X$81*$C$53*X$84</f>
        <v>219788.14170249942</v>
      </c>
      <c r="Y88" s="27">
        <f>Y$81*$C$53*Y$84</f>
        <v>216073.41254696425</v>
      </c>
      <c r="Z88" s="27">
        <f>Z$81*$C$53*Z$84</f>
        <v>212358.68339142905</v>
      </c>
      <c r="AA88" s="27">
        <f>AA$81*$C$53*AA$84</f>
        <v>208643.95423589382</v>
      </c>
      <c r="AB88" s="27">
        <f>AB$81*$C$53*AB$84</f>
        <v>204929.22508035865</v>
      </c>
      <c r="AC88" s="27">
        <f>AC$81*$C$53*AC$84</f>
        <v>201214.49592482342</v>
      </c>
    </row>
    <row r="89">
      <c r="A89" s="5" t="inlineStr">
        <is>
          <t>Revenue from BESS sales</t>
        </is>
      </c>
      <c r="B89" s="2" t="inlineStr">
        <is>
          <t>₹ Cr</t>
        </is>
      </c>
      <c r="E89" s="47">
        <f>E$81*$C$55*E$84*E$85</f>
        <v>170.45908362449998</v>
      </c>
      <c r="F89" s="47">
        <f>F$81*$C$55*F$84*F$85</f>
        <v>167.88287581153523</v>
      </c>
      <c r="G89" s="47">
        <f>G$81*$C$55*G$84*G$85</f>
        <v>165.3066679985705</v>
      </c>
      <c r="H89" s="47">
        <f>H$81*$C$55*H$84*H$85</f>
        <v>162.73046018560575</v>
      </c>
      <c r="I89" s="47">
        <f>I$81*$C$55*I$84*I$85</f>
        <v>160.15425237264105</v>
      </c>
      <c r="J89" s="47">
        <f>J$81*$C$55*J$84*J$85</f>
        <v>157.5780445596763</v>
      </c>
      <c r="K89" s="47">
        <f>K$81*$C$55*K$84*K$85</f>
        <v>155.00183674671155</v>
      </c>
      <c r="L89" s="47">
        <f>L$81*$C$55*L$84*L$85</f>
        <v>152.42562893374682</v>
      </c>
      <c r="M89" s="47">
        <f>M$81*$C$55*M$84*M$85</f>
        <v>149.8494211207821</v>
      </c>
      <c r="N89" s="47">
        <f>N$81*$C$55*N$84*N$85</f>
        <v>147.27321330781737</v>
      </c>
      <c r="O89" s="47">
        <f>O$81*$C$55*O$84*O$85</f>
        <v>144.69700549485262</v>
      </c>
      <c r="P89" s="47">
        <f>P$81*$C$55*P$84*P$85</f>
        <v>142.1207976818879</v>
      </c>
      <c r="Q89" s="47">
        <f>Q$81*$C$55*Q$84*Q$85</f>
        <v>170.45908362449998</v>
      </c>
      <c r="R89" s="47">
        <f>R$81*$C$55*R$84*R$85</f>
        <v>167.88287581153523</v>
      </c>
      <c r="S89" s="47">
        <f>S$81*$C$55*S$84*S$85</f>
        <v>165.3066679985705</v>
      </c>
      <c r="T89" s="47">
        <f>T$81*$C$55*T$84*T$85</f>
        <v>162.73046018560575</v>
      </c>
      <c r="U89" s="47">
        <f>U$81*$C$55*U$84*U$85</f>
        <v>160.15425237264105</v>
      </c>
      <c r="V89" s="47">
        <f>V$81*$C$55*V$84*V$85</f>
        <v>157.5780445596763</v>
      </c>
      <c r="W89" s="47">
        <f>W$81*$C$55*W$84*W$85</f>
        <v>155.00183674671155</v>
      </c>
      <c r="X89" s="47">
        <f>X$81*$C$55*X$84*X$85</f>
        <v>152.42562893374682</v>
      </c>
      <c r="Y89" s="47">
        <f>Y$81*$C$55*Y$84*Y$85</f>
        <v>149.8494211207821</v>
      </c>
      <c r="Z89" s="47">
        <f>Z$81*$C$55*Z$84*Z$85</f>
        <v>147.27321330781737</v>
      </c>
      <c r="AA89" s="47">
        <f>AA$81*$C$55*AA$84*AA$85</f>
        <v>144.69700549485262</v>
      </c>
      <c r="AB89" s="47">
        <f>AB$81*$C$55*AB$84*AB$85</f>
        <v>142.1207976818879</v>
      </c>
      <c r="AC89" s="47">
        <f>AC$81*$C$55*AC$84*AC$85</f>
        <v>139.54458986892317</v>
      </c>
    </row>
    <row r="90">
      <c r="A90" s="6" t="inlineStr">
        <is>
          <t>Solar purchase at the fixed tariff</t>
        </is>
      </c>
      <c r="B90" s="2" t="inlineStr">
        <is>
          <t>₹ Cr</t>
        </is>
      </c>
      <c r="E90" s="36">
        <f>E$88*$C$10/10000000</f>
        <v>62.55387205387207</v>
      </c>
      <c r="F90" s="36">
        <f>F$88*$C$10/10000000</f>
        <v>61.60847348378836</v>
      </c>
      <c r="G90" s="36">
        <f>G$88*$C$10/10000000</f>
        <v>60.66307491370465</v>
      </c>
      <c r="H90" s="36">
        <f>H$88*$C$10/10000000</f>
        <v>59.717676343620944</v>
      </c>
      <c r="I90" s="36">
        <f>I$88*$C$10/10000000</f>
        <v>58.77227777353723</v>
      </c>
      <c r="J90" s="36">
        <f>J$88*$C$10/10000000</f>
        <v>57.82687920345353</v>
      </c>
      <c r="K90" s="36">
        <f>K$88*$C$10/10000000</f>
        <v>56.88148063336982</v>
      </c>
      <c r="L90" s="36">
        <f>L$88*$C$10/10000000</f>
        <v>55.9360820632861</v>
      </c>
      <c r="M90" s="36">
        <f>M$88*$C$10/10000000</f>
        <v>54.9906834932024</v>
      </c>
      <c r="N90" s="36">
        <f>N$88*$C$10/10000000</f>
        <v>54.045284923118686</v>
      </c>
      <c r="O90" s="36">
        <f>O$88*$C$10/10000000</f>
        <v>53.09988635303498</v>
      </c>
      <c r="P90" s="36">
        <f>P$88*$C$10/10000000</f>
        <v>52.15448778295128</v>
      </c>
      <c r="Q90" s="36">
        <f>Q$88*$C$10/10000000</f>
        <v>62.55387205387207</v>
      </c>
      <c r="R90" s="36">
        <f>R$88*$C$10/10000000</f>
        <v>61.60847348378836</v>
      </c>
      <c r="S90" s="36">
        <f>S$88*$C$10/10000000</f>
        <v>60.66307491370465</v>
      </c>
      <c r="T90" s="36">
        <f>T$88*$C$10/10000000</f>
        <v>59.717676343620944</v>
      </c>
      <c r="U90" s="36">
        <f>U$88*$C$10/10000000</f>
        <v>58.77227777353723</v>
      </c>
      <c r="V90" s="36">
        <f>V$88*$C$10/10000000</f>
        <v>57.82687920345353</v>
      </c>
      <c r="W90" s="36">
        <f>W$88*$C$10/10000000</f>
        <v>56.88148063336982</v>
      </c>
      <c r="X90" s="36">
        <f>X$88*$C$10/10000000</f>
        <v>55.9360820632861</v>
      </c>
      <c r="Y90" s="36">
        <f>Y$88*$C$10/10000000</f>
        <v>54.9906834932024</v>
      </c>
      <c r="Z90" s="36">
        <f>Z$88*$C$10/10000000</f>
        <v>54.045284923118686</v>
      </c>
      <c r="AA90" s="36">
        <f>AA$88*$C$10/10000000</f>
        <v>53.09988635303498</v>
      </c>
      <c r="AB90" s="36">
        <f>AB$88*$C$10/10000000</f>
        <v>52.15448778295128</v>
      </c>
      <c r="AC90" s="36">
        <f>AC$88*$C$10/10000000</f>
        <v>51.20908921286756</v>
      </c>
    </row>
    <row r="91">
      <c r="A91" s="6" t="inlineStr">
        <is>
          <t>IEX transaction fee (none for Flexible)</t>
        </is>
      </c>
      <c r="B91" s="2" t="inlineStr">
        <is>
          <t>₹ Cr</t>
        </is>
      </c>
      <c r="E91" s="36">
        <f>(1-$C$9)*E$87*Assumptions!$B$48/10000000</f>
        <v>0.325215</v>
      </c>
      <c r="F91" s="36">
        <f>(1-$C$9)*F$87*Assumptions!$B$48/10000000</f>
        <v>0.320299911838791</v>
      </c>
      <c r="G91" s="36">
        <f>(1-$C$9)*G$87*Assumptions!$B$48/10000000</f>
        <v>0.3153848236775818</v>
      </c>
      <c r="H91" s="36">
        <f>(1-$C$9)*H$87*Assumptions!$B$48/10000000</f>
        <v>0.3104697355163728</v>
      </c>
      <c r="I91" s="36">
        <f>(1-$C$9)*I$87*Assumptions!$B$48/10000000</f>
        <v>0.3055546473551637</v>
      </c>
      <c r="J91" s="36">
        <f>(1-$C$9)*J$87*Assumptions!$B$48/10000000</f>
        <v>0.3006395591939547</v>
      </c>
      <c r="K91" s="36">
        <f>(1-$C$9)*K$87*Assumptions!$B$48/10000000</f>
        <v>0.2957244710327456</v>
      </c>
      <c r="L91" s="36">
        <f>(1-$C$9)*L$87*Assumptions!$B$48/10000000</f>
        <v>0.2908093828715365</v>
      </c>
      <c r="M91" s="36">
        <f>(1-$C$9)*M$87*Assumptions!$B$48/10000000</f>
        <v>0.28589429471032746</v>
      </c>
      <c r="N91" s="36">
        <f>(1-$C$9)*N$87*Assumptions!$B$48/10000000</f>
        <v>0.28097920654911834</v>
      </c>
      <c r="O91" s="36">
        <f>(1-$C$9)*O$87*Assumptions!$B$48/10000000</f>
        <v>0.27606411838790934</v>
      </c>
      <c r="P91" s="36">
        <f>(1-$C$9)*P$87*Assumptions!$B$48/10000000</f>
        <v>0.2711490302267002</v>
      </c>
      <c r="Q91" s="36">
        <f>(1-$C$9)*Q$87*Assumptions!$B$48/10000000</f>
        <v>0.325215</v>
      </c>
      <c r="R91" s="36">
        <f>(1-$C$9)*R$87*Assumptions!$B$48/10000000</f>
        <v>0.320299911838791</v>
      </c>
      <c r="S91" s="36">
        <f>(1-$C$9)*S$87*Assumptions!$B$48/10000000</f>
        <v>0.3153848236775818</v>
      </c>
      <c r="T91" s="36">
        <f>(1-$C$9)*T$87*Assumptions!$B$48/10000000</f>
        <v>0.3104697355163728</v>
      </c>
      <c r="U91" s="36">
        <f>(1-$C$9)*U$87*Assumptions!$B$48/10000000</f>
        <v>0.3055546473551637</v>
      </c>
      <c r="V91" s="36">
        <f>(1-$C$9)*V$87*Assumptions!$B$48/10000000</f>
        <v>0.3006395591939547</v>
      </c>
      <c r="W91" s="36">
        <f>(1-$C$9)*W$87*Assumptions!$B$48/10000000</f>
        <v>0.2957244710327456</v>
      </c>
      <c r="X91" s="36">
        <f>(1-$C$9)*X$87*Assumptions!$B$48/10000000</f>
        <v>0.2908093828715365</v>
      </c>
      <c r="Y91" s="36">
        <f>(1-$C$9)*Y$87*Assumptions!$B$48/10000000</f>
        <v>0.28589429471032746</v>
      </c>
      <c r="Z91" s="36">
        <f>(1-$C$9)*Z$87*Assumptions!$B$48/10000000</f>
        <v>0.28097920654911834</v>
      </c>
      <c r="AA91" s="36">
        <f>(1-$C$9)*AA$87*Assumptions!$B$48/10000000</f>
        <v>0.27606411838790934</v>
      </c>
      <c r="AB91" s="36">
        <f>(1-$C$9)*AB$87*Assumptions!$B$48/10000000</f>
        <v>0.2711490302267002</v>
      </c>
      <c r="AC91" s="36">
        <f>(1-$C$9)*AC$87*Assumptions!$B$48/10000000</f>
        <v>0.2662339420654912</v>
      </c>
    </row>
    <row r="92">
      <c r="A92" s="6" t="inlineStr">
        <is>
          <t>BESS O&amp;M</t>
        </is>
      </c>
      <c r="B92" s="2" t="inlineStr">
        <is>
          <t>₹ Cr</t>
        </is>
      </c>
      <c r="E92" s="36">
        <f>E$81*$C$60*Assumptions!$B$55*E$86</f>
        <v>3.539832086983261</v>
      </c>
      <c r="F92" s="36">
        <f>F$81*$C$60*Assumptions!$B$55*F$86</f>
        <v>3.646027049592759</v>
      </c>
      <c r="G92" s="36">
        <f>G$81*$C$60*Assumptions!$B$55*G$86</f>
        <v>3.7554078610805415</v>
      </c>
      <c r="H92" s="36">
        <f>H$81*$C$60*Assumptions!$B$55*H$86</f>
        <v>3.868070096912958</v>
      </c>
      <c r="I92" s="36">
        <f>I$81*$C$60*Assumptions!$B$55*I$86</f>
        <v>3.984112199820347</v>
      </c>
      <c r="J92" s="36">
        <f>J$81*$C$60*Assumptions!$B$55*J$86</f>
        <v>4.103635565814957</v>
      </c>
      <c r="K92" s="36">
        <f>K$81*$C$60*Assumptions!$B$55*K$86</f>
        <v>4.226744632789407</v>
      </c>
      <c r="L92" s="36">
        <f>L$81*$C$60*Assumptions!$B$55*L$86</f>
        <v>4.353546971773088</v>
      </c>
      <c r="M92" s="36">
        <f>M$81*$C$60*Assumptions!$B$55*M$86</f>
        <v>4.484153380926282</v>
      </c>
      <c r="N92" s="36">
        <f>N$81*$C$60*Assumptions!$B$55*N$86</f>
        <v>4.61867798235407</v>
      </c>
      <c r="O92" s="36">
        <f>O$81*$C$60*Assumptions!$B$55*O$86</f>
        <v>4.757238321824692</v>
      </c>
      <c r="P92" s="36">
        <f>P$81*$C$60*Assumptions!$B$55*P$86</f>
        <v>4.899955471479433</v>
      </c>
      <c r="Q92" s="36">
        <f>Q$81*$C$60*Assumptions!$B$55*Q$86</f>
        <v>5.046954135623816</v>
      </c>
      <c r="R92" s="36">
        <f>R$81*$C$60*Assumptions!$B$55*R$86</f>
        <v>5.198362759692531</v>
      </c>
      <c r="S92" s="36">
        <f>S$81*$C$60*Assumptions!$B$55*S$86</f>
        <v>5.354313642483308</v>
      </c>
      <c r="T92" s="36">
        <f>T$81*$C$60*Assumptions!$B$55*T$86</f>
        <v>5.514943051757806</v>
      </c>
      <c r="U92" s="36">
        <f>U$81*$C$60*Assumptions!$B$55*U$86</f>
        <v>5.680391343310541</v>
      </c>
      <c r="V92" s="36">
        <f>V$81*$C$60*Assumptions!$B$55*V$86</f>
        <v>5.850803083609857</v>
      </c>
      <c r="W92" s="36">
        <f>W$81*$C$60*Assumptions!$B$55*W$86</f>
        <v>6.026327176118153</v>
      </c>
      <c r="X92" s="36">
        <f>X$81*$C$60*Assumptions!$B$55*X$86</f>
        <v>6.207116991401698</v>
      </c>
      <c r="Y92" s="36">
        <f>Y$81*$C$60*Assumptions!$B$55*Y$86</f>
        <v>6.393330501143749</v>
      </c>
      <c r="Z92" s="36">
        <f>Z$81*$C$60*Assumptions!$B$55*Z$86</f>
        <v>6.585130416178061</v>
      </c>
      <c r="AA92" s="36">
        <f>AA$81*$C$60*Assumptions!$B$55*AA$86</f>
        <v>6.782684328663404</v>
      </c>
      <c r="AB92" s="36">
        <f>AB$81*$C$60*Assumptions!$B$55*AB$86</f>
        <v>6.986164858523306</v>
      </c>
      <c r="AC92" s="36">
        <f>AC$81*$C$60*Assumptions!$B$55*AC$86</f>
        <v>7.195749804279005</v>
      </c>
    </row>
    <row r="93">
      <c r="A93" s="6" t="inlineStr">
        <is>
          <t>Equity-funded cost</t>
        </is>
      </c>
      <c r="B93" s="2" t="inlineStr">
        <is>
          <t>₹ Cr</t>
        </is>
      </c>
      <c r="E93" s="36">
        <f>E$81*IF(AND(Assumptions!$B$21=1,E$80&lt;=Assumptions!$B$23),Assumptions!$B$22,0)</f>
        <v>20.0</v>
      </c>
      <c r="F93" s="36">
        <f>F$81*IF(AND(Assumptions!$B$21=1,F$80&lt;=Assumptions!$B$23),Assumptions!$B$22,0)</f>
        <v>20.0</v>
      </c>
      <c r="G93" s="36">
        <f>G$81*IF(AND(Assumptions!$B$21=1,G$80&lt;=Assumptions!$B$23),Assumptions!$B$22,0)</f>
        <v>0.0</v>
      </c>
      <c r="H93" s="36">
        <f>H$81*IF(AND(Assumptions!$B$21=1,H$80&lt;=Assumptions!$B$23),Assumptions!$B$22,0)</f>
        <v>0.0</v>
      </c>
      <c r="I93" s="36">
        <f>I$81*IF(AND(Assumptions!$B$21=1,I$80&lt;=Assumptions!$B$23),Assumptions!$B$22,0)</f>
        <v>0.0</v>
      </c>
      <c r="J93" s="36">
        <f>J$81*IF(AND(Assumptions!$B$21=1,J$80&lt;=Assumptions!$B$23),Assumptions!$B$22,0)</f>
        <v>0.0</v>
      </c>
      <c r="K93" s="36">
        <f>K$81*IF(AND(Assumptions!$B$21=1,K$80&lt;=Assumptions!$B$23),Assumptions!$B$22,0)</f>
        <v>0.0</v>
      </c>
      <c r="L93" s="36">
        <f>L$81*IF(AND(Assumptions!$B$21=1,L$80&lt;=Assumptions!$B$23),Assumptions!$B$22,0)</f>
        <v>0.0</v>
      </c>
      <c r="M93" s="36">
        <f>M$81*IF(AND(Assumptions!$B$21=1,M$80&lt;=Assumptions!$B$23),Assumptions!$B$22,0)</f>
        <v>0.0</v>
      </c>
      <c r="N93" s="36">
        <f>N$81*IF(AND(Assumptions!$B$21=1,N$80&lt;=Assumptions!$B$23),Assumptions!$B$22,0)</f>
        <v>0.0</v>
      </c>
      <c r="O93" s="36">
        <f>O$81*IF(AND(Assumptions!$B$21=1,O$80&lt;=Assumptions!$B$23),Assumptions!$B$22,0)</f>
        <v>0.0</v>
      </c>
      <c r="P93" s="36">
        <f>P$81*IF(AND(Assumptions!$B$21=1,P$80&lt;=Assumptions!$B$23),Assumptions!$B$22,0)</f>
        <v>0.0</v>
      </c>
      <c r="Q93" s="36">
        <f>Q$81*IF(AND(Assumptions!$B$21=1,Q$80&lt;=Assumptions!$B$23),Assumptions!$B$22,0)</f>
        <v>0.0</v>
      </c>
      <c r="R93" s="36">
        <f>R$81*IF(AND(Assumptions!$B$21=1,R$80&lt;=Assumptions!$B$23),Assumptions!$B$22,0)</f>
        <v>0.0</v>
      </c>
      <c r="S93" s="36">
        <f>S$81*IF(AND(Assumptions!$B$21=1,S$80&lt;=Assumptions!$B$23),Assumptions!$B$22,0)</f>
        <v>0.0</v>
      </c>
      <c r="T93" s="36">
        <f>T$81*IF(AND(Assumptions!$B$21=1,T$80&lt;=Assumptions!$B$23),Assumptions!$B$22,0)</f>
        <v>0.0</v>
      </c>
      <c r="U93" s="36">
        <f>U$81*IF(AND(Assumptions!$B$21=1,U$80&lt;=Assumptions!$B$23),Assumptions!$B$22,0)</f>
        <v>0.0</v>
      </c>
      <c r="V93" s="36">
        <f>V$81*IF(AND(Assumptions!$B$21=1,V$80&lt;=Assumptions!$B$23),Assumptions!$B$22,0)</f>
        <v>0.0</v>
      </c>
      <c r="W93" s="36">
        <f>W$81*IF(AND(Assumptions!$B$21=1,W$80&lt;=Assumptions!$B$23),Assumptions!$B$22,0)</f>
        <v>0.0</v>
      </c>
      <c r="X93" s="36">
        <f>X$81*IF(AND(Assumptions!$B$21=1,X$80&lt;=Assumptions!$B$23),Assumptions!$B$22,0)</f>
        <v>0.0</v>
      </c>
      <c r="Y93" s="36">
        <f>Y$81*IF(AND(Assumptions!$B$21=1,Y$80&lt;=Assumptions!$B$23),Assumptions!$B$22,0)</f>
        <v>0.0</v>
      </c>
      <c r="Z93" s="36">
        <f>Z$81*IF(AND(Assumptions!$B$21=1,Z$80&lt;=Assumptions!$B$23),Assumptions!$B$22,0)</f>
        <v>0.0</v>
      </c>
      <c r="AA93" s="36">
        <f>AA$81*IF(AND(Assumptions!$B$21=1,AA$80&lt;=Assumptions!$B$23),Assumptions!$B$22,0)</f>
        <v>0.0</v>
      </c>
      <c r="AB93" s="36">
        <f>AB$81*IF(AND(Assumptions!$B$21=1,AB$80&lt;=Assumptions!$B$23),Assumptions!$B$22,0)</f>
        <v>0.0</v>
      </c>
      <c r="AC93" s="36">
        <f>AC$81*IF(AND(Assumptions!$B$21=1,AC$80&lt;=Assumptions!$B$23),Assumptions!$B$22,0)</f>
        <v>0.0</v>
      </c>
    </row>
    <row r="94">
      <c r="A94" s="5" t="inlineStr">
        <is>
          <t>EBITDA</t>
        </is>
      </c>
      <c r="B94" s="2" t="inlineStr">
        <is>
          <t>₹ Cr</t>
        </is>
      </c>
      <c r="E94" s="47">
        <f>E$89-E$90-E$91-E$92-E$93</f>
        <v>84.04016448364465</v>
      </c>
      <c r="F94" s="47">
        <f>F$89-F$90-F$91-F$92-F$93</f>
        <v>82.30807536631532</v>
      </c>
      <c r="G94" s="47">
        <f>G$89-G$90-G$91-G$92-G$93</f>
        <v>100.57280040010774</v>
      </c>
      <c r="H94" s="47">
        <f>H$89-H$90-H$91-H$92-H$93</f>
        <v>98.83424400955546</v>
      </c>
      <c r="I94" s="47">
        <f>I$89-I$90-I$91-I$92-I$93</f>
        <v>97.0923077519283</v>
      </c>
      <c r="J94" s="47">
        <f>J$89-J$90-J$91-J$92-J$93</f>
        <v>95.34689023121386</v>
      </c>
      <c r="K94" s="47">
        <f>K$89-K$90-K$91-K$92-K$93</f>
        <v>93.59788700951958</v>
      </c>
      <c r="L94" s="47">
        <f>L$89-L$90-L$91-L$92-L$93</f>
        <v>91.8451905158161</v>
      </c>
      <c r="M94" s="47">
        <f>M$89-M$90-M$91-M$92-M$93</f>
        <v>90.08868995194308</v>
      </c>
      <c r="N94" s="47">
        <f>N$89-N$90-N$91-N$92-N$93</f>
        <v>88.3282711957955</v>
      </c>
      <c r="O94" s="47">
        <f>O$89-O$90-O$91-O$92-O$93</f>
        <v>86.56381670160505</v>
      </c>
      <c r="P94" s="47">
        <f>P$89-P$90-P$91-P$92-P$93</f>
        <v>84.79520539723049</v>
      </c>
      <c r="Q94" s="47">
        <f>Q$89-Q$90-Q$91-Q$92-Q$93</f>
        <v>102.53304243500409</v>
      </c>
      <c r="R94" s="47">
        <f>R$89-R$90-R$91-R$92-R$93</f>
        <v>100.75573965621555</v>
      </c>
      <c r="S94" s="47">
        <f>S$89-S$90-S$91-S$92-S$93</f>
        <v>98.97389461870497</v>
      </c>
      <c r="T94" s="47">
        <f>T$89-T$90-T$91-T$92-T$93</f>
        <v>97.18737105471061</v>
      </c>
      <c r="U94" s="47">
        <f>U$89-U$90-U$91-U$92-U$93</f>
        <v>95.3960286084381</v>
      </c>
      <c r="V94" s="47">
        <f>V$89-V$90-V$91-V$92-V$93</f>
        <v>93.59972271341896</v>
      </c>
      <c r="W94" s="47">
        <f>W$89-W$90-W$91-W$92-W$93</f>
        <v>91.79830446619083</v>
      </c>
      <c r="X94" s="47">
        <f>X$89-X$90-X$91-X$92-X$93</f>
        <v>89.9916204961875</v>
      </c>
      <c r="Y94" s="47">
        <f>Y$89-Y$90-Y$91-Y$92-Y$93</f>
        <v>88.17951283172562</v>
      </c>
      <c r="Z94" s="47">
        <f>Z$89-Z$90-Z$91-Z$92-Z$93</f>
        <v>86.3618187619715</v>
      </c>
      <c r="AA94" s="47">
        <f>AA$89-AA$90-AA$91-AA$92-AA$93</f>
        <v>84.53837069476633</v>
      </c>
      <c r="AB94" s="47">
        <f>AB$89-AB$90-AB$91-AB$92-AB$93</f>
        <v>82.70899601018661</v>
      </c>
      <c r="AC94" s="47">
        <f>AC$89-AC$90-AC$91-AC$92-AC$93</f>
        <v>80.87351690971111</v>
      </c>
    </row>
    <row r="95">
      <c r="A95" s="6" t="inlineStr">
        <is>
          <t>Augmentation capex</t>
        </is>
      </c>
      <c r="B95" s="2" t="inlineStr">
        <is>
          <t>₹ Cr</t>
        </is>
      </c>
      <c r="E95" s="36">
        <f>E$81*IF(AND(Assumptions!$B$42&gt;0,E$80=Assumptions!$B$42),$C$60*Assumptions!$B$43,0)</f>
        <v>0.0</v>
      </c>
      <c r="F95" s="36">
        <f>F$81*IF(AND(Assumptions!$B$42&gt;0,F$80=Assumptions!$B$42),$C$60*Assumptions!$B$43,0)</f>
        <v>0.0</v>
      </c>
      <c r="G95" s="36">
        <f>G$81*IF(AND(Assumptions!$B$42&gt;0,G$80=Assumptions!$B$42),$C$60*Assumptions!$B$43,0)</f>
        <v>0.0</v>
      </c>
      <c r="H95" s="36">
        <f>H$81*IF(AND(Assumptions!$B$42&gt;0,H$80=Assumptions!$B$42),$C$60*Assumptions!$B$43,0)</f>
        <v>0.0</v>
      </c>
      <c r="I95" s="36">
        <f>I$81*IF(AND(Assumptions!$B$42&gt;0,I$80=Assumptions!$B$42),$C$60*Assumptions!$B$43,0)</f>
        <v>0.0</v>
      </c>
      <c r="J95" s="36">
        <f>J$81*IF(AND(Assumptions!$B$42&gt;0,J$80=Assumptions!$B$42),$C$60*Assumptions!$B$43,0)</f>
        <v>0.0</v>
      </c>
      <c r="K95" s="36">
        <f>K$81*IF(AND(Assumptions!$B$42&gt;0,K$80=Assumptions!$B$42),$C$60*Assumptions!$B$43,0)</f>
        <v>0.0</v>
      </c>
      <c r="L95" s="36">
        <f>L$81*IF(AND(Assumptions!$B$42&gt;0,L$80=Assumptions!$B$42),$C$60*Assumptions!$B$43,0)</f>
        <v>0.0</v>
      </c>
      <c r="M95" s="36">
        <f>M$81*IF(AND(Assumptions!$B$42&gt;0,M$80=Assumptions!$B$42),$C$60*Assumptions!$B$43,0)</f>
        <v>0.0</v>
      </c>
      <c r="N95" s="36">
        <f>N$81*IF(AND(Assumptions!$B$42&gt;0,N$80=Assumptions!$B$42),$C$60*Assumptions!$B$43,0)</f>
        <v>0.0</v>
      </c>
      <c r="O95" s="36">
        <f>O$81*IF(AND(Assumptions!$B$42&gt;0,O$80=Assumptions!$B$42),$C$60*Assumptions!$B$43,0)</f>
        <v>0.0</v>
      </c>
      <c r="P95" s="36">
        <f>P$81*IF(AND(Assumptions!$B$42&gt;0,P$80=Assumptions!$B$42),$C$60*Assumptions!$B$43,0)</f>
        <v>141.59328347933044</v>
      </c>
      <c r="Q95" s="36">
        <f>Q$81*IF(AND(Assumptions!$B$42&gt;0,Q$80=Assumptions!$B$42),$C$60*Assumptions!$B$43,0)</f>
        <v>0.0</v>
      </c>
      <c r="R95" s="36">
        <f>R$81*IF(AND(Assumptions!$B$42&gt;0,R$80=Assumptions!$B$42),$C$60*Assumptions!$B$43,0)</f>
        <v>0.0</v>
      </c>
      <c r="S95" s="36">
        <f>S$81*IF(AND(Assumptions!$B$42&gt;0,S$80=Assumptions!$B$42),$C$60*Assumptions!$B$43,0)</f>
        <v>0.0</v>
      </c>
      <c r="T95" s="36">
        <f>T$81*IF(AND(Assumptions!$B$42&gt;0,T$80=Assumptions!$B$42),$C$60*Assumptions!$B$43,0)</f>
        <v>0.0</v>
      </c>
      <c r="U95" s="36">
        <f>U$81*IF(AND(Assumptions!$B$42&gt;0,U$80=Assumptions!$B$42),$C$60*Assumptions!$B$43,0)</f>
        <v>0.0</v>
      </c>
      <c r="V95" s="36">
        <f>V$81*IF(AND(Assumptions!$B$42&gt;0,V$80=Assumptions!$B$42),$C$60*Assumptions!$B$43,0)</f>
        <v>0.0</v>
      </c>
      <c r="W95" s="36">
        <f>W$81*IF(AND(Assumptions!$B$42&gt;0,W$80=Assumptions!$B$42),$C$60*Assumptions!$B$43,0)</f>
        <v>0.0</v>
      </c>
      <c r="X95" s="36">
        <f>X$81*IF(AND(Assumptions!$B$42&gt;0,X$80=Assumptions!$B$42),$C$60*Assumptions!$B$43,0)</f>
        <v>0.0</v>
      </c>
      <c r="Y95" s="36">
        <f>Y$81*IF(AND(Assumptions!$B$42&gt;0,Y$80=Assumptions!$B$42),$C$60*Assumptions!$B$43,0)</f>
        <v>0.0</v>
      </c>
      <c r="Z95" s="36">
        <f>Z$81*IF(AND(Assumptions!$B$42&gt;0,Z$80=Assumptions!$B$42),$C$60*Assumptions!$B$43,0)</f>
        <v>0.0</v>
      </c>
      <c r="AA95" s="36">
        <f>AA$81*IF(AND(Assumptions!$B$42&gt;0,AA$80=Assumptions!$B$42),$C$60*Assumptions!$B$43,0)</f>
        <v>0.0</v>
      </c>
      <c r="AB95" s="36">
        <f>AB$81*IF(AND(Assumptions!$B$42&gt;0,AB$80=Assumptions!$B$42),$C$60*Assumptions!$B$43,0)</f>
        <v>0.0</v>
      </c>
      <c r="AC95" s="36">
        <f>AC$81*IF(AND(Assumptions!$B$42&gt;0,AC$80=Assumptions!$B$42),$C$60*Assumptions!$B$43,0)</f>
        <v>0.0</v>
      </c>
    </row>
    <row r="96">
      <c r="A96" s="6" t="inlineStr">
        <is>
          <t>Depreciation (straight line)</t>
        </is>
      </c>
      <c r="B96" s="2" t="inlineStr">
        <is>
          <t>₹ Cr</t>
        </is>
      </c>
      <c r="E96" s="36">
        <f>E$81*$C$61/Assumptions!$B$51</f>
        <v>28.31865669586609</v>
      </c>
      <c r="F96" s="36">
        <f>F$81*$C$61/Assumptions!$B$51</f>
        <v>28.31865669586609</v>
      </c>
      <c r="G96" s="36">
        <f>G$81*$C$61/Assumptions!$B$51</f>
        <v>28.31865669586609</v>
      </c>
      <c r="H96" s="36">
        <f>H$81*$C$61/Assumptions!$B$51</f>
        <v>28.31865669586609</v>
      </c>
      <c r="I96" s="36">
        <f>I$81*$C$61/Assumptions!$B$51</f>
        <v>28.31865669586609</v>
      </c>
      <c r="J96" s="36">
        <f>J$81*$C$61/Assumptions!$B$51</f>
        <v>28.31865669586609</v>
      </c>
      <c r="K96" s="36">
        <f>K$81*$C$61/Assumptions!$B$51</f>
        <v>28.31865669586609</v>
      </c>
      <c r="L96" s="36">
        <f>L$81*$C$61/Assumptions!$B$51</f>
        <v>28.31865669586609</v>
      </c>
      <c r="M96" s="36">
        <f>M$81*$C$61/Assumptions!$B$51</f>
        <v>28.31865669586609</v>
      </c>
      <c r="N96" s="36">
        <f>N$81*$C$61/Assumptions!$B$51</f>
        <v>28.31865669586609</v>
      </c>
      <c r="O96" s="36">
        <f>O$81*$C$61/Assumptions!$B$51</f>
        <v>28.31865669586609</v>
      </c>
      <c r="P96" s="36">
        <f>P$81*$C$61/Assumptions!$B$51</f>
        <v>28.31865669586609</v>
      </c>
      <c r="Q96" s="36">
        <f>Q$81*$C$61/Assumptions!$B$51</f>
        <v>28.31865669586609</v>
      </c>
      <c r="R96" s="36">
        <f>R$81*$C$61/Assumptions!$B$51</f>
        <v>28.31865669586609</v>
      </c>
      <c r="S96" s="36">
        <f>S$81*$C$61/Assumptions!$B$51</f>
        <v>28.31865669586609</v>
      </c>
      <c r="T96" s="36">
        <f>T$81*$C$61/Assumptions!$B$51</f>
        <v>28.31865669586609</v>
      </c>
      <c r="U96" s="36">
        <f>U$81*$C$61/Assumptions!$B$51</f>
        <v>28.31865669586609</v>
      </c>
      <c r="V96" s="36">
        <f>V$81*$C$61/Assumptions!$B$51</f>
        <v>28.31865669586609</v>
      </c>
      <c r="W96" s="36">
        <f>W$81*$C$61/Assumptions!$B$51</f>
        <v>28.31865669586609</v>
      </c>
      <c r="X96" s="36">
        <f>X$81*$C$61/Assumptions!$B$51</f>
        <v>28.31865669586609</v>
      </c>
      <c r="Y96" s="36">
        <f>Y$81*$C$61/Assumptions!$B$51</f>
        <v>28.31865669586609</v>
      </c>
      <c r="Z96" s="36">
        <f>Z$81*$C$61/Assumptions!$B$51</f>
        <v>28.31865669586609</v>
      </c>
      <c r="AA96" s="36">
        <f>AA$81*$C$61/Assumptions!$B$51</f>
        <v>28.31865669586609</v>
      </c>
      <c r="AB96" s="36">
        <f>AB$81*$C$61/Assumptions!$B$51</f>
        <v>28.31865669586609</v>
      </c>
      <c r="AC96" s="36">
        <f>AC$81*$C$61/Assumptions!$B$51</f>
        <v>28.31865669586609</v>
      </c>
    </row>
    <row r="97">
      <c r="A97" s="6" t="inlineStr">
        <is>
          <t>Tax, project basis</t>
        </is>
      </c>
      <c r="B97" s="2" t="inlineStr">
        <is>
          <t>₹ Cr</t>
        </is>
      </c>
      <c r="E97" s="36">
        <f>MAX(0,E$94-E$96-E$95)*Assumptions!$B$52</f>
        <v>14.025103510183861</v>
      </c>
      <c r="F97" s="36">
        <f>MAX(0,F$94-F$96-F$95)*Assumptions!$B$52</f>
        <v>13.589136679352071</v>
      </c>
      <c r="G97" s="36">
        <f>MAX(0,G$94-G$96-G$95)*Assumptions!$B$52</f>
        <v>18.18636797035762</v>
      </c>
      <c r="H97" s="36">
        <f>MAX(0,H$94-H$96-H$95)*Assumptions!$B$52</f>
        <v>17.748773326855613</v>
      </c>
      <c r="I97" s="36">
        <f>MAX(0,I$94-I$96-I$95)*Assumptions!$B$52</f>
        <v>17.31032797081086</v>
      </c>
      <c r="J97" s="36">
        <f>MAX(0,J$94-J$96-J$95)*Assumptions!$B$52</f>
        <v>16.87100638084703</v>
      </c>
      <c r="K97" s="36">
        <f>MAX(0,K$94-K$96-K$95)*Assumptions!$B$52</f>
        <v>16.430782269946583</v>
      </c>
      <c r="L97" s="36">
        <f>MAX(0,L$94-L$96-L$95)*Assumptions!$B$52</f>
        <v>15.989628562481416</v>
      </c>
      <c r="M97" s="36">
        <f>MAX(0,M$94-M$96-M$95)*Assumptions!$B$52</f>
        <v>15.547517370554578</v>
      </c>
      <c r="N97" s="36">
        <f>MAX(0,N$94-N$96-N$95)*Assumptions!$B$52</f>
        <v>15.10441996963223</v>
      </c>
      <c r="O97" s="36">
        <f>MAX(0,O$94-O$96-O$95)*Assumptions!$B$52</f>
        <v>14.660306773444495</v>
      </c>
      <c r="P97" s="36">
        <f>MAX(0,P$94-P$96-P$95)*Assumptions!$B$52</f>
        <v>0.0</v>
      </c>
      <c r="Q97" s="36">
        <f>MAX(0,Q$94-Q$96-Q$95)*Assumptions!$B$52</f>
        <v>18.679760890541036</v>
      </c>
      <c r="R97" s="36">
        <f>MAX(0,R$94-R$96-R$95)*Assumptions!$B$52</f>
        <v>18.23241378111996</v>
      </c>
      <c r="S97" s="36">
        <f>MAX(0,S$94-S$96-S$95)*Assumptions!$B$52</f>
        <v>17.783923385178547</v>
      </c>
      <c r="T97" s="36">
        <f>MAX(0,T$94-T$96-T$95)*Assumptions!$B$52</f>
        <v>17.334255404121166</v>
      </c>
      <c r="U97" s="36">
        <f>MAX(0,U$94-U$96-U$95)*Assumptions!$B$52</f>
        <v>16.883374510394372</v>
      </c>
      <c r="V97" s="36">
        <f>MAX(0,V$94-V$96-V$95)*Assumptions!$B$52</f>
        <v>16.431244316618052</v>
      </c>
      <c r="W97" s="36">
        <f>MAX(0,W$94-W$96-W$95)*Assumptions!$B$52</f>
        <v>15.977827343790736</v>
      </c>
      <c r="X97" s="36">
        <f>MAX(0,X$94-X$96-X$95)*Assumptions!$B$52</f>
        <v>15.523084988540896</v>
      </c>
      <c r="Y97" s="36">
        <f>MAX(0,Y$94-Y$96-Y$95)*Assumptions!$B$52</f>
        <v>15.066977489395843</v>
      </c>
      <c r="Z97" s="36">
        <f>MAX(0,Z$94-Z$96-Z$95)*Assumptions!$B$52</f>
        <v>14.609463892038733</v>
      </c>
      <c r="AA97" s="36">
        <f>MAX(0,AA$94-AA$96-AA$95)*Assumptions!$B$52</f>
        <v>14.15050201352319</v>
      </c>
      <c r="AB97" s="36">
        <f>MAX(0,AB$94-AB$96-AB$95)*Assumptions!$B$52</f>
        <v>13.690048405414474</v>
      </c>
      <c r="AC97" s="36">
        <f>MAX(0,AC$94-AC$96-AC$95)*Assumptions!$B$52</f>
        <v>13.228058315824791</v>
      </c>
    </row>
    <row r="98">
      <c r="A98" s="6" t="inlineStr">
        <is>
          <t>Project cash flow, pre-tax</t>
        </is>
      </c>
      <c r="B98" s="2" t="inlineStr">
        <is>
          <t>₹ Cr</t>
        </is>
      </c>
      <c r="D98" s="36">
        <f>-$C$61</f>
        <v>-707.9664173966522</v>
      </c>
      <c r="E98" s="36">
        <f>E$94-E$95</f>
        <v>84.04016448364465</v>
      </c>
      <c r="F98" s="36">
        <f>F$94-F$95</f>
        <v>82.30807536631532</v>
      </c>
      <c r="G98" s="36">
        <f>G$94-G$95</f>
        <v>100.57280040010774</v>
      </c>
      <c r="H98" s="36">
        <f>H$94-H$95</f>
        <v>98.83424400955546</v>
      </c>
      <c r="I98" s="36">
        <f>I$94-I$95</f>
        <v>97.0923077519283</v>
      </c>
      <c r="J98" s="36">
        <f>J$94-J$95</f>
        <v>95.34689023121386</v>
      </c>
      <c r="K98" s="36">
        <f>K$94-K$95</f>
        <v>93.59788700951958</v>
      </c>
      <c r="L98" s="36">
        <f>L$94-L$95</f>
        <v>91.8451905158161</v>
      </c>
      <c r="M98" s="36">
        <f>M$94-M$95</f>
        <v>90.08868995194308</v>
      </c>
      <c r="N98" s="36">
        <f>N$94-N$95</f>
        <v>88.3282711957955</v>
      </c>
      <c r="O98" s="36">
        <f>O$94-O$95</f>
        <v>86.56381670160505</v>
      </c>
      <c r="P98" s="36">
        <f>P$94-P$95</f>
        <v>-56.79807808209995</v>
      </c>
      <c r="Q98" s="36">
        <f>Q$94-Q$95</f>
        <v>102.53304243500409</v>
      </c>
      <c r="R98" s="36">
        <f>R$94-R$95</f>
        <v>100.75573965621555</v>
      </c>
      <c r="S98" s="36">
        <f>S$94-S$95</f>
        <v>98.97389461870497</v>
      </c>
      <c r="T98" s="36">
        <f>T$94-T$95</f>
        <v>97.18737105471061</v>
      </c>
      <c r="U98" s="36">
        <f>U$94-U$95</f>
        <v>95.3960286084381</v>
      </c>
      <c r="V98" s="36">
        <f>V$94-V$95</f>
        <v>93.59972271341896</v>
      </c>
      <c r="W98" s="36">
        <f>W$94-W$95</f>
        <v>91.79830446619083</v>
      </c>
      <c r="X98" s="36">
        <f>X$94-X$95</f>
        <v>89.9916204961875</v>
      </c>
      <c r="Y98" s="36">
        <f>Y$94-Y$95</f>
        <v>88.17951283172562</v>
      </c>
      <c r="Z98" s="36">
        <f>Z$94-Z$95</f>
        <v>86.3618187619715</v>
      </c>
      <c r="AA98" s="36">
        <f>AA$94-AA$95</f>
        <v>84.53837069476633</v>
      </c>
      <c r="AB98" s="36">
        <f>AB$94-AB$95</f>
        <v>82.70899601018661</v>
      </c>
      <c r="AC98" s="36">
        <f>AC$94-AC$95</f>
        <v>80.87351690971111</v>
      </c>
    </row>
    <row r="99">
      <c r="A99" s="5" t="inlineStr">
        <is>
          <t>Project cash flow, post-tax</t>
        </is>
      </c>
      <c r="B99" s="2" t="inlineStr">
        <is>
          <t>₹ Cr</t>
        </is>
      </c>
      <c r="D99" s="47">
        <f>-$C$61</f>
        <v>-707.9664173966522</v>
      </c>
      <c r="E99" s="47">
        <f>E$94-E$95-E$97</f>
        <v>70.01506097346078</v>
      </c>
      <c r="F99" s="47">
        <f>F$94-F$95-F$97</f>
        <v>68.71893868696326</v>
      </c>
      <c r="G99" s="47">
        <f>G$94-G$95-G$97</f>
        <v>82.38643242975012</v>
      </c>
      <c r="H99" s="47">
        <f>H$94-H$95-H$97</f>
        <v>81.08547068269985</v>
      </c>
      <c r="I99" s="47">
        <f>I$94-I$95-I$97</f>
        <v>79.78197978111744</v>
      </c>
      <c r="J99" s="47">
        <f>J$94-J$95-J$97</f>
        <v>78.47588385036683</v>
      </c>
      <c r="K99" s="47">
        <f>K$94-K$95-K$97</f>
        <v>77.167104739573</v>
      </c>
      <c r="L99" s="47">
        <f>L$94-L$95-L$97</f>
        <v>75.85556195333469</v>
      </c>
      <c r="M99" s="47">
        <f>M$94-M$95-M$97</f>
        <v>74.54117258138851</v>
      </c>
      <c r="N99" s="47">
        <f>N$94-N$95-N$97</f>
        <v>73.22385122616326</v>
      </c>
      <c r="O99" s="47">
        <f>O$94-O$95-O$97</f>
        <v>71.90350992816056</v>
      </c>
      <c r="P99" s="47">
        <f>P$94-P$95-P$97</f>
        <v>-56.79807808209995</v>
      </c>
      <c r="Q99" s="47">
        <f>Q$94-Q$95-Q$97</f>
        <v>83.85328154446306</v>
      </c>
      <c r="R99" s="47">
        <f>R$94-R$95-R$97</f>
        <v>82.5233258750956</v>
      </c>
      <c r="S99" s="47">
        <f>S$94-S$95-S$97</f>
        <v>81.18997123352642</v>
      </c>
      <c r="T99" s="47">
        <f>T$94-T$95-T$97</f>
        <v>79.85311565058944</v>
      </c>
      <c r="U99" s="47">
        <f>U$94-U$95-U$97</f>
        <v>78.51265409804373</v>
      </c>
      <c r="V99" s="47">
        <f>V$94-V$95-V$97</f>
        <v>77.16847839680091</v>
      </c>
      <c r="W99" s="47">
        <f>W$94-W$95-W$97</f>
        <v>75.82047712240009</v>
      </c>
      <c r="X99" s="47">
        <f>X$94-X$95-X$97</f>
        <v>74.46853550764659</v>
      </c>
      <c r="Y99" s="47">
        <f>Y$94-Y$95-Y$97</f>
        <v>73.11253534232978</v>
      </c>
      <c r="Z99" s="47">
        <f>Z$94-Z$95-Z$97</f>
        <v>71.75235486993277</v>
      </c>
      <c r="AA99" s="47">
        <f>AA$94-AA$95-AA$97</f>
        <v>70.38786868124313</v>
      </c>
      <c r="AB99" s="47">
        <f>AB$94-AB$95-AB$97</f>
        <v>69.01894760477214</v>
      </c>
      <c r="AC99" s="47">
        <f>AC$94-AC$95-AC$97</f>
        <v>67.64545859388632</v>
      </c>
    </row>
    <row r="100">
      <c r="A100" s="6" t="inlineStr">
        <is>
          <t>Debt opening balance</t>
        </is>
      </c>
      <c r="B100" s="2" t="inlineStr">
        <is>
          <t>₹ Cr</t>
        </is>
      </c>
      <c r="E100" s="36">
        <f>$C$64</f>
        <v>495.5764921776565</v>
      </c>
      <c r="F100" s="36">
        <f>E$103</f>
        <v>462.5380593658127</v>
      </c>
      <c r="G100" s="36">
        <f>F$103</f>
        <v>429.49962655396894</v>
      </c>
      <c r="H100" s="36">
        <f>G$103</f>
        <v>396.46119374212515</v>
      </c>
      <c r="I100" s="36">
        <f>H$103</f>
        <v>363.42276093028136</v>
      </c>
      <c r="J100" s="36">
        <f>I$103</f>
        <v>330.38432811843757</v>
      </c>
      <c r="K100" s="36">
        <f>J$103</f>
        <v>297.3458953065938</v>
      </c>
      <c r="L100" s="36">
        <f>K$103</f>
        <v>264.30746249475</v>
      </c>
      <c r="M100" s="36">
        <f>L$103</f>
        <v>231.26902968290622</v>
      </c>
      <c r="N100" s="36">
        <f>M$103</f>
        <v>198.23059687106246</v>
      </c>
      <c r="O100" s="36">
        <f>N$103</f>
        <v>165.1921640592187</v>
      </c>
      <c r="P100" s="36">
        <f>O$103</f>
        <v>132.15373124737494</v>
      </c>
      <c r="Q100" s="36">
        <f>P$103</f>
        <v>99.11529843553117</v>
      </c>
      <c r="R100" s="36">
        <f>Q$103</f>
        <v>66.07686562368741</v>
      </c>
      <c r="S100" s="36">
        <f>R$103</f>
        <v>33.03843281184364</v>
      </c>
      <c r="T100" s="36">
        <f>S$103</f>
        <v>0.0</v>
      </c>
      <c r="U100" s="36">
        <f>T$103</f>
        <v>0.0</v>
      </c>
      <c r="V100" s="36">
        <f>U$103</f>
        <v>0.0</v>
      </c>
      <c r="W100" s="36">
        <f>V$103</f>
        <v>0.0</v>
      </c>
      <c r="X100" s="36">
        <f>W$103</f>
        <v>0.0</v>
      </c>
      <c r="Y100" s="36">
        <f>X$103</f>
        <v>0.0</v>
      </c>
      <c r="Z100" s="36">
        <f>Y$103</f>
        <v>0.0</v>
      </c>
      <c r="AA100" s="36">
        <f>Z$103</f>
        <v>0.0</v>
      </c>
      <c r="AB100" s="36">
        <f>AA$103</f>
        <v>0.0</v>
      </c>
      <c r="AC100" s="36">
        <f>AB$103</f>
        <v>0.0</v>
      </c>
    </row>
    <row r="101">
      <c r="A101" s="6" t="inlineStr">
        <is>
          <t>Interest</t>
        </is>
      </c>
      <c r="B101" s="2" t="inlineStr">
        <is>
          <t>₹ Cr</t>
        </is>
      </c>
      <c r="E101" s="36">
        <f>E$100*Assumptions!$B$59</f>
        <v>47.07976675687737</v>
      </c>
      <c r="F101" s="36">
        <f>F$100*Assumptions!$B$59</f>
        <v>43.94111563975221</v>
      </c>
      <c r="G101" s="36">
        <f>G$100*Assumptions!$B$59</f>
        <v>40.80246452262705</v>
      </c>
      <c r="H101" s="36">
        <f>H$100*Assumptions!$B$59</f>
        <v>37.66381340550189</v>
      </c>
      <c r="I101" s="36">
        <f>I$100*Assumptions!$B$59</f>
        <v>34.52516228837673</v>
      </c>
      <c r="J101" s="36">
        <f>J$100*Assumptions!$B$59</f>
        <v>31.38651117125157</v>
      </c>
      <c r="K101" s="36">
        <f>K$100*Assumptions!$B$59</f>
        <v>28.24786005412641</v>
      </c>
      <c r="L101" s="36">
        <f>L$100*Assumptions!$B$59</f>
        <v>25.10920893700125</v>
      </c>
      <c r="M101" s="36">
        <f>M$100*Assumptions!$B$59</f>
        <v>21.970557819876092</v>
      </c>
      <c r="N101" s="36">
        <f>N$100*Assumptions!$B$59</f>
        <v>18.831906702750935</v>
      </c>
      <c r="O101" s="36">
        <f>O$100*Assumptions!$B$59</f>
        <v>15.693255585625776</v>
      </c>
      <c r="P101" s="36">
        <f>P$100*Assumptions!$B$59</f>
        <v>12.554604468500619</v>
      </c>
      <c r="Q101" s="36">
        <f>Q$100*Assumptions!$B$59</f>
        <v>9.415953351375462</v>
      </c>
      <c r="R101" s="36">
        <f>R$100*Assumptions!$B$59</f>
        <v>6.277302234250304</v>
      </c>
      <c r="S101" s="36">
        <f>S$100*Assumptions!$B$59</f>
        <v>3.138651117125146</v>
      </c>
      <c r="T101" s="36">
        <f>T$100*Assumptions!$B$59</f>
        <v>0.0</v>
      </c>
      <c r="U101" s="36">
        <f>U$100*Assumptions!$B$59</f>
        <v>0.0</v>
      </c>
      <c r="V101" s="36">
        <f>V$100*Assumptions!$B$59</f>
        <v>0.0</v>
      </c>
      <c r="W101" s="36">
        <f>W$100*Assumptions!$B$59</f>
        <v>0.0</v>
      </c>
      <c r="X101" s="36">
        <f>X$100*Assumptions!$B$59</f>
        <v>0.0</v>
      </c>
      <c r="Y101" s="36">
        <f>Y$100*Assumptions!$B$59</f>
        <v>0.0</v>
      </c>
      <c r="Z101" s="36">
        <f>Z$100*Assumptions!$B$59</f>
        <v>0.0</v>
      </c>
      <c r="AA101" s="36">
        <f>AA$100*Assumptions!$B$59</f>
        <v>0.0</v>
      </c>
      <c r="AB101" s="36">
        <f>AB$100*Assumptions!$B$59</f>
        <v>0.0</v>
      </c>
      <c r="AC101" s="36">
        <f>AC$100*Assumptions!$B$59</f>
        <v>0.0</v>
      </c>
    </row>
    <row r="102">
      <c r="A102" s="6" t="inlineStr">
        <is>
          <t>Principal repayment</t>
        </is>
      </c>
      <c r="B102" s="2" t="inlineStr">
        <is>
          <t>₹ Cr</t>
        </is>
      </c>
      <c r="E102" s="36">
        <f>IF(E$80&lt;=Assumptions!$B$60,MIN(E$100,$C$66),0)</f>
        <v>33.03843281184377</v>
      </c>
      <c r="F102" s="36">
        <f>IF(F$80&lt;=Assumptions!$B$60,MIN(F$100,$C$66),0)</f>
        <v>33.03843281184377</v>
      </c>
      <c r="G102" s="36">
        <f>IF(G$80&lt;=Assumptions!$B$60,MIN(G$100,$C$66),0)</f>
        <v>33.03843281184377</v>
      </c>
      <c r="H102" s="36">
        <f>IF(H$80&lt;=Assumptions!$B$60,MIN(H$100,$C$66),0)</f>
        <v>33.03843281184377</v>
      </c>
      <c r="I102" s="36">
        <f>IF(I$80&lt;=Assumptions!$B$60,MIN(I$100,$C$66),0)</f>
        <v>33.03843281184377</v>
      </c>
      <c r="J102" s="36">
        <f>IF(J$80&lt;=Assumptions!$B$60,MIN(J$100,$C$66),0)</f>
        <v>33.03843281184377</v>
      </c>
      <c r="K102" s="36">
        <f>IF(K$80&lt;=Assumptions!$B$60,MIN(K$100,$C$66),0)</f>
        <v>33.03843281184377</v>
      </c>
      <c r="L102" s="36">
        <f>IF(L$80&lt;=Assumptions!$B$60,MIN(L$100,$C$66),0)</f>
        <v>33.03843281184377</v>
      </c>
      <c r="M102" s="36">
        <f>IF(M$80&lt;=Assumptions!$B$60,MIN(M$100,$C$66),0)</f>
        <v>33.03843281184377</v>
      </c>
      <c r="N102" s="36">
        <f>IF(N$80&lt;=Assumptions!$B$60,MIN(N$100,$C$66),0)</f>
        <v>33.03843281184377</v>
      </c>
      <c r="O102" s="36">
        <f>IF(O$80&lt;=Assumptions!$B$60,MIN(O$100,$C$66),0)</f>
        <v>33.03843281184377</v>
      </c>
      <c r="P102" s="36">
        <f>IF(P$80&lt;=Assumptions!$B$60,MIN(P$100,$C$66),0)</f>
        <v>33.03843281184377</v>
      </c>
      <c r="Q102" s="36">
        <f>IF(Q$80&lt;=Assumptions!$B$60,MIN(Q$100,$C$66),0)</f>
        <v>33.03843281184377</v>
      </c>
      <c r="R102" s="36">
        <f>IF(R$80&lt;=Assumptions!$B$60,MIN(R$100,$C$66),0)</f>
        <v>33.03843281184377</v>
      </c>
      <c r="S102" s="36">
        <f>IF(S$80&lt;=Assumptions!$B$60,MIN(S$100,$C$66),0)</f>
        <v>33.03843281184364</v>
      </c>
      <c r="T102" s="36">
        <f>IF(T$80&lt;=Assumptions!$B$60,MIN(T$100,$C$66),0)</f>
        <v>0.0</v>
      </c>
      <c r="U102" s="36">
        <f>IF(U$80&lt;=Assumptions!$B$60,MIN(U$100,$C$66),0)</f>
        <v>0.0</v>
      </c>
      <c r="V102" s="36">
        <f>IF(V$80&lt;=Assumptions!$B$60,MIN(V$100,$C$66),0)</f>
        <v>0.0</v>
      </c>
      <c r="W102" s="36">
        <f>IF(W$80&lt;=Assumptions!$B$60,MIN(W$100,$C$66),0)</f>
        <v>0.0</v>
      </c>
      <c r="X102" s="36">
        <f>IF(X$80&lt;=Assumptions!$B$60,MIN(X$100,$C$66),0)</f>
        <v>0.0</v>
      </c>
      <c r="Y102" s="36">
        <f>IF(Y$80&lt;=Assumptions!$B$60,MIN(Y$100,$C$66),0)</f>
        <v>0.0</v>
      </c>
      <c r="Z102" s="36">
        <f>IF(Z$80&lt;=Assumptions!$B$60,MIN(Z$100,$C$66),0)</f>
        <v>0.0</v>
      </c>
      <c r="AA102" s="36">
        <f>IF(AA$80&lt;=Assumptions!$B$60,MIN(AA$100,$C$66),0)</f>
        <v>0.0</v>
      </c>
      <c r="AB102" s="36">
        <f>IF(AB$80&lt;=Assumptions!$B$60,MIN(AB$100,$C$66),0)</f>
        <v>0.0</v>
      </c>
      <c r="AC102" s="36">
        <f>IF(AC$80&lt;=Assumptions!$B$60,MIN(AC$100,$C$66),0)</f>
        <v>0.0</v>
      </c>
    </row>
    <row r="103">
      <c r="A103" s="6" t="inlineStr">
        <is>
          <t>Debt closing balance</t>
        </is>
      </c>
      <c r="B103" s="2" t="inlineStr">
        <is>
          <t>₹ Cr</t>
        </is>
      </c>
      <c r="E103" s="36">
        <f>E$100-E$102</f>
        <v>462.5380593658127</v>
      </c>
      <c r="F103" s="36">
        <f>F$100-F$102</f>
        <v>429.49962655396894</v>
      </c>
      <c r="G103" s="36">
        <f>G$100-G$102</f>
        <v>396.46119374212515</v>
      </c>
      <c r="H103" s="36">
        <f>H$100-H$102</f>
        <v>363.42276093028136</v>
      </c>
      <c r="I103" s="36">
        <f>I$100-I$102</f>
        <v>330.38432811843757</v>
      </c>
      <c r="J103" s="36">
        <f>J$100-J$102</f>
        <v>297.3458953065938</v>
      </c>
      <c r="K103" s="36">
        <f>K$100-K$102</f>
        <v>264.30746249475</v>
      </c>
      <c r="L103" s="36">
        <f>L$100-L$102</f>
        <v>231.26902968290622</v>
      </c>
      <c r="M103" s="36">
        <f>M$100-M$102</f>
        <v>198.23059687106246</v>
      </c>
      <c r="N103" s="36">
        <f>N$100-N$102</f>
        <v>165.1921640592187</v>
      </c>
      <c r="O103" s="36">
        <f>O$100-O$102</f>
        <v>132.15373124737494</v>
      </c>
      <c r="P103" s="36">
        <f>P$100-P$102</f>
        <v>99.11529843553117</v>
      </c>
      <c r="Q103" s="36">
        <f>Q$100-Q$102</f>
        <v>66.07686562368741</v>
      </c>
      <c r="R103" s="36">
        <f>R$100-R$102</f>
        <v>33.03843281184364</v>
      </c>
      <c r="S103" s="36">
        <f>S$100-S$102</f>
        <v>0.0</v>
      </c>
      <c r="T103" s="36">
        <f>T$100-T$102</f>
        <v>0.0</v>
      </c>
      <c r="U103" s="36">
        <f>U$100-U$102</f>
        <v>0.0</v>
      </c>
      <c r="V103" s="36">
        <f>V$100-V$102</f>
        <v>0.0</v>
      </c>
      <c r="W103" s="36">
        <f>W$100-W$102</f>
        <v>0.0</v>
      </c>
      <c r="X103" s="36">
        <f>X$100-X$102</f>
        <v>0.0</v>
      </c>
      <c r="Y103" s="36">
        <f>Y$100-Y$102</f>
        <v>0.0</v>
      </c>
      <c r="Z103" s="36">
        <f>Z$100-Z$102</f>
        <v>0.0</v>
      </c>
      <c r="AA103" s="36">
        <f>AA$100-AA$102</f>
        <v>0.0</v>
      </c>
      <c r="AB103" s="36">
        <f>AB$100-AB$102</f>
        <v>0.0</v>
      </c>
      <c r="AC103" s="36">
        <f>AC$100-AC$102</f>
        <v>0.0</v>
      </c>
    </row>
    <row r="104">
      <c r="A104" s="6" t="inlineStr">
        <is>
          <t>Tax, after interest</t>
        </is>
      </c>
      <c r="B104" s="2" t="inlineStr">
        <is>
          <t>₹ Cr</t>
        </is>
      </c>
      <c r="E104" s="36">
        <f>MAX(0,E$94-E$96-E$95-E$101)*Assumptions!$B$52</f>
        <v>2.1751262174778287</v>
      </c>
      <c r="F104" s="36">
        <f>MAX(0,F$94-F$96-F$95-F$101)*Assumptions!$B$52</f>
        <v>2.52915787282644</v>
      </c>
      <c r="G104" s="36">
        <f>MAX(0,G$94-G$96-G$95-G$101)*Assumptions!$B$52</f>
        <v>7.916387650012393</v>
      </c>
      <c r="H104" s="36">
        <f>MAX(0,H$94-H$96-H$95-H$101)*Assumptions!$B$52</f>
        <v>8.268791492690786</v>
      </c>
      <c r="I104" s="36">
        <f>MAX(0,I$94-I$96-I$95-I$101)*Assumptions!$B$52</f>
        <v>8.620344622826439</v>
      </c>
      <c r="J104" s="36">
        <f>MAX(0,J$94-J$96-J$95-J$101)*Assumptions!$B$52</f>
        <v>8.971021519043012</v>
      </c>
      <c r="K104" s="36">
        <f>MAX(0,K$94-K$96-K$95-K$101)*Assumptions!$B$52</f>
        <v>9.320795894322968</v>
      </c>
      <c r="L104" s="36">
        <f>MAX(0,L$94-L$96-L$95-L$101)*Assumptions!$B$52</f>
        <v>9.669640673038202</v>
      </c>
      <c r="M104" s="36">
        <f>MAX(0,M$94-M$96-M$95-M$101)*Assumptions!$B$52</f>
        <v>10.017527967291766</v>
      </c>
      <c r="N104" s="36">
        <f>MAX(0,N$94-N$96-N$95-N$101)*Assumptions!$B$52</f>
        <v>10.36442905254982</v>
      </c>
      <c r="O104" s="36">
        <f>MAX(0,O$94-O$96-O$95-O$101)*Assumptions!$B$52</f>
        <v>10.710314342542487</v>
      </c>
      <c r="P104" s="36">
        <f>MAX(0,P$94-P$96-P$95-P$101)*Assumptions!$B$52</f>
        <v>0.0</v>
      </c>
      <c r="Q104" s="36">
        <f>MAX(0,Q$94-Q$96-Q$95-Q$101)*Assumptions!$B$52</f>
        <v>16.309765431999832</v>
      </c>
      <c r="R104" s="36">
        <f>MAX(0,R$94-R$96-R$95-R$101)*Assumptions!$B$52</f>
        <v>16.65241680875916</v>
      </c>
      <c r="S104" s="36">
        <f>MAX(0,S$94-S$96-S$95-S$101)*Assumptions!$B$52</f>
        <v>16.99392489899815</v>
      </c>
      <c r="T104" s="36">
        <f>MAX(0,T$94-T$96-T$95-T$101)*Assumptions!$B$52</f>
        <v>17.334255404121166</v>
      </c>
      <c r="U104" s="36">
        <f>MAX(0,U$94-U$96-U$95-U$101)*Assumptions!$B$52</f>
        <v>16.883374510394372</v>
      </c>
      <c r="V104" s="36">
        <f>MAX(0,V$94-V$96-V$95-V$101)*Assumptions!$B$52</f>
        <v>16.431244316618052</v>
      </c>
      <c r="W104" s="36">
        <f>MAX(0,W$94-W$96-W$95-W$101)*Assumptions!$B$52</f>
        <v>15.977827343790736</v>
      </c>
      <c r="X104" s="36">
        <f>MAX(0,X$94-X$96-X$95-X$101)*Assumptions!$B$52</f>
        <v>15.523084988540896</v>
      </c>
      <c r="Y104" s="36">
        <f>MAX(0,Y$94-Y$96-Y$95-Y$101)*Assumptions!$B$52</f>
        <v>15.066977489395843</v>
      </c>
      <c r="Z104" s="36">
        <f>MAX(0,Z$94-Z$96-Z$95-Z$101)*Assumptions!$B$52</f>
        <v>14.609463892038733</v>
      </c>
      <c r="AA104" s="36">
        <f>MAX(0,AA$94-AA$96-AA$95-AA$101)*Assumptions!$B$52</f>
        <v>14.15050201352319</v>
      </c>
      <c r="AB104" s="36">
        <f>MAX(0,AB$94-AB$96-AB$95-AB$101)*Assumptions!$B$52</f>
        <v>13.690048405414474</v>
      </c>
      <c r="AC104" s="36">
        <f>MAX(0,AC$94-AC$96-AC$95-AC$101)*Assumptions!$B$52</f>
        <v>13.228058315824791</v>
      </c>
    </row>
    <row r="105">
      <c r="A105" s="5" t="inlineStr">
        <is>
          <t>Equity cash flow</t>
        </is>
      </c>
      <c r="B105" s="2" t="inlineStr">
        <is>
          <t>₹ Cr</t>
        </is>
      </c>
      <c r="D105" s="47">
        <f>-$C$65</f>
        <v>-212.3899252189957</v>
      </c>
      <c r="E105" s="47">
        <f>E$94-E$95-E$104-E$101-E$102</f>
        <v>1.746838697445682</v>
      </c>
      <c r="F105" s="47">
        <f>F$94-F$95-F$104-F$101-F$102</f>
        <v>2.799369041892895</v>
      </c>
      <c r="G105" s="47">
        <f>G$94-G$95-G$104-G$101-G$102</f>
        <v>18.815515415624525</v>
      </c>
      <c r="H105" s="47">
        <f>H$94-H$95-H$104-H$101-H$102</f>
        <v>19.86320629951902</v>
      </c>
      <c r="I105" s="47">
        <f>I$94-I$95-I$104-I$101-I$102</f>
        <v>20.90836802888137</v>
      </c>
      <c r="J105" s="47">
        <f>J$94-J$95-J$104-J$101-J$102</f>
        <v>21.950924729075517</v>
      </c>
      <c r="K105" s="47">
        <f>K$94-K$95-K$104-K$101-K$102</f>
        <v>22.990798249226437</v>
      </c>
      <c r="L105" s="47">
        <f>L$94-L$95-L$104-L$101-L$102</f>
        <v>24.02790809393288</v>
      </c>
      <c r="M105" s="47">
        <f>M$94-M$95-M$104-M$101-M$102</f>
        <v>25.06217135293145</v>
      </c>
      <c r="N105" s="47">
        <f>N$94-N$95-N$104-N$101-N$102</f>
        <v>26.093502628650967</v>
      </c>
      <c r="O105" s="47">
        <f>O$94-O$95-O$104-O$101-O$102</f>
        <v>27.121813961593013</v>
      </c>
      <c r="P105" s="47">
        <f>P$94-P$95-P$104-P$101-P$102</f>
        <v>-102.39111536244434</v>
      </c>
      <c r="Q105" s="47">
        <f>Q$94-Q$95-Q$104-Q$101-Q$102</f>
        <v>43.76889083978502</v>
      </c>
      <c r="R105" s="47">
        <f>R$94-R$95-R$104-R$101-R$102</f>
        <v>44.78758780136233</v>
      </c>
      <c r="S105" s="47">
        <f>S$94-S$95-S$104-S$101-S$102</f>
        <v>45.80288579073804</v>
      </c>
      <c r="T105" s="47">
        <f>T$94-T$95-T$104-T$101-T$102</f>
        <v>79.85311565058944</v>
      </c>
      <c r="U105" s="47">
        <f>U$94-U$95-U$104-U$101-U$102</f>
        <v>78.51265409804373</v>
      </c>
      <c r="V105" s="47">
        <f>V$94-V$95-V$104-V$101-V$102</f>
        <v>77.16847839680091</v>
      </c>
      <c r="W105" s="47">
        <f>W$94-W$95-W$104-W$101-W$102</f>
        <v>75.82047712240009</v>
      </c>
      <c r="X105" s="47">
        <f>X$94-X$95-X$104-X$101-X$102</f>
        <v>74.46853550764659</v>
      </c>
      <c r="Y105" s="47">
        <f>Y$94-Y$95-Y$104-Y$101-Y$102</f>
        <v>73.11253534232978</v>
      </c>
      <c r="Z105" s="47">
        <f>Z$94-Z$95-Z$104-Z$101-Z$102</f>
        <v>71.75235486993277</v>
      </c>
      <c r="AA105" s="47">
        <f>AA$94-AA$95-AA$104-AA$101-AA$102</f>
        <v>70.38786868124313</v>
      </c>
      <c r="AB105" s="47">
        <f>AB$94-AB$95-AB$104-AB$101-AB$102</f>
        <v>69.01894760477214</v>
      </c>
      <c r="AC105" s="47">
        <f>AC$94-AC$95-AC$104-AC$101-AC$102</f>
        <v>67.64545859388632</v>
      </c>
    </row>
    <row r="106">
      <c r="A106" s="6" t="inlineStr">
        <is>
          <t>DSCR (excl. augmentation and equity-funded cost)</t>
        </is>
      </c>
      <c r="B106" s="2" t="inlineStr">
        <is>
          <t>x</t>
        </is>
      </c>
      <c r="E106" s="48">
        <f>IF(E$101+E$102&gt;0,(E$94+E$93-E$104)/(E$101+E$102),"")</f>
        <v>1.2714344407950955</v>
      </c>
      <c r="F106" s="48">
        <f>IF(F$101+F$102&gt;0,(F$94+F$93-F$104)/(F$101+F$102),"")</f>
        <v>1.2961743670947736</v>
      </c>
      <c r="G106" s="48">
        <f>IF(G$101+G$102&gt;0,(G$94+G$93-G$104)/(G$101+G$102),"")</f>
        <v>1.25481157589943</v>
      </c>
      <c r="H106" s="48">
        <f>IF(H$101+H$102&gt;0,(H$94+H$93-H$104)/(H$101+H$102),"")</f>
        <v>1.2809416583238045</v>
      </c>
      <c r="I106" s="48">
        <f>IF(I$101+I$102&gt;0,(I$94+I$93-I$104)/(I$101+I$102),"")</f>
        <v>1.309462040879662</v>
      </c>
      <c r="J106" s="48">
        <f>IF(J$101+J$102&gt;0,(J$94+J$93-J$104)/(J$101+J$102),"")</f>
        <v>1.3407208974032678</v>
      </c>
      <c r="K106" s="48">
        <f>IF(K$101+K$102&gt;0,(K$94+K$93-K$104)/(K$101+K$102),"")</f>
        <v>1.375137688610177</v>
      </c>
      <c r="L106" s="48">
        <f>IF(L$101+L$102&gt;0,(L$94+L$93-L$104)/(L$101+L$102),"")</f>
        <v>1.4132224002774822</v>
      </c>
      <c r="M106" s="48">
        <f>IF(M$101+M$102&gt;0,(M$94+M$93-M$104)/(M$101+M$102),"")</f>
        <v>1.4556013674331962</v>
      </c>
      <c r="N106" s="48">
        <f>IF(N$101+N$102&gt;0,(N$94+N$93-N$104)/(N$101+N$102),"")</f>
        <v>1.5030524741660707</v>
      </c>
      <c r="O106" s="48">
        <f>IF(O$101+O$102&gt;0,(O$94+O$93-O$104)/(O$101+O$102),"")</f>
        <v>1.556553956029181</v>
      </c>
      <c r="P106" s="48">
        <f>IF(P$101+P$102&gt;0,(P$94+P$93-P$104)/(P$101+P$102),"")</f>
        <v>1.8598279574102106</v>
      </c>
      <c r="Q106" s="48">
        <f>IF(Q$101+Q$102&gt;0,(Q$94+Q$93-Q$104)/(Q$101+Q$102),"")</f>
        <v>2.0309627530948644</v>
      </c>
      <c r="R106" s="48">
        <f>IF(R$101+R$102&gt;0,(R$94+R$93-R$104)/(R$101+R$102),"")</f>
        <v>2.139177170383639</v>
      </c>
      <c r="S106" s="48">
        <f>IF(S$101+S$102&gt;0,(S$94+S$93-S$104)/(S$101+S$102),"")</f>
        <v>2.266074564789933</v>
      </c>
      <c r="T106" s="48" t="str">
        <f>IF(T$101+T$102&gt;0,(T$94+T$93-T$104)/(T$101+T$102),"")</f>
        <v/>
      </c>
      <c r="U106" s="48" t="str">
        <f>IF(U$101+U$102&gt;0,(U$94+U$93-U$104)/(U$101+U$102),"")</f>
        <v/>
      </c>
      <c r="V106" s="48" t="str">
        <f>IF(V$101+V$102&gt;0,(V$94+V$93-V$104)/(V$101+V$102),"")</f>
        <v/>
      </c>
      <c r="W106" s="48" t="str">
        <f>IF(W$101+W$102&gt;0,(W$94+W$93-W$104)/(W$101+W$102),"")</f>
        <v/>
      </c>
      <c r="X106" s="48" t="str">
        <f>IF(X$101+X$102&gt;0,(X$94+X$93-X$104)/(X$101+X$102),"")</f>
        <v/>
      </c>
      <c r="Y106" s="48" t="str">
        <f>IF(Y$101+Y$102&gt;0,(Y$94+Y$93-Y$104)/(Y$101+Y$102),"")</f>
        <v/>
      </c>
      <c r="Z106" s="48" t="str">
        <f>IF(Z$101+Z$102&gt;0,(Z$94+Z$93-Z$104)/(Z$101+Z$102),"")</f>
        <v/>
      </c>
      <c r="AA106" s="48" t="str">
        <f>IF(AA$101+AA$102&gt;0,(AA$94+AA$93-AA$104)/(AA$101+AA$102),"")</f>
        <v/>
      </c>
      <c r="AB106" s="48" t="str">
        <f>IF(AB$101+AB$102&gt;0,(AB$94+AB$93-AB$104)/(AB$101+AB$102),"")</f>
        <v/>
      </c>
      <c r="AC106" s="48" t="str">
        <f>IF(AC$101+AC$102&gt;0,(AC$94+AC$93-AC$104)/(AC$101+AC$102),"")</f>
        <v/>
      </c>
    </row>
    <row r="107">
      <c r="A107" s="6" t="inlineStr">
        <is>
          <t>Cumulative post-tax cash flow</t>
        </is>
      </c>
      <c r="B107" s="2" t="inlineStr">
        <is>
          <t>₹ Cr</t>
        </is>
      </c>
      <c r="D107" s="36">
        <f>D$99</f>
        <v>-707.9664173966522</v>
      </c>
      <c r="E107" s="36">
        <f>D$107+E$99</f>
        <v>-637.9513564231914</v>
      </c>
      <c r="F107" s="36">
        <f>E$107+F$99</f>
        <v>-569.2324177362282</v>
      </c>
      <c r="G107" s="36">
        <f>F$107+G$99</f>
        <v>-486.84598530647804</v>
      </c>
      <c r="H107" s="36">
        <f>G$107+H$99</f>
        <v>-405.7605146237782</v>
      </c>
      <c r="I107" s="36">
        <f>H$107+I$99</f>
        <v>-325.97853484266074</v>
      </c>
      <c r="J107" s="36">
        <f>I$107+J$99</f>
        <v>-247.50265099229392</v>
      </c>
      <c r="K107" s="36">
        <f>J$107+K$99</f>
        <v>-170.33554625272092</v>
      </c>
      <c r="L107" s="36">
        <f>K$107+L$99</f>
        <v>-94.47998429938623</v>
      </c>
      <c r="M107" s="36">
        <f>L$107+M$99</f>
        <v>-19.938811717997723</v>
      </c>
      <c r="N107" s="36">
        <f>M$107+N$99</f>
        <v>53.28503950816554</v>
      </c>
      <c r="O107" s="36">
        <f>N$107+O$99</f>
        <v>125.1885494363261</v>
      </c>
      <c r="P107" s="36">
        <f>O$107+P$99</f>
        <v>68.39047135422615</v>
      </c>
      <c r="Q107" s="36">
        <f>P$107+Q$99</f>
        <v>152.2437528986892</v>
      </c>
      <c r="R107" s="36">
        <f>Q$107+R$99</f>
        <v>234.7670787737848</v>
      </c>
      <c r="S107" s="36">
        <f>R$107+S$99</f>
        <v>315.9570500073112</v>
      </c>
      <c r="T107" s="36">
        <f>S$107+T$99</f>
        <v>395.8101656579006</v>
      </c>
      <c r="U107" s="36">
        <f>T$107+U$99</f>
        <v>474.32281975594435</v>
      </c>
      <c r="V107" s="36">
        <f>U$107+V$99</f>
        <v>551.4912981527452</v>
      </c>
      <c r="W107" s="36">
        <f>V$107+W$99</f>
        <v>627.3117752751454</v>
      </c>
      <c r="X107" s="36">
        <f>W$107+X$99</f>
        <v>701.780310782792</v>
      </c>
      <c r="Y107" s="36">
        <f>X$107+Y$99</f>
        <v>774.8928461251218</v>
      </c>
      <c r="Z107" s="36">
        <f>Y$107+Z$99</f>
        <v>846.6452009950546</v>
      </c>
      <c r="AA107" s="36">
        <f>Z$107+AA$99</f>
        <v>917.0330696762977</v>
      </c>
      <c r="AB107" s="36">
        <f>AA$107+AB$99</f>
        <v>986.0520172810699</v>
      </c>
      <c r="AC107" s="36">
        <f>AB$107+AC$99</f>
        <v>1053.6974758749561</v>
      </c>
    </row>
    <row r="108">
      <c r="A108" s="6" t="inlineStr">
        <is>
          <t>Payback helper</t>
        </is>
      </c>
      <c r="B108" s="2" t="inlineStr">
        <is>
          <t>years</t>
        </is>
      </c>
      <c r="E108" s="49">
        <f>IF(AND(D$107&lt;0,E$107&gt;=0),E$80-1+(-D$107)/E$99,0)</f>
        <v>0.0</v>
      </c>
      <c r="F108" s="49">
        <f>IF(AND(E$107&lt;0,F$107&gt;=0),F$80-1+(-E$107)/F$99,0)</f>
        <v>0.0</v>
      </c>
      <c r="G108" s="49">
        <f>IF(AND(F$107&lt;0,G$107&gt;=0),G$80-1+(-F$107)/G$99,0)</f>
        <v>0.0</v>
      </c>
      <c r="H108" s="49">
        <f>IF(AND(G$107&lt;0,H$107&gt;=0),H$80-1+(-G$107)/H$99,0)</f>
        <v>0.0</v>
      </c>
      <c r="I108" s="49">
        <f>IF(AND(H$107&lt;0,I$107&gt;=0),I$80-1+(-H$107)/I$99,0)</f>
        <v>0.0</v>
      </c>
      <c r="J108" s="49">
        <f>IF(AND(I$107&lt;0,J$107&gt;=0),J$80-1+(-I$107)/J$99,0)</f>
        <v>0.0</v>
      </c>
      <c r="K108" s="49">
        <f>IF(AND(J$107&lt;0,K$107&gt;=0),K$80-1+(-J$107)/K$99,0)</f>
        <v>0.0</v>
      </c>
      <c r="L108" s="49">
        <f>IF(AND(K$107&lt;0,L$107&gt;=0),L$80-1+(-K$107)/L$99,0)</f>
        <v>0.0</v>
      </c>
      <c r="M108" s="49">
        <f>IF(AND(L$107&lt;0,M$107&gt;=0),M$80-1+(-L$107)/M$99,0)</f>
        <v>0.0</v>
      </c>
      <c r="N108" s="49">
        <f>IF(AND(M$107&lt;0,N$107&gt;=0),N$80-1+(-M$107)/N$99,0)</f>
        <v>9.272299413157246</v>
      </c>
      <c r="O108" s="49">
        <f>IF(AND(N$107&lt;0,O$107&gt;=0),O$80-1+(-N$107)/O$99,0)</f>
        <v>0.0</v>
      </c>
      <c r="P108" s="49">
        <f>IF(AND(O$107&lt;0,P$107&gt;=0),P$80-1+(-O$107)/P$99,0)</f>
        <v>0.0</v>
      </c>
      <c r="Q108" s="49">
        <f>IF(AND(P$107&lt;0,Q$107&gt;=0),Q$80-1+(-P$107)/Q$99,0)</f>
        <v>0.0</v>
      </c>
      <c r="R108" s="49">
        <f>IF(AND(Q$107&lt;0,R$107&gt;=0),R$80-1+(-Q$107)/R$99,0)</f>
        <v>0.0</v>
      </c>
      <c r="S108" s="49">
        <f>IF(AND(R$107&lt;0,S$107&gt;=0),S$80-1+(-R$107)/S$99,0)</f>
        <v>0.0</v>
      </c>
      <c r="T108" s="49">
        <f>IF(AND(S$107&lt;0,T$107&gt;=0),T$80-1+(-S$107)/T$99,0)</f>
        <v>0.0</v>
      </c>
      <c r="U108" s="49">
        <f>IF(AND(T$107&lt;0,U$107&gt;=0),U$80-1+(-T$107)/U$99,0)</f>
        <v>0.0</v>
      </c>
      <c r="V108" s="49">
        <f>IF(AND(U$107&lt;0,V$107&gt;=0),V$80-1+(-U$107)/V$99,0)</f>
        <v>0.0</v>
      </c>
      <c r="W108" s="49">
        <f>IF(AND(V$107&lt;0,W$107&gt;=0),W$80-1+(-V$107)/W$99,0)</f>
        <v>0.0</v>
      </c>
      <c r="X108" s="49">
        <f>IF(AND(W$107&lt;0,X$107&gt;=0),X$80-1+(-W$107)/X$99,0)</f>
        <v>0.0</v>
      </c>
      <c r="Y108" s="49">
        <f>IF(AND(X$107&lt;0,Y$107&gt;=0),Y$80-1+(-X$107)/Y$99,0)</f>
        <v>0.0</v>
      </c>
      <c r="Z108" s="49">
        <f>IF(AND(Y$107&lt;0,Z$107&gt;=0),Z$80-1+(-Y$107)/Z$99,0)</f>
        <v>0.0</v>
      </c>
      <c r="AA108" s="49">
        <f>IF(AND(Z$107&lt;0,AA$107&gt;=0),AA$80-1+(-Z$107)/AA$99,0)</f>
        <v>0.0</v>
      </c>
      <c r="AB108" s="49">
        <f>IF(AND(AA$107&lt;0,AB$107&gt;=0),AB$80-1+(-AA$107)/AB$99,0)</f>
        <v>0.0</v>
      </c>
      <c r="AC108" s="49">
        <f>IF(AND(AB$107&lt;0,AC$107&gt;=0),AC$80-1+(-AB$107)/AC$99,0)</f>
        <v>0.0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8" t="inlineStr">
        <is>
          <t>Reference results from the HTML model (default inputs)</t>
        </is>
      </c>
    </row>
    <row r="2">
      <c r="A2" s="2" t="inlineStr">
        <is>
          <t>Static values for checking the live sheets. Defaults: solar ₹2.05 Cr/MWp, BESS ₹0.98 Cr/MWh, IEX cases buy RTM / sell GDAM, T-GNA ₹586/MWh, equity-funded cost on unless shown.</t>
        </is>
      </c>
    </row>
    <row r="4">
      <c r="A4" s="3" t="inlineStr">
        <is>
          <t>Plant</t>
        </is>
      </c>
      <c r="B4" s="3" t="inlineStr">
        <is>
          <t>Hours</t>
        </is>
      </c>
      <c r="C4" s="3" t="inlineStr">
        <is>
          <t>Case</t>
        </is>
      </c>
      <c r="D4" s="3" t="inlineStr">
        <is>
          <t>Booster</t>
        </is>
      </c>
      <c r="E4" s="3" t="inlineStr">
        <is>
          <t>Equity cost</t>
        </is>
      </c>
      <c r="F4" s="3" t="inlineStr">
        <is>
          <t>Project IRR</t>
        </is>
      </c>
      <c r="G4" s="3" t="inlineStr">
        <is>
          <t>Equity IRR</t>
        </is>
      </c>
      <c r="H4" s="3" t="inlineStr">
        <is>
          <t>NPV ₹ Cr</t>
        </is>
      </c>
      <c r="I4" s="3" t="inlineStr">
        <is>
          <t>Capex ₹ Cr</t>
        </is>
      </c>
      <c r="J4" s="3" t="inlineStr">
        <is>
          <t>Min DSCR</t>
        </is>
      </c>
      <c r="K4" s="3" t="inlineStr">
        <is>
          <t>Nameplate MWh</t>
        </is>
      </c>
      <c r="L4" s="3" t="inlineStr">
        <is>
          <t>Solar MWac</t>
        </is>
      </c>
      <c r="M4" s="3" t="inlineStr">
        <is>
          <t>BESS MWh sold, yr 1</t>
        </is>
      </c>
      <c r="N4" s="3" t="inlineStr">
        <is>
          <t>EBITDA yr 1 ₹ Cr</t>
        </is>
      </c>
      <c r="O4" s="3" t="inlineStr">
        <is>
          <t>Levelised cost ₹/kWh</t>
        </is>
      </c>
    </row>
    <row r="5">
      <c r="A5" s="35" t="inlineStr">
        <is>
          <t>P7</t>
        </is>
      </c>
      <c r="B5" s="30" t="n">
        <v>2</v>
      </c>
      <c r="C5" s="35" t="inlineStr">
        <is>
          <t>Own solar</t>
        </is>
      </c>
      <c r="D5" s="35" t="inlineStr">
        <is>
          <t>Off</t>
        </is>
      </c>
      <c r="E5" s="35" t="inlineStr">
        <is>
          <t>Off</t>
        </is>
      </c>
      <c r="F5" s="31" t="n">
        <v>0.1093680481969365</v>
      </c>
      <c r="G5" s="31" t="n">
        <v>0.1498360853883663</v>
      </c>
      <c r="H5" s="36" t="n">
        <v>133.3949824798688</v>
      </c>
      <c r="I5" s="36" t="n">
        <v>978.4572088376869</v>
      </c>
      <c r="J5" s="48" t="n">
        <v>1.295151923487879</v>
      </c>
      <c r="K5" s="27" t="n">
        <v>722.414711629237</v>
      </c>
      <c r="L5" s="34" t="n">
        <v>94.47259727843345</v>
      </c>
      <c r="M5" s="27" t="n">
        <v>206203.0600555201</v>
      </c>
      <c r="N5" s="36" t="n">
        <v>156.597579539914</v>
      </c>
      <c r="O5" s="49" t="n">
        <v>5.76561916076859</v>
      </c>
    </row>
    <row r="6">
      <c r="A6" s="35" t="inlineStr">
        <is>
          <t>P7</t>
        </is>
      </c>
      <c r="B6" s="30" t="n">
        <v>2</v>
      </c>
      <c r="C6" s="35" t="inlineStr">
        <is>
          <t>Own solar</t>
        </is>
      </c>
      <c r="D6" s="35" t="inlineStr">
        <is>
          <t>Off</t>
        </is>
      </c>
      <c r="E6" s="35" t="inlineStr">
        <is>
          <t>On</t>
        </is>
      </c>
      <c r="F6" s="31" t="n">
        <v>0.1056490339695396</v>
      </c>
      <c r="G6" s="31" t="n">
        <v>0.1397133532442713</v>
      </c>
      <c r="H6" s="36" t="n">
        <v>107.1309086135778</v>
      </c>
      <c r="I6" s="36" t="n">
        <v>978.4572088376869</v>
      </c>
      <c r="J6" s="48" t="n">
        <v>1.340614374913083</v>
      </c>
      <c r="K6" s="27" t="n">
        <v>722.414711629237</v>
      </c>
      <c r="L6" s="34" t="n">
        <v>94.47259727843345</v>
      </c>
      <c r="M6" s="27" t="n">
        <v>206203.0600555201</v>
      </c>
      <c r="N6" s="36" t="n">
        <v>136.597579539914</v>
      </c>
      <c r="O6" s="49" t="n">
        <v>5.952484280655846</v>
      </c>
    </row>
    <row r="7">
      <c r="A7" s="35" t="inlineStr">
        <is>
          <t>P7</t>
        </is>
      </c>
      <c r="B7" s="30" t="n">
        <v>2</v>
      </c>
      <c r="C7" s="35" t="inlineStr">
        <is>
          <t>Own solar</t>
        </is>
      </c>
      <c r="D7" s="35" t="inlineStr">
        <is>
          <t>On</t>
        </is>
      </c>
      <c r="E7" s="35" t="inlineStr">
        <is>
          <t>Off</t>
        </is>
      </c>
      <c r="F7" s="31" t="n">
        <v>0.1143211381341082</v>
      </c>
      <c r="G7" s="31" t="n">
        <v>0.1613132858727243</v>
      </c>
      <c r="H7" s="36" t="n">
        <v>171.9015357751806</v>
      </c>
      <c r="I7" s="36" t="n">
        <v>978.4572088376869</v>
      </c>
      <c r="J7" s="48" t="n">
        <v>1.332201565362276</v>
      </c>
      <c r="K7" s="27" t="n">
        <v>722.414711629237</v>
      </c>
      <c r="L7" s="34" t="n">
        <v>94.47259727843345</v>
      </c>
      <c r="M7" s="27" t="n">
        <v>206203.0600555201</v>
      </c>
      <c r="N7" s="36" t="n">
        <v>162.0799531759528</v>
      </c>
      <c r="O7" s="49" t="n">
        <v>5.76561916076859</v>
      </c>
    </row>
    <row r="8">
      <c r="A8" s="35" t="inlineStr">
        <is>
          <t>P7</t>
        </is>
      </c>
      <c r="B8" s="30" t="n">
        <v>2</v>
      </c>
      <c r="C8" s="35" t="inlineStr">
        <is>
          <t>Own solar</t>
        </is>
      </c>
      <c r="D8" s="35" t="inlineStr">
        <is>
          <t>On</t>
        </is>
      </c>
      <c r="E8" s="35" t="inlineStr">
        <is>
          <t>On</t>
        </is>
      </c>
      <c r="F8" s="31" t="n">
        <v>0.1105336522058397</v>
      </c>
      <c r="G8" s="31" t="n">
        <v>0.1505023511354625</v>
      </c>
      <c r="H8" s="36" t="n">
        <v>145.6374619088898</v>
      </c>
      <c r="I8" s="36" t="n">
        <v>978.4572088376869</v>
      </c>
      <c r="J8" s="48" t="n">
        <v>1.37766401678748</v>
      </c>
      <c r="K8" s="27" t="n">
        <v>722.414711629237</v>
      </c>
      <c r="L8" s="34" t="n">
        <v>94.47259727843345</v>
      </c>
      <c r="M8" s="27" t="n">
        <v>206203.0600555201</v>
      </c>
      <c r="N8" s="36" t="n">
        <v>142.0799531759528</v>
      </c>
      <c r="O8" s="49" t="n">
        <v>5.952484280655846</v>
      </c>
    </row>
    <row r="9">
      <c r="A9" s="35" t="inlineStr">
        <is>
          <t>P7</t>
        </is>
      </c>
      <c r="B9" s="30" t="n">
        <v>2</v>
      </c>
      <c r="C9" s="35" t="inlineStr">
        <is>
          <t>IEX + T-GNA</t>
        </is>
      </c>
      <c r="D9" s="35" t="inlineStr">
        <is>
          <t>Off</t>
        </is>
      </c>
      <c r="E9" s="35" t="inlineStr">
        <is>
          <t>Off</t>
        </is>
      </c>
      <c r="F9" s="31" t="n">
        <v>0.09465127953225727</v>
      </c>
      <c r="G9" s="31" t="n">
        <v>0.1173995733168</v>
      </c>
      <c r="H9" s="36" t="n">
        <v>15.59613189200577</v>
      </c>
      <c r="I9" s="36" t="n">
        <v>707.9664173966522</v>
      </c>
      <c r="J9" s="48" t="n">
        <v>1.216789954825456</v>
      </c>
      <c r="K9" s="27" t="n">
        <v>722.414711629237</v>
      </c>
      <c r="L9" s="34" t="n">
        <v>0</v>
      </c>
      <c r="M9" s="27" t="n">
        <v>216810</v>
      </c>
      <c r="N9" s="36" t="n">
        <v>104.9167944017982</v>
      </c>
      <c r="O9" s="49" t="n">
        <v>6.958620356247659</v>
      </c>
    </row>
    <row r="10">
      <c r="A10" s="35" t="inlineStr">
        <is>
          <t>P7</t>
        </is>
      </c>
      <c r="B10" s="30" t="n">
        <v>2</v>
      </c>
      <c r="C10" s="35" t="inlineStr">
        <is>
          <t>IEX + T-GNA</t>
        </is>
      </c>
      <c r="D10" s="35" t="inlineStr">
        <is>
          <t>Off</t>
        </is>
      </c>
      <c r="E10" s="35" t="inlineStr">
        <is>
          <t>On</t>
        </is>
      </c>
      <c r="F10" s="31" t="n">
        <v>0.08983497276431651</v>
      </c>
      <c r="G10" s="31" t="n">
        <v>0.106234299588149</v>
      </c>
      <c r="H10" s="36" t="n">
        <v>-10.66794197428507</v>
      </c>
      <c r="I10" s="36" t="n">
        <v>707.9664173966522</v>
      </c>
      <c r="J10" s="48" t="n">
        <v>1.263426774446076</v>
      </c>
      <c r="K10" s="27" t="n">
        <v>722.414711629237</v>
      </c>
      <c r="L10" s="34" t="n">
        <v>0</v>
      </c>
      <c r="M10" s="27" t="n">
        <v>216810</v>
      </c>
      <c r="N10" s="36" t="n">
        <v>84.91679440179819</v>
      </c>
      <c r="O10" s="49" t="n">
        <v>7.138159795245905</v>
      </c>
    </row>
    <row r="11">
      <c r="A11" s="35" t="inlineStr">
        <is>
          <t>P7</t>
        </is>
      </c>
      <c r="B11" s="30" t="n">
        <v>2</v>
      </c>
      <c r="C11" s="35" t="inlineStr">
        <is>
          <t>IEX + T-GNA</t>
        </is>
      </c>
      <c r="D11" s="35" t="inlineStr">
        <is>
          <t>On</t>
        </is>
      </c>
      <c r="E11" s="35" t="inlineStr">
        <is>
          <t>Off</t>
        </is>
      </c>
      <c r="F11" s="31" t="n">
        <v>0.1020639098541539</v>
      </c>
      <c r="G11" s="31" t="n">
        <v>0.1334834718169694</v>
      </c>
      <c r="H11" s="36" t="n">
        <v>56.10912049164809</v>
      </c>
      <c r="I11" s="36" t="n">
        <v>707.9664173966522</v>
      </c>
      <c r="J11" s="48" t="n">
        <v>1.272269259451959</v>
      </c>
      <c r="K11" s="27" t="n">
        <v>722.414711629237</v>
      </c>
      <c r="L11" s="34" t="n">
        <v>0</v>
      </c>
      <c r="M11" s="27" t="n">
        <v>216810</v>
      </c>
      <c r="N11" s="36" t="n">
        <v>110.8567944017982</v>
      </c>
      <c r="O11" s="49" t="n">
        <v>6.958620356247659</v>
      </c>
    </row>
    <row r="12">
      <c r="A12" s="35" t="inlineStr">
        <is>
          <t>P7</t>
        </is>
      </c>
      <c r="B12" s="30" t="n">
        <v>2</v>
      </c>
      <c r="C12" s="35" t="inlineStr">
        <is>
          <t>IEX + T-GNA</t>
        </is>
      </c>
      <c r="D12" s="35" t="inlineStr">
        <is>
          <t>On</t>
        </is>
      </c>
      <c r="E12" s="35" t="inlineStr">
        <is>
          <t>On</t>
        </is>
      </c>
      <c r="F12" s="31" t="n">
        <v>0.09710513598403125</v>
      </c>
      <c r="G12" s="31" t="n">
        <v>0.1210283596648117</v>
      </c>
      <c r="H12" s="36" t="n">
        <v>29.84504662535722</v>
      </c>
      <c r="I12" s="36" t="n">
        <v>707.9664173966522</v>
      </c>
      <c r="J12" s="48" t="n">
        <v>1.321802924184234</v>
      </c>
      <c r="K12" s="27" t="n">
        <v>722.414711629237</v>
      </c>
      <c r="L12" s="34" t="n">
        <v>0</v>
      </c>
      <c r="M12" s="27" t="n">
        <v>216810</v>
      </c>
      <c r="N12" s="36" t="n">
        <v>90.8567944017982</v>
      </c>
      <c r="O12" s="49" t="n">
        <v>7.138159795245905</v>
      </c>
    </row>
    <row r="13">
      <c r="A13" s="35" t="inlineStr">
        <is>
          <t>P7</t>
        </is>
      </c>
      <c r="B13" s="30" t="n">
        <v>2</v>
      </c>
      <c r="C13" s="35" t="inlineStr">
        <is>
          <t>IEX + GNA</t>
        </is>
      </c>
      <c r="D13" s="35" t="inlineStr">
        <is>
          <t>Off</t>
        </is>
      </c>
      <c r="E13" s="35" t="inlineStr">
        <is>
          <t>Off</t>
        </is>
      </c>
      <c r="F13" s="31" t="inlineStr">
        <is>
          <t>&lt; 0%</t>
        </is>
      </c>
      <c r="G13" s="31" t="inlineStr">
        <is>
          <t>&lt; 0%</t>
        </is>
      </c>
      <c r="H13" s="36" t="n">
        <v>-1068.679447660996</v>
      </c>
      <c r="I13" s="36" t="n">
        <v>707.9664173966522</v>
      </c>
      <c r="J13" s="48" t="n">
        <v>-0.9766532516227588</v>
      </c>
      <c r="K13" s="27" t="n">
        <v>722.414711629237</v>
      </c>
      <c r="L13" s="34" t="n">
        <v>0</v>
      </c>
      <c r="M13" s="27" t="n">
        <v>216810</v>
      </c>
      <c r="N13" s="36" t="n">
        <v>-22.64438543432904</v>
      </c>
      <c r="O13" s="49" t="n">
        <v>13.32878739467082</v>
      </c>
    </row>
    <row r="14">
      <c r="A14" s="35" t="inlineStr">
        <is>
          <t>P7</t>
        </is>
      </c>
      <c r="B14" s="30" t="n">
        <v>2</v>
      </c>
      <c r="C14" s="35" t="inlineStr">
        <is>
          <t>IEX + GNA</t>
        </is>
      </c>
      <c r="D14" s="35" t="inlineStr">
        <is>
          <t>Off</t>
        </is>
      </c>
      <c r="E14" s="35" t="inlineStr">
        <is>
          <t>On</t>
        </is>
      </c>
      <c r="F14" s="31" t="inlineStr">
        <is>
          <t>&lt; 0%</t>
        </is>
      </c>
      <c r="G14" s="31" t="inlineStr">
        <is>
          <t>&lt; 0%</t>
        </is>
      </c>
      <c r="H14" s="36" t="n">
        <v>-1103.77776901111</v>
      </c>
      <c r="I14" s="36" t="n">
        <v>707.9664173966522</v>
      </c>
      <c r="J14" s="48" t="n">
        <v>-0.9766532516227588</v>
      </c>
      <c r="K14" s="27" t="n">
        <v>722.414711629237</v>
      </c>
      <c r="L14" s="34" t="n">
        <v>0</v>
      </c>
      <c r="M14" s="27" t="n">
        <v>216810</v>
      </c>
      <c r="N14" s="36" t="n">
        <v>-42.64438543432904</v>
      </c>
      <c r="O14" s="49" t="n">
        <v>13.50832683366906</v>
      </c>
    </row>
    <row r="15">
      <c r="A15" s="35" t="inlineStr">
        <is>
          <t>P7</t>
        </is>
      </c>
      <c r="B15" s="30" t="n">
        <v>2</v>
      </c>
      <c r="C15" s="35" t="inlineStr">
        <is>
          <t>IEX + GNA</t>
        </is>
      </c>
      <c r="D15" s="35" t="inlineStr">
        <is>
          <t>On</t>
        </is>
      </c>
      <c r="E15" s="35" t="inlineStr">
        <is>
          <t>Off</t>
        </is>
      </c>
      <c r="F15" s="31" t="inlineStr">
        <is>
          <t>&lt; 0%</t>
        </is>
      </c>
      <c r="G15" s="31" t="inlineStr">
        <is>
          <t>&lt; 0%</t>
        </is>
      </c>
      <c r="H15" s="36" t="n">
        <v>-1015.120304857947</v>
      </c>
      <c r="I15" s="36" t="n">
        <v>707.9664173966522</v>
      </c>
      <c r="J15" s="48" t="n">
        <v>-0.8680293476630669</v>
      </c>
      <c r="K15" s="27" t="n">
        <v>722.414711629237</v>
      </c>
      <c r="L15" s="34" t="n">
        <v>0</v>
      </c>
      <c r="M15" s="27" t="n">
        <v>216810</v>
      </c>
      <c r="N15" s="36" t="n">
        <v>-16.70438543432904</v>
      </c>
      <c r="O15" s="49" t="n">
        <v>13.32878739467082</v>
      </c>
    </row>
    <row r="16">
      <c r="A16" s="35" t="inlineStr">
        <is>
          <t>P7</t>
        </is>
      </c>
      <c r="B16" s="30" t="n">
        <v>2</v>
      </c>
      <c r="C16" s="35" t="inlineStr">
        <is>
          <t>IEX + GNA</t>
        </is>
      </c>
      <c r="D16" s="35" t="inlineStr">
        <is>
          <t>On</t>
        </is>
      </c>
      <c r="E16" s="35" t="inlineStr">
        <is>
          <t>On</t>
        </is>
      </c>
      <c r="F16" s="31" t="inlineStr">
        <is>
          <t>&lt; 0%</t>
        </is>
      </c>
      <c r="G16" s="31" t="inlineStr">
        <is>
          <t>&lt; 0%</t>
        </is>
      </c>
      <c r="H16" s="36" t="n">
        <v>-1050.218626208062</v>
      </c>
      <c r="I16" s="36" t="n">
        <v>707.9664173966522</v>
      </c>
      <c r="J16" s="48" t="n">
        <v>-0.8680293476630669</v>
      </c>
      <c r="K16" s="27" t="n">
        <v>722.414711629237</v>
      </c>
      <c r="L16" s="34" t="n">
        <v>0</v>
      </c>
      <c r="M16" s="27" t="n">
        <v>216810</v>
      </c>
      <c r="N16" s="36" t="n">
        <v>-36.70438543432904</v>
      </c>
      <c r="O16" s="49" t="n">
        <v>13.50832683366906</v>
      </c>
    </row>
    <row r="17">
      <c r="A17" s="35" t="inlineStr">
        <is>
          <t>P7</t>
        </is>
      </c>
      <c r="B17" s="30" t="n">
        <v>4</v>
      </c>
      <c r="C17" s="35" t="inlineStr">
        <is>
          <t>Own solar</t>
        </is>
      </c>
      <c r="D17" s="35" t="inlineStr">
        <is>
          <t>Off</t>
        </is>
      </c>
      <c r="E17" s="35" t="inlineStr">
        <is>
          <t>Off</t>
        </is>
      </c>
      <c r="F17" s="31" t="n">
        <v>0.1065902928370895</v>
      </c>
      <c r="G17" s="31" t="n">
        <v>0.1435309891211368</v>
      </c>
      <c r="H17" s="36" t="n">
        <v>223.947191197416</v>
      </c>
      <c r="I17" s="36" t="n">
        <v>1956.914417675374</v>
      </c>
      <c r="J17" s="48" t="n">
        <v>1.274768587372348</v>
      </c>
      <c r="K17" s="27" t="n">
        <v>1444.829423258474</v>
      </c>
      <c r="L17" s="34" t="n">
        <v>188.9451945568669</v>
      </c>
      <c r="M17" s="27" t="n">
        <v>412182.3963456863</v>
      </c>
      <c r="N17" s="36" t="n">
        <v>307.1627626041403</v>
      </c>
      <c r="O17" s="49" t="n">
        <v>5.771562897547593</v>
      </c>
    </row>
    <row r="18">
      <c r="A18" s="35" t="inlineStr">
        <is>
          <t>P7</t>
        </is>
      </c>
      <c r="B18" s="30" t="n">
        <v>4</v>
      </c>
      <c r="C18" s="35" t="inlineStr">
        <is>
          <t>Own solar</t>
        </is>
      </c>
      <c r="D18" s="35" t="inlineStr">
        <is>
          <t>Off</t>
        </is>
      </c>
      <c r="E18" s="35" t="inlineStr">
        <is>
          <t>On</t>
        </is>
      </c>
      <c r="F18" s="31" t="n">
        <v>0.1047332350370506</v>
      </c>
      <c r="G18" s="31" t="n">
        <v>0.138523538574164</v>
      </c>
      <c r="H18" s="36" t="n">
        <v>197.6831173311255</v>
      </c>
      <c r="I18" s="36" t="n">
        <v>1956.914417675374</v>
      </c>
      <c r="J18" s="48" t="n">
        <v>1.29749981308495</v>
      </c>
      <c r="K18" s="27" t="n">
        <v>1444.829423258474</v>
      </c>
      <c r="L18" s="34" t="n">
        <v>188.9451945568669</v>
      </c>
      <c r="M18" s="27" t="n">
        <v>412182.3963456863</v>
      </c>
      <c r="N18" s="36" t="n">
        <v>287.1627626041403</v>
      </c>
      <c r="O18" s="49" t="n">
        <v>5.865047382872683</v>
      </c>
    </row>
    <row r="19">
      <c r="A19" s="35" t="inlineStr">
        <is>
          <t>P7</t>
        </is>
      </c>
      <c r="B19" s="30" t="n">
        <v>4</v>
      </c>
      <c r="C19" s="35" t="inlineStr">
        <is>
          <t>Own solar</t>
        </is>
      </c>
      <c r="D19" s="35" t="inlineStr">
        <is>
          <t>On</t>
        </is>
      </c>
      <c r="E19" s="35" t="inlineStr">
        <is>
          <t>Off</t>
        </is>
      </c>
      <c r="F19" s="31" t="n">
        <v>0.1115709172812068</v>
      </c>
      <c r="G19" s="31" t="n">
        <v>0.1549099880262875</v>
      </c>
      <c r="H19" s="36" t="n">
        <v>300.9292386324029</v>
      </c>
      <c r="I19" s="36" t="n">
        <v>1956.914417675374</v>
      </c>
      <c r="J19" s="48" t="n">
        <v>1.31180023432565</v>
      </c>
      <c r="K19" s="27" t="n">
        <v>1444.829423258474</v>
      </c>
      <c r="L19" s="34" t="n">
        <v>188.9451945568669</v>
      </c>
      <c r="M19" s="27" t="n">
        <v>412182.3963456863</v>
      </c>
      <c r="N19" s="36" t="n">
        <v>318.1221843250923</v>
      </c>
      <c r="O19" s="49" t="n">
        <v>5.771562897547593</v>
      </c>
    </row>
    <row r="20">
      <c r="A20" s="35" t="inlineStr">
        <is>
          <t>P7</t>
        </is>
      </c>
      <c r="B20" s="30" t="n">
        <v>4</v>
      </c>
      <c r="C20" s="35" t="inlineStr">
        <is>
          <t>Own solar</t>
        </is>
      </c>
      <c r="D20" s="35" t="inlineStr">
        <is>
          <t>On</t>
        </is>
      </c>
      <c r="E20" s="35" t="inlineStr">
        <is>
          <t>On</t>
        </is>
      </c>
      <c r="F20" s="31" t="n">
        <v>0.1096793432514663</v>
      </c>
      <c r="G20" s="31" t="n">
        <v>0.1495529957024045</v>
      </c>
      <c r="H20" s="36" t="n">
        <v>274.6651647661123</v>
      </c>
      <c r="I20" s="36" t="n">
        <v>1956.914417675374</v>
      </c>
      <c r="J20" s="48" t="n">
        <v>1.334531460038252</v>
      </c>
      <c r="K20" s="27" t="n">
        <v>1444.829423258474</v>
      </c>
      <c r="L20" s="34" t="n">
        <v>188.9451945568669</v>
      </c>
      <c r="M20" s="27" t="n">
        <v>412182.3963456863</v>
      </c>
      <c r="N20" s="36" t="n">
        <v>298.1221843250923</v>
      </c>
      <c r="O20" s="49" t="n">
        <v>5.865047382872683</v>
      </c>
    </row>
    <row r="21">
      <c r="A21" s="35" t="inlineStr">
        <is>
          <t>P7</t>
        </is>
      </c>
      <c r="B21" s="30" t="n">
        <v>4</v>
      </c>
      <c r="C21" s="35" t="inlineStr">
        <is>
          <t>IEX + T-GNA</t>
        </is>
      </c>
      <c r="D21" s="35" t="inlineStr">
        <is>
          <t>Off</t>
        </is>
      </c>
      <c r="E21" s="35" t="inlineStr">
        <is>
          <t>Off</t>
        </is>
      </c>
      <c r="F21" s="31" t="n">
        <v>0.08482042809196744</v>
      </c>
      <c r="G21" s="31" t="n">
        <v>0.09712023502651579</v>
      </c>
      <c r="H21" s="36" t="n">
        <v>-73.98927177895145</v>
      </c>
      <c r="I21" s="36" t="n">
        <v>1415.932834793304</v>
      </c>
      <c r="J21" s="48" t="n">
        <v>1.14477109551286</v>
      </c>
      <c r="K21" s="27" t="n">
        <v>1444.829423258474</v>
      </c>
      <c r="L21" s="34" t="n">
        <v>0</v>
      </c>
      <c r="M21" s="27" t="n">
        <v>433620</v>
      </c>
      <c r="N21" s="36" t="n">
        <v>194.4119094153343</v>
      </c>
      <c r="O21" s="49" t="n">
        <v>7.154936256419749</v>
      </c>
    </row>
    <row r="22">
      <c r="A22" s="35" t="inlineStr">
        <is>
          <t>P7</t>
        </is>
      </c>
      <c r="B22" s="30" t="n">
        <v>4</v>
      </c>
      <c r="C22" s="35" t="inlineStr">
        <is>
          <t>IEX + T-GNA</t>
        </is>
      </c>
      <c r="D22" s="35" t="inlineStr">
        <is>
          <t>Off</t>
        </is>
      </c>
      <c r="E22" s="35" t="inlineStr">
        <is>
          <t>On</t>
        </is>
      </c>
      <c r="F22" s="31" t="n">
        <v>0.08247565809426283</v>
      </c>
      <c r="G22" s="31" t="n">
        <v>0.09214223624441453</v>
      </c>
      <c r="H22" s="36" t="n">
        <v>-100.2533456452424</v>
      </c>
      <c r="I22" s="36" t="n">
        <v>1415.932834793304</v>
      </c>
      <c r="J22" s="48" t="n">
        <v>1.176187178419729</v>
      </c>
      <c r="K22" s="27" t="n">
        <v>1444.829423258474</v>
      </c>
      <c r="L22" s="34" t="n">
        <v>0</v>
      </c>
      <c r="M22" s="27" t="n">
        <v>433620</v>
      </c>
      <c r="N22" s="36" t="n">
        <v>174.4119094153343</v>
      </c>
      <c r="O22" s="49" t="n">
        <v>7.244705975918872</v>
      </c>
    </row>
    <row r="23">
      <c r="A23" s="35" t="inlineStr">
        <is>
          <t>P7</t>
        </is>
      </c>
      <c r="B23" s="30" t="n">
        <v>4</v>
      </c>
      <c r="C23" s="35" t="inlineStr">
        <is>
          <t>IEX + T-GNA</t>
        </is>
      </c>
      <c r="D23" s="35" t="inlineStr">
        <is>
          <t>On</t>
        </is>
      </c>
      <c r="E23" s="35" t="inlineStr">
        <is>
          <t>Off</t>
        </is>
      </c>
      <c r="F23" s="31" t="n">
        <v>0.09241559282980927</v>
      </c>
      <c r="G23" s="31" t="n">
        <v>0.1126842449061477</v>
      </c>
      <c r="H23" s="36" t="n">
        <v>7.036705420332783</v>
      </c>
      <c r="I23" s="36" t="n">
        <v>1415.932834793304</v>
      </c>
      <c r="J23" s="48" t="n">
        <v>1.200250400139363</v>
      </c>
      <c r="K23" s="27" t="n">
        <v>1444.829423258474</v>
      </c>
      <c r="L23" s="34" t="n">
        <v>0</v>
      </c>
      <c r="M23" s="27" t="n">
        <v>433620</v>
      </c>
      <c r="N23" s="36" t="n">
        <v>206.2919094153343</v>
      </c>
      <c r="O23" s="49" t="n">
        <v>7.154936256419749</v>
      </c>
    </row>
    <row r="24">
      <c r="A24" s="35" t="inlineStr">
        <is>
          <t>P7</t>
        </is>
      </c>
      <c r="B24" s="30" t="n">
        <v>4</v>
      </c>
      <c r="C24" s="35" t="inlineStr">
        <is>
          <t>IEX + T-GNA</t>
        </is>
      </c>
      <c r="D24" s="35" t="inlineStr">
        <is>
          <t>On</t>
        </is>
      </c>
      <c r="E24" s="35" t="inlineStr">
        <is>
          <t>On</t>
        </is>
      </c>
      <c r="F24" s="31" t="n">
        <v>0.08999850263673526</v>
      </c>
      <c r="G24" s="31" t="n">
        <v>0.1070903367676442</v>
      </c>
      <c r="H24" s="36" t="n">
        <v>-19.22736844595777</v>
      </c>
      <c r="I24" s="36" t="n">
        <v>1415.932834793304</v>
      </c>
      <c r="J24" s="48" t="n">
        <v>1.231666483046231</v>
      </c>
      <c r="K24" s="27" t="n">
        <v>1444.829423258474</v>
      </c>
      <c r="L24" s="34" t="n">
        <v>0</v>
      </c>
      <c r="M24" s="27" t="n">
        <v>433620</v>
      </c>
      <c r="N24" s="36" t="n">
        <v>186.2919094153343</v>
      </c>
      <c r="O24" s="49" t="n">
        <v>7.244705975918872</v>
      </c>
    </row>
    <row r="25">
      <c r="A25" s="35" t="inlineStr">
        <is>
          <t>P7</t>
        </is>
      </c>
      <c r="B25" s="30" t="n">
        <v>4</v>
      </c>
      <c r="C25" s="35" t="inlineStr">
        <is>
          <t>IEX + GNA</t>
        </is>
      </c>
      <c r="D25" s="35" t="inlineStr">
        <is>
          <t>Off</t>
        </is>
      </c>
      <c r="E25" s="35" t="inlineStr">
        <is>
          <t>Off</t>
        </is>
      </c>
      <c r="F25" s="31" t="n">
        <v>-0.01755575398728776</v>
      </c>
      <c r="G25" s="31" t="n">
        <v>-0.07731771702833362</v>
      </c>
      <c r="H25" s="36" t="n">
        <v>-920.5304691312272</v>
      </c>
      <c r="I25" s="36" t="n">
        <v>1415.932834793304</v>
      </c>
      <c r="J25" s="48" t="n">
        <v>0.44573637177076</v>
      </c>
      <c r="K25" s="27" t="n">
        <v>1444.829423258474</v>
      </c>
      <c r="L25" s="34" t="n">
        <v>0</v>
      </c>
      <c r="M25" s="27" t="n">
        <v>433620</v>
      </c>
      <c r="N25" s="36" t="n">
        <v>81.84954974307985</v>
      </c>
      <c r="O25" s="49" t="n">
        <v>9.994121981159832</v>
      </c>
    </row>
    <row r="26">
      <c r="A26" s="35" t="inlineStr">
        <is>
          <t>P7</t>
        </is>
      </c>
      <c r="B26" s="30" t="n">
        <v>4</v>
      </c>
      <c r="C26" s="35" t="inlineStr">
        <is>
          <t>IEX + GNA</t>
        </is>
      </c>
      <c r="D26" s="35" t="inlineStr">
        <is>
          <t>Off</t>
        </is>
      </c>
      <c r="E26" s="35" t="inlineStr">
        <is>
          <t>On</t>
        </is>
      </c>
      <c r="F26" s="31" t="n">
        <v>-0.01916609190354707</v>
      </c>
      <c r="G26" s="31" t="n">
        <v>-0.07855729893996838</v>
      </c>
      <c r="H26" s="36" t="n">
        <v>-946.7945429975182</v>
      </c>
      <c r="I26" s="36" t="n">
        <v>1415.932834793304</v>
      </c>
      <c r="J26" s="48" t="n">
        <v>0.44573637177076</v>
      </c>
      <c r="K26" s="27" t="n">
        <v>1444.829423258474</v>
      </c>
      <c r="L26" s="34" t="n">
        <v>0</v>
      </c>
      <c r="M26" s="27" t="n">
        <v>433620</v>
      </c>
      <c r="N26" s="36" t="n">
        <v>61.84954974307984</v>
      </c>
      <c r="O26" s="49" t="n">
        <v>10.08389170065895</v>
      </c>
    </row>
    <row r="27">
      <c r="A27" s="35" t="inlineStr">
        <is>
          <t>P7</t>
        </is>
      </c>
      <c r="B27" s="30" t="n">
        <v>4</v>
      </c>
      <c r="C27" s="35" t="inlineStr">
        <is>
          <t>IEX + GNA</t>
        </is>
      </c>
      <c r="D27" s="35" t="inlineStr">
        <is>
          <t>On</t>
        </is>
      </c>
      <c r="E27" s="35" t="inlineStr">
        <is>
          <t>Off</t>
        </is>
      </c>
      <c r="F27" s="31" t="n">
        <v>-0.003318224646259693</v>
      </c>
      <c r="G27" s="31" t="n">
        <v>-0.05603398279427124</v>
      </c>
      <c r="H27" s="36" t="n">
        <v>-835.148866742452</v>
      </c>
      <c r="I27" s="36" t="n">
        <v>1415.932834793304</v>
      </c>
      <c r="J27" s="48" t="n">
        <v>0.5543602757304519</v>
      </c>
      <c r="K27" s="27" t="n">
        <v>1444.829423258474</v>
      </c>
      <c r="L27" s="34" t="n">
        <v>0</v>
      </c>
      <c r="M27" s="27" t="n">
        <v>433620</v>
      </c>
      <c r="N27" s="36" t="n">
        <v>93.72954974307984</v>
      </c>
      <c r="O27" s="49" t="n">
        <v>9.994121981159832</v>
      </c>
    </row>
    <row r="28">
      <c r="A28" s="35" t="inlineStr">
        <is>
          <t>P7</t>
        </is>
      </c>
      <c r="B28" s="30" t="n">
        <v>4</v>
      </c>
      <c r="C28" s="35" t="inlineStr">
        <is>
          <t>IEX + GNA</t>
        </is>
      </c>
      <c r="D28" s="35" t="inlineStr">
        <is>
          <t>On</t>
        </is>
      </c>
      <c r="E28" s="35" t="inlineStr">
        <is>
          <t>On</t>
        </is>
      </c>
      <c r="F28" s="31" t="n">
        <v>-0.005004959852649316</v>
      </c>
      <c r="G28" s="31" t="n">
        <v>-0.05757952931804994</v>
      </c>
      <c r="H28" s="36" t="n">
        <v>-861.4129406087427</v>
      </c>
      <c r="I28" s="36" t="n">
        <v>1415.932834793304</v>
      </c>
      <c r="J28" s="48" t="n">
        <v>0.5543602757304519</v>
      </c>
      <c r="K28" s="27" t="n">
        <v>1444.829423258474</v>
      </c>
      <c r="L28" s="34" t="n">
        <v>0</v>
      </c>
      <c r="M28" s="27" t="n">
        <v>433620</v>
      </c>
      <c r="N28" s="36" t="n">
        <v>73.72954974307984</v>
      </c>
      <c r="O28" s="49" t="n">
        <v>10.08389170065895</v>
      </c>
    </row>
    <row r="29">
      <c r="A29" s="35" t="inlineStr">
        <is>
          <t>P8</t>
        </is>
      </c>
      <c r="B29" s="30" t="n">
        <v>2</v>
      </c>
      <c r="C29" s="35" t="inlineStr">
        <is>
          <t>Own solar</t>
        </is>
      </c>
      <c r="D29" s="35" t="inlineStr">
        <is>
          <t>Off</t>
        </is>
      </c>
      <c r="E29" s="35" t="inlineStr">
        <is>
          <t>Off</t>
        </is>
      </c>
      <c r="F29" s="31" t="n">
        <v>0.1070823536469293</v>
      </c>
      <c r="G29" s="31" t="n">
        <v>0.1445849172968098</v>
      </c>
      <c r="H29" s="36" t="n">
        <v>117.8257591039409</v>
      </c>
      <c r="I29" s="36" t="n">
        <v>995.2418402874886</v>
      </c>
      <c r="J29" s="48" t="n">
        <v>1.277155733335908</v>
      </c>
      <c r="K29" s="27" t="n">
        <v>722.414711629237</v>
      </c>
      <c r="L29" s="34" t="n">
        <v>94.47259727843345</v>
      </c>
      <c r="M29" s="27" t="n">
        <v>206203.0600555208</v>
      </c>
      <c r="N29" s="36" t="n">
        <v>156.5752383621261</v>
      </c>
      <c r="O29" s="49" t="n">
        <v>5.857498819169668</v>
      </c>
    </row>
    <row r="30">
      <c r="A30" s="35" t="inlineStr">
        <is>
          <t>P8</t>
        </is>
      </c>
      <c r="B30" s="30" t="n">
        <v>2</v>
      </c>
      <c r="C30" s="35" t="inlineStr">
        <is>
          <t>Own solar</t>
        </is>
      </c>
      <c r="D30" s="35" t="inlineStr">
        <is>
          <t>Off</t>
        </is>
      </c>
      <c r="E30" s="35" t="inlineStr">
        <is>
          <t>On</t>
        </is>
      </c>
      <c r="F30" s="31" t="n">
        <v>0.1034581428218005</v>
      </c>
      <c r="G30" s="31" t="n">
        <v>0.1349435484246507</v>
      </c>
      <c r="H30" s="36" t="n">
        <v>91.56168523765004</v>
      </c>
      <c r="I30" s="36" t="n">
        <v>995.2418402874886</v>
      </c>
      <c r="J30" s="48" t="n">
        <v>1.321851466099288</v>
      </c>
      <c r="K30" s="27" t="n">
        <v>722.414711629237</v>
      </c>
      <c r="L30" s="34" t="n">
        <v>94.47259727843345</v>
      </c>
      <c r="M30" s="27" t="n">
        <v>206203.0600555208</v>
      </c>
      <c r="N30" s="36" t="n">
        <v>136.5752383621261</v>
      </c>
      <c r="O30" s="49" t="n">
        <v>6.044363939056923</v>
      </c>
    </row>
    <row r="31">
      <c r="A31" s="35" t="inlineStr">
        <is>
          <t>P8</t>
        </is>
      </c>
      <c r="B31" s="30" t="n">
        <v>2</v>
      </c>
      <c r="C31" s="35" t="inlineStr">
        <is>
          <t>Own solar</t>
        </is>
      </c>
      <c r="D31" s="35" t="inlineStr">
        <is>
          <t>On</t>
        </is>
      </c>
      <c r="E31" s="35" t="inlineStr">
        <is>
          <t>Off</t>
        </is>
      </c>
      <c r="F31" s="31" t="n">
        <v>0.1119728825483713</v>
      </c>
      <c r="G31" s="31" t="n">
        <v>0.1557744241783457</v>
      </c>
      <c r="H31" s="36" t="n">
        <v>156.3323123992527</v>
      </c>
      <c r="I31" s="36" t="n">
        <v>995.2418402874886</v>
      </c>
      <c r="J31" s="48" t="n">
        <v>1.313580537548708</v>
      </c>
      <c r="K31" s="27" t="n">
        <v>722.414711629237</v>
      </c>
      <c r="L31" s="34" t="n">
        <v>94.47259727843345</v>
      </c>
      <c r="M31" s="27" t="n">
        <v>206203.0600555208</v>
      </c>
      <c r="N31" s="36" t="n">
        <v>162.0576119981649</v>
      </c>
      <c r="O31" s="49" t="n">
        <v>5.857498819169668</v>
      </c>
    </row>
    <row r="32">
      <c r="A32" s="35" t="inlineStr">
        <is>
          <t>P8</t>
        </is>
      </c>
      <c r="B32" s="30" t="n">
        <v>2</v>
      </c>
      <c r="C32" s="35" t="inlineStr">
        <is>
          <t>Own solar</t>
        </is>
      </c>
      <c r="D32" s="35" t="inlineStr">
        <is>
          <t>On</t>
        </is>
      </c>
      <c r="E32" s="35" t="inlineStr">
        <is>
          <t>On</t>
        </is>
      </c>
      <c r="F32" s="31" t="n">
        <v>0.1082824521043971</v>
      </c>
      <c r="G32" s="31" t="n">
        <v>0.1454768960379677</v>
      </c>
      <c r="H32" s="36" t="n">
        <v>130.0682385329619</v>
      </c>
      <c r="I32" s="36" t="n">
        <v>995.2418402874886</v>
      </c>
      <c r="J32" s="48" t="n">
        <v>1.358276270312088</v>
      </c>
      <c r="K32" s="27" t="n">
        <v>722.414711629237</v>
      </c>
      <c r="L32" s="34" t="n">
        <v>94.47259727843345</v>
      </c>
      <c r="M32" s="27" t="n">
        <v>206203.0600555208</v>
      </c>
      <c r="N32" s="36" t="n">
        <v>142.0576119981649</v>
      </c>
      <c r="O32" s="49" t="n">
        <v>6.044363939056923</v>
      </c>
    </row>
    <row r="33">
      <c r="A33" s="35" t="inlineStr">
        <is>
          <t>P8</t>
        </is>
      </c>
      <c r="B33" s="30" t="n">
        <v>2</v>
      </c>
      <c r="C33" s="35" t="inlineStr">
        <is>
          <t>IEX + T-GNA</t>
        </is>
      </c>
      <c r="D33" s="35" t="inlineStr">
        <is>
          <t>Off</t>
        </is>
      </c>
      <c r="E33" s="35" t="inlineStr">
        <is>
          <t>Off</t>
        </is>
      </c>
      <c r="F33" s="31" t="n">
        <v>0.09465127953225727</v>
      </c>
      <c r="G33" s="31" t="n">
        <v>0.1173995733168</v>
      </c>
      <c r="H33" s="36" t="n">
        <v>15.59613189200577</v>
      </c>
      <c r="I33" s="36" t="n">
        <v>707.9664173966522</v>
      </c>
      <c r="J33" s="48" t="n">
        <v>1.216789954825456</v>
      </c>
      <c r="K33" s="27" t="n">
        <v>722.414711629237</v>
      </c>
      <c r="L33" s="34" t="n">
        <v>0</v>
      </c>
      <c r="M33" s="27" t="n">
        <v>216810</v>
      </c>
      <c r="N33" s="36" t="n">
        <v>104.9167944017982</v>
      </c>
      <c r="O33" s="49" t="n">
        <v>6.958620356247659</v>
      </c>
    </row>
    <row r="34">
      <c r="A34" s="35" t="inlineStr">
        <is>
          <t>P8</t>
        </is>
      </c>
      <c r="B34" s="30" t="n">
        <v>2</v>
      </c>
      <c r="C34" s="35" t="inlineStr">
        <is>
          <t>IEX + T-GNA</t>
        </is>
      </c>
      <c r="D34" s="35" t="inlineStr">
        <is>
          <t>Off</t>
        </is>
      </c>
      <c r="E34" s="35" t="inlineStr">
        <is>
          <t>On</t>
        </is>
      </c>
      <c r="F34" s="31" t="n">
        <v>0.08983497276431651</v>
      </c>
      <c r="G34" s="31" t="n">
        <v>0.106234299588149</v>
      </c>
      <c r="H34" s="36" t="n">
        <v>-10.66794197428507</v>
      </c>
      <c r="I34" s="36" t="n">
        <v>707.9664173966522</v>
      </c>
      <c r="J34" s="48" t="n">
        <v>1.263426774446076</v>
      </c>
      <c r="K34" s="27" t="n">
        <v>722.414711629237</v>
      </c>
      <c r="L34" s="34" t="n">
        <v>0</v>
      </c>
      <c r="M34" s="27" t="n">
        <v>216810</v>
      </c>
      <c r="N34" s="36" t="n">
        <v>84.91679440179819</v>
      </c>
      <c r="O34" s="49" t="n">
        <v>7.138159795245905</v>
      </c>
    </row>
    <row r="35">
      <c r="A35" s="35" t="inlineStr">
        <is>
          <t>P8</t>
        </is>
      </c>
      <c r="B35" s="30" t="n">
        <v>2</v>
      </c>
      <c r="C35" s="35" t="inlineStr">
        <is>
          <t>IEX + T-GNA</t>
        </is>
      </c>
      <c r="D35" s="35" t="inlineStr">
        <is>
          <t>On</t>
        </is>
      </c>
      <c r="E35" s="35" t="inlineStr">
        <is>
          <t>Off</t>
        </is>
      </c>
      <c r="F35" s="31" t="n">
        <v>0.1020639098541539</v>
      </c>
      <c r="G35" s="31" t="n">
        <v>0.1334834718169694</v>
      </c>
      <c r="H35" s="36" t="n">
        <v>56.10912049164809</v>
      </c>
      <c r="I35" s="36" t="n">
        <v>707.9664173966522</v>
      </c>
      <c r="J35" s="48" t="n">
        <v>1.272269259451959</v>
      </c>
      <c r="K35" s="27" t="n">
        <v>722.414711629237</v>
      </c>
      <c r="L35" s="34" t="n">
        <v>0</v>
      </c>
      <c r="M35" s="27" t="n">
        <v>216810</v>
      </c>
      <c r="N35" s="36" t="n">
        <v>110.8567944017982</v>
      </c>
      <c r="O35" s="49" t="n">
        <v>6.958620356247659</v>
      </c>
    </row>
    <row r="36">
      <c r="A36" s="35" t="inlineStr">
        <is>
          <t>P8</t>
        </is>
      </c>
      <c r="B36" s="30" t="n">
        <v>2</v>
      </c>
      <c r="C36" s="35" t="inlineStr">
        <is>
          <t>IEX + T-GNA</t>
        </is>
      </c>
      <c r="D36" s="35" t="inlineStr">
        <is>
          <t>On</t>
        </is>
      </c>
      <c r="E36" s="35" t="inlineStr">
        <is>
          <t>On</t>
        </is>
      </c>
      <c r="F36" s="31" t="n">
        <v>0.09710513598403125</v>
      </c>
      <c r="G36" s="31" t="n">
        <v>0.1210283596648117</v>
      </c>
      <c r="H36" s="36" t="n">
        <v>29.84504662535722</v>
      </c>
      <c r="I36" s="36" t="n">
        <v>707.9664173966522</v>
      </c>
      <c r="J36" s="48" t="n">
        <v>1.321802924184234</v>
      </c>
      <c r="K36" s="27" t="n">
        <v>722.414711629237</v>
      </c>
      <c r="L36" s="34" t="n">
        <v>0</v>
      </c>
      <c r="M36" s="27" t="n">
        <v>216810</v>
      </c>
      <c r="N36" s="36" t="n">
        <v>90.8567944017982</v>
      </c>
      <c r="O36" s="49" t="n">
        <v>7.138159795245905</v>
      </c>
    </row>
    <row r="37">
      <c r="A37" s="35" t="inlineStr">
        <is>
          <t>P8</t>
        </is>
      </c>
      <c r="B37" s="30" t="n">
        <v>2</v>
      </c>
      <c r="C37" s="35" t="inlineStr">
        <is>
          <t>IEX + GNA</t>
        </is>
      </c>
      <c r="D37" s="35" t="inlineStr">
        <is>
          <t>Off</t>
        </is>
      </c>
      <c r="E37" s="35" t="inlineStr">
        <is>
          <t>Off</t>
        </is>
      </c>
      <c r="F37" s="31" t="inlineStr">
        <is>
          <t>&lt; 0%</t>
        </is>
      </c>
      <c r="G37" s="31" t="inlineStr">
        <is>
          <t>&lt; 0%</t>
        </is>
      </c>
      <c r="H37" s="36" t="n">
        <v>-1068.679447660996</v>
      </c>
      <c r="I37" s="36" t="n">
        <v>707.9664173966522</v>
      </c>
      <c r="J37" s="48" t="n">
        <v>-0.9766532516227588</v>
      </c>
      <c r="K37" s="27" t="n">
        <v>722.414711629237</v>
      </c>
      <c r="L37" s="34" t="n">
        <v>0</v>
      </c>
      <c r="M37" s="27" t="n">
        <v>216810</v>
      </c>
      <c r="N37" s="36" t="n">
        <v>-22.64438543432904</v>
      </c>
      <c r="O37" s="49" t="n">
        <v>13.32878739467082</v>
      </c>
    </row>
    <row r="38">
      <c r="A38" s="35" t="inlineStr">
        <is>
          <t>P8</t>
        </is>
      </c>
      <c r="B38" s="30" t="n">
        <v>2</v>
      </c>
      <c r="C38" s="35" t="inlineStr">
        <is>
          <t>IEX + GNA</t>
        </is>
      </c>
      <c r="D38" s="35" t="inlineStr">
        <is>
          <t>Off</t>
        </is>
      </c>
      <c r="E38" s="35" t="inlineStr">
        <is>
          <t>On</t>
        </is>
      </c>
      <c r="F38" s="31" t="inlineStr">
        <is>
          <t>&lt; 0%</t>
        </is>
      </c>
      <c r="G38" s="31" t="inlineStr">
        <is>
          <t>&lt; 0%</t>
        </is>
      </c>
      <c r="H38" s="36" t="n">
        <v>-1103.77776901111</v>
      </c>
      <c r="I38" s="36" t="n">
        <v>707.9664173966522</v>
      </c>
      <c r="J38" s="48" t="n">
        <v>-0.9766532516227588</v>
      </c>
      <c r="K38" s="27" t="n">
        <v>722.414711629237</v>
      </c>
      <c r="L38" s="34" t="n">
        <v>0</v>
      </c>
      <c r="M38" s="27" t="n">
        <v>216810</v>
      </c>
      <c r="N38" s="36" t="n">
        <v>-42.64438543432904</v>
      </c>
      <c r="O38" s="49" t="n">
        <v>13.50832683366906</v>
      </c>
    </row>
    <row r="39">
      <c r="A39" s="35" t="inlineStr">
        <is>
          <t>P8</t>
        </is>
      </c>
      <c r="B39" s="30" t="n">
        <v>2</v>
      </c>
      <c r="C39" s="35" t="inlineStr">
        <is>
          <t>IEX + GNA</t>
        </is>
      </c>
      <c r="D39" s="35" t="inlineStr">
        <is>
          <t>On</t>
        </is>
      </c>
      <c r="E39" s="35" t="inlineStr">
        <is>
          <t>Off</t>
        </is>
      </c>
      <c r="F39" s="31" t="inlineStr">
        <is>
          <t>&lt; 0%</t>
        </is>
      </c>
      <c r="G39" s="31" t="inlineStr">
        <is>
          <t>&lt; 0%</t>
        </is>
      </c>
      <c r="H39" s="36" t="n">
        <v>-1015.120304857947</v>
      </c>
      <c r="I39" s="36" t="n">
        <v>707.9664173966522</v>
      </c>
      <c r="J39" s="48" t="n">
        <v>-0.8680293476630669</v>
      </c>
      <c r="K39" s="27" t="n">
        <v>722.414711629237</v>
      </c>
      <c r="L39" s="34" t="n">
        <v>0</v>
      </c>
      <c r="M39" s="27" t="n">
        <v>216810</v>
      </c>
      <c r="N39" s="36" t="n">
        <v>-16.70438543432904</v>
      </c>
      <c r="O39" s="49" t="n">
        <v>13.32878739467082</v>
      </c>
    </row>
    <row r="40">
      <c r="A40" s="35" t="inlineStr">
        <is>
          <t>P8</t>
        </is>
      </c>
      <c r="B40" s="30" t="n">
        <v>2</v>
      </c>
      <c r="C40" s="35" t="inlineStr">
        <is>
          <t>IEX + GNA</t>
        </is>
      </c>
      <c r="D40" s="35" t="inlineStr">
        <is>
          <t>On</t>
        </is>
      </c>
      <c r="E40" s="35" t="inlineStr">
        <is>
          <t>On</t>
        </is>
      </c>
      <c r="F40" s="31" t="inlineStr">
        <is>
          <t>&lt; 0%</t>
        </is>
      </c>
      <c r="G40" s="31" t="inlineStr">
        <is>
          <t>&lt; 0%</t>
        </is>
      </c>
      <c r="H40" s="36" t="n">
        <v>-1050.218626208062</v>
      </c>
      <c r="I40" s="36" t="n">
        <v>707.9664173966522</v>
      </c>
      <c r="J40" s="48" t="n">
        <v>-0.8680293476630669</v>
      </c>
      <c r="K40" s="27" t="n">
        <v>722.414711629237</v>
      </c>
      <c r="L40" s="34" t="n">
        <v>0</v>
      </c>
      <c r="M40" s="27" t="n">
        <v>216810</v>
      </c>
      <c r="N40" s="36" t="n">
        <v>-36.70438543432904</v>
      </c>
      <c r="O40" s="49" t="n">
        <v>13.50832683366906</v>
      </c>
    </row>
    <row r="41">
      <c r="A41" s="35" t="inlineStr">
        <is>
          <t>P8</t>
        </is>
      </c>
      <c r="B41" s="30" t="n">
        <v>4</v>
      </c>
      <c r="C41" s="35" t="inlineStr">
        <is>
          <t>Own solar</t>
        </is>
      </c>
      <c r="D41" s="35" t="inlineStr">
        <is>
          <t>Off</t>
        </is>
      </c>
      <c r="E41" s="35" t="inlineStr">
        <is>
          <t>Off</t>
        </is>
      </c>
      <c r="F41" s="31" t="n">
        <v>0.1042768396531309</v>
      </c>
      <c r="G41" s="31" t="n">
        <v>0.1382977356521028</v>
      </c>
      <c r="H41" s="36" t="n">
        <v>191.8374445518334</v>
      </c>
      <c r="I41" s="36" t="n">
        <v>1990.483680574977</v>
      </c>
      <c r="J41" s="48" t="n">
        <v>1.25666060678427</v>
      </c>
      <c r="K41" s="27" t="n">
        <v>1444.829423258474</v>
      </c>
      <c r="L41" s="34" t="n">
        <v>188.9451945568669</v>
      </c>
      <c r="M41" s="27" t="n">
        <v>412073.6562798821</v>
      </c>
      <c r="N41" s="36" t="n">
        <v>306.9809478055768</v>
      </c>
      <c r="O41" s="49" t="n">
        <v>5.866203696826856</v>
      </c>
    </row>
    <row r="42">
      <c r="A42" s="35" t="inlineStr">
        <is>
          <t>P8</t>
        </is>
      </c>
      <c r="B42" s="30" t="n">
        <v>4</v>
      </c>
      <c r="C42" s="35" t="inlineStr">
        <is>
          <t>Own solar</t>
        </is>
      </c>
      <c r="D42" s="35" t="inlineStr">
        <is>
          <t>Off</t>
        </is>
      </c>
      <c r="E42" s="35" t="inlineStr">
        <is>
          <t>On</t>
        </is>
      </c>
      <c r="F42" s="31" t="n">
        <v>0.1024676508136882</v>
      </c>
      <c r="G42" s="31" t="n">
        <v>0.1335353421545132</v>
      </c>
      <c r="H42" s="36" t="n">
        <v>165.5733706855426</v>
      </c>
      <c r="I42" s="36" t="n">
        <v>1990.483680574977</v>
      </c>
      <c r="J42" s="48" t="n">
        <v>1.27900847316596</v>
      </c>
      <c r="K42" s="27" t="n">
        <v>1444.829423258474</v>
      </c>
      <c r="L42" s="34" t="n">
        <v>188.9451945568669</v>
      </c>
      <c r="M42" s="27" t="n">
        <v>412073.6562798821</v>
      </c>
      <c r="N42" s="36" t="n">
        <v>286.9809478055768</v>
      </c>
      <c r="O42" s="49" t="n">
        <v>5.959713952453108</v>
      </c>
    </row>
    <row r="43">
      <c r="A43" s="35" t="inlineStr">
        <is>
          <t>P8</t>
        </is>
      </c>
      <c r="B43" s="30" t="n">
        <v>4</v>
      </c>
      <c r="C43" s="35" t="inlineStr">
        <is>
          <t>Own solar</t>
        </is>
      </c>
      <c r="D43" s="35" t="inlineStr">
        <is>
          <t>On</t>
        </is>
      </c>
      <c r="E43" s="35" t="inlineStr">
        <is>
          <t>Off</t>
        </is>
      </c>
      <c r="F43" s="31" t="n">
        <v>0.1091955042558893</v>
      </c>
      <c r="G43" s="31" t="n">
        <v>0.1493898875229999</v>
      </c>
      <c r="H43" s="36" t="n">
        <v>268.8163549677082</v>
      </c>
      <c r="I43" s="36" t="n">
        <v>1990.483680574977</v>
      </c>
      <c r="J43" s="48" t="n">
        <v>1.29306593269749</v>
      </c>
      <c r="K43" s="27" t="n">
        <v>1444.829423258474</v>
      </c>
      <c r="L43" s="34" t="n">
        <v>188.9451945568669</v>
      </c>
      <c r="M43" s="27" t="n">
        <v>412073.6562798821</v>
      </c>
      <c r="N43" s="36" t="n">
        <v>317.9398316382537</v>
      </c>
      <c r="O43" s="49" t="n">
        <v>5.866203696826856</v>
      </c>
    </row>
    <row r="44">
      <c r="A44" s="35" t="inlineStr">
        <is>
          <t>P8</t>
        </is>
      </c>
      <c r="B44" s="30" t="n">
        <v>4</v>
      </c>
      <c r="C44" s="35" t="inlineStr">
        <is>
          <t>Own solar</t>
        </is>
      </c>
      <c r="D44" s="35" t="inlineStr">
        <is>
          <t>On</t>
        </is>
      </c>
      <c r="E44" s="35" t="inlineStr">
        <is>
          <t>On</t>
        </is>
      </c>
      <c r="F44" s="31" t="n">
        <v>0.1073529383444488</v>
      </c>
      <c r="G44" s="31" t="n">
        <v>0.1442947478170754</v>
      </c>
      <c r="H44" s="36" t="n">
        <v>242.5522811014175</v>
      </c>
      <c r="I44" s="36" t="n">
        <v>1990.483680574977</v>
      </c>
      <c r="J44" s="48" t="n">
        <v>1.31541379907918</v>
      </c>
      <c r="K44" s="27" t="n">
        <v>1444.829423258474</v>
      </c>
      <c r="L44" s="34" t="n">
        <v>188.9451945568669</v>
      </c>
      <c r="M44" s="27" t="n">
        <v>412073.6562798821</v>
      </c>
      <c r="N44" s="36" t="n">
        <v>297.9398316382537</v>
      </c>
      <c r="O44" s="49" t="n">
        <v>5.959713952453108</v>
      </c>
    </row>
    <row r="45">
      <c r="A45" s="35" t="inlineStr">
        <is>
          <t>P8</t>
        </is>
      </c>
      <c r="B45" s="30" t="n">
        <v>4</v>
      </c>
      <c r="C45" s="35" t="inlineStr">
        <is>
          <t>IEX + T-GNA</t>
        </is>
      </c>
      <c r="D45" s="35" t="inlineStr">
        <is>
          <t>Off</t>
        </is>
      </c>
      <c r="E45" s="35" t="inlineStr">
        <is>
          <t>Off</t>
        </is>
      </c>
      <c r="F45" s="31" t="n">
        <v>0.08482042809196744</v>
      </c>
      <c r="G45" s="31" t="n">
        <v>0.09712023502651579</v>
      </c>
      <c r="H45" s="36" t="n">
        <v>-73.98927177895145</v>
      </c>
      <c r="I45" s="36" t="n">
        <v>1415.932834793304</v>
      </c>
      <c r="J45" s="48" t="n">
        <v>1.14477109551286</v>
      </c>
      <c r="K45" s="27" t="n">
        <v>1444.829423258474</v>
      </c>
      <c r="L45" s="34" t="n">
        <v>0</v>
      </c>
      <c r="M45" s="27" t="n">
        <v>433620</v>
      </c>
      <c r="N45" s="36" t="n">
        <v>194.4119094153343</v>
      </c>
      <c r="O45" s="49" t="n">
        <v>7.154936256419749</v>
      </c>
    </row>
    <row r="46">
      <c r="A46" s="35" t="inlineStr">
        <is>
          <t>P8</t>
        </is>
      </c>
      <c r="B46" s="30" t="n">
        <v>4</v>
      </c>
      <c r="C46" s="35" t="inlineStr">
        <is>
          <t>IEX + T-GNA</t>
        </is>
      </c>
      <c r="D46" s="35" t="inlineStr">
        <is>
          <t>Off</t>
        </is>
      </c>
      <c r="E46" s="35" t="inlineStr">
        <is>
          <t>On</t>
        </is>
      </c>
      <c r="F46" s="31" t="n">
        <v>0.08247565809426283</v>
      </c>
      <c r="G46" s="31" t="n">
        <v>0.09214223624441453</v>
      </c>
      <c r="H46" s="36" t="n">
        <v>-100.2533456452424</v>
      </c>
      <c r="I46" s="36" t="n">
        <v>1415.932834793304</v>
      </c>
      <c r="J46" s="48" t="n">
        <v>1.176187178419729</v>
      </c>
      <c r="K46" s="27" t="n">
        <v>1444.829423258474</v>
      </c>
      <c r="L46" s="34" t="n">
        <v>0</v>
      </c>
      <c r="M46" s="27" t="n">
        <v>433620</v>
      </c>
      <c r="N46" s="36" t="n">
        <v>174.4119094153343</v>
      </c>
      <c r="O46" s="49" t="n">
        <v>7.244705975918872</v>
      </c>
    </row>
    <row r="47">
      <c r="A47" s="35" t="inlineStr">
        <is>
          <t>P8</t>
        </is>
      </c>
      <c r="B47" s="30" t="n">
        <v>4</v>
      </c>
      <c r="C47" s="35" t="inlineStr">
        <is>
          <t>IEX + T-GNA</t>
        </is>
      </c>
      <c r="D47" s="35" t="inlineStr">
        <is>
          <t>On</t>
        </is>
      </c>
      <c r="E47" s="35" t="inlineStr">
        <is>
          <t>Off</t>
        </is>
      </c>
      <c r="F47" s="31" t="n">
        <v>0.09241559282980927</v>
      </c>
      <c r="G47" s="31" t="n">
        <v>0.1126842449061477</v>
      </c>
      <c r="H47" s="36" t="n">
        <v>7.036705420332783</v>
      </c>
      <c r="I47" s="36" t="n">
        <v>1415.932834793304</v>
      </c>
      <c r="J47" s="48" t="n">
        <v>1.200250400139363</v>
      </c>
      <c r="K47" s="27" t="n">
        <v>1444.829423258474</v>
      </c>
      <c r="L47" s="34" t="n">
        <v>0</v>
      </c>
      <c r="M47" s="27" t="n">
        <v>433620</v>
      </c>
      <c r="N47" s="36" t="n">
        <v>206.2919094153343</v>
      </c>
      <c r="O47" s="49" t="n">
        <v>7.154936256419749</v>
      </c>
    </row>
    <row r="48">
      <c r="A48" s="35" t="inlineStr">
        <is>
          <t>P8</t>
        </is>
      </c>
      <c r="B48" s="30" t="n">
        <v>4</v>
      </c>
      <c r="C48" s="35" t="inlineStr">
        <is>
          <t>IEX + T-GNA</t>
        </is>
      </c>
      <c r="D48" s="35" t="inlineStr">
        <is>
          <t>On</t>
        </is>
      </c>
      <c r="E48" s="35" t="inlineStr">
        <is>
          <t>On</t>
        </is>
      </c>
      <c r="F48" s="31" t="n">
        <v>0.08999850263673526</v>
      </c>
      <c r="G48" s="31" t="n">
        <v>0.1070903367676442</v>
      </c>
      <c r="H48" s="36" t="n">
        <v>-19.22736844595777</v>
      </c>
      <c r="I48" s="36" t="n">
        <v>1415.932834793304</v>
      </c>
      <c r="J48" s="48" t="n">
        <v>1.231666483046231</v>
      </c>
      <c r="K48" s="27" t="n">
        <v>1444.829423258474</v>
      </c>
      <c r="L48" s="34" t="n">
        <v>0</v>
      </c>
      <c r="M48" s="27" t="n">
        <v>433620</v>
      </c>
      <c r="N48" s="36" t="n">
        <v>186.2919094153343</v>
      </c>
      <c r="O48" s="49" t="n">
        <v>7.244705975918872</v>
      </c>
    </row>
    <row r="49">
      <c r="A49" s="35" t="inlineStr">
        <is>
          <t>P8</t>
        </is>
      </c>
      <c r="B49" s="30" t="n">
        <v>4</v>
      </c>
      <c r="C49" s="35" t="inlineStr">
        <is>
          <t>IEX + GNA</t>
        </is>
      </c>
      <c r="D49" s="35" t="inlineStr">
        <is>
          <t>Off</t>
        </is>
      </c>
      <c r="E49" s="35" t="inlineStr">
        <is>
          <t>Off</t>
        </is>
      </c>
      <c r="F49" s="31" t="n">
        <v>-0.01755575398728776</v>
      </c>
      <c r="G49" s="31" t="n">
        <v>-0.07731771702833362</v>
      </c>
      <c r="H49" s="36" t="n">
        <v>-920.5304691312272</v>
      </c>
      <c r="I49" s="36" t="n">
        <v>1415.932834793304</v>
      </c>
      <c r="J49" s="48" t="n">
        <v>0.44573637177076</v>
      </c>
      <c r="K49" s="27" t="n">
        <v>1444.829423258474</v>
      </c>
      <c r="L49" s="34" t="n">
        <v>0</v>
      </c>
      <c r="M49" s="27" t="n">
        <v>433620</v>
      </c>
      <c r="N49" s="36" t="n">
        <v>81.84954974307985</v>
      </c>
      <c r="O49" s="49" t="n">
        <v>9.994121981159832</v>
      </c>
    </row>
    <row r="50">
      <c r="A50" s="35" t="inlineStr">
        <is>
          <t>P8</t>
        </is>
      </c>
      <c r="B50" s="30" t="n">
        <v>4</v>
      </c>
      <c r="C50" s="35" t="inlineStr">
        <is>
          <t>IEX + GNA</t>
        </is>
      </c>
      <c r="D50" s="35" t="inlineStr">
        <is>
          <t>Off</t>
        </is>
      </c>
      <c r="E50" s="35" t="inlineStr">
        <is>
          <t>On</t>
        </is>
      </c>
      <c r="F50" s="31" t="n">
        <v>-0.01916609190354707</v>
      </c>
      <c r="G50" s="31" t="n">
        <v>-0.07855729893996838</v>
      </c>
      <c r="H50" s="36" t="n">
        <v>-946.7945429975182</v>
      </c>
      <c r="I50" s="36" t="n">
        <v>1415.932834793304</v>
      </c>
      <c r="J50" s="48" t="n">
        <v>0.44573637177076</v>
      </c>
      <c r="K50" s="27" t="n">
        <v>1444.829423258474</v>
      </c>
      <c r="L50" s="34" t="n">
        <v>0</v>
      </c>
      <c r="M50" s="27" t="n">
        <v>433620</v>
      </c>
      <c r="N50" s="36" t="n">
        <v>61.84954974307984</v>
      </c>
      <c r="O50" s="49" t="n">
        <v>10.08389170065895</v>
      </c>
    </row>
    <row r="51">
      <c r="A51" s="35" t="inlineStr">
        <is>
          <t>P8</t>
        </is>
      </c>
      <c r="B51" s="30" t="n">
        <v>4</v>
      </c>
      <c r="C51" s="35" t="inlineStr">
        <is>
          <t>IEX + GNA</t>
        </is>
      </c>
      <c r="D51" s="35" t="inlineStr">
        <is>
          <t>On</t>
        </is>
      </c>
      <c r="E51" s="35" t="inlineStr">
        <is>
          <t>Off</t>
        </is>
      </c>
      <c r="F51" s="31" t="n">
        <v>-0.003318224646259693</v>
      </c>
      <c r="G51" s="31" t="n">
        <v>-0.05603398279427124</v>
      </c>
      <c r="H51" s="36" t="n">
        <v>-835.148866742452</v>
      </c>
      <c r="I51" s="36" t="n">
        <v>1415.932834793304</v>
      </c>
      <c r="J51" s="48" t="n">
        <v>0.5543602757304519</v>
      </c>
      <c r="K51" s="27" t="n">
        <v>1444.829423258474</v>
      </c>
      <c r="L51" s="34" t="n">
        <v>0</v>
      </c>
      <c r="M51" s="27" t="n">
        <v>433620</v>
      </c>
      <c r="N51" s="36" t="n">
        <v>93.72954974307984</v>
      </c>
      <c r="O51" s="49" t="n">
        <v>9.994121981159832</v>
      </c>
    </row>
    <row r="52">
      <c r="A52" s="35" t="inlineStr">
        <is>
          <t>P8</t>
        </is>
      </c>
      <c r="B52" s="30" t="n">
        <v>4</v>
      </c>
      <c r="C52" s="35" t="inlineStr">
        <is>
          <t>IEX + GNA</t>
        </is>
      </c>
      <c r="D52" s="35" t="inlineStr">
        <is>
          <t>On</t>
        </is>
      </c>
      <c r="E52" s="35" t="inlineStr">
        <is>
          <t>On</t>
        </is>
      </c>
      <c r="F52" s="31" t="n">
        <v>-0.005004959852649316</v>
      </c>
      <c r="G52" s="31" t="n">
        <v>-0.05757952931804994</v>
      </c>
      <c r="H52" s="36" t="n">
        <v>-861.4129406087427</v>
      </c>
      <c r="I52" s="36" t="n">
        <v>1415.932834793304</v>
      </c>
      <c r="J52" s="48" t="n">
        <v>0.5543602757304519</v>
      </c>
      <c r="K52" s="27" t="n">
        <v>1444.829423258474</v>
      </c>
      <c r="L52" s="34" t="n">
        <v>0</v>
      </c>
      <c r="M52" s="27" t="n">
        <v>433620</v>
      </c>
      <c r="N52" s="36" t="n">
        <v>73.72954974307984</v>
      </c>
      <c r="O52" s="49" t="n">
        <v>10.08389170065895</v>
      </c>
    </row>
    <row r="53">
      <c r="A53" s="35" t="inlineStr">
        <is>
          <t>P12</t>
        </is>
      </c>
      <c r="B53" s="30" t="n">
        <v>2</v>
      </c>
      <c r="C53" s="35" t="inlineStr">
        <is>
          <t>Own solar</t>
        </is>
      </c>
      <c r="D53" s="35" t="inlineStr">
        <is>
          <t>Off</t>
        </is>
      </c>
      <c r="E53" s="35" t="inlineStr">
        <is>
          <t>Off</t>
        </is>
      </c>
      <c r="F53" s="31" t="n">
        <v>0.1070886570351205</v>
      </c>
      <c r="G53" s="31" t="n">
        <v>0.1445986130078097</v>
      </c>
      <c r="H53" s="36" t="n">
        <v>98.24225295209723</v>
      </c>
      <c r="I53" s="36" t="n">
        <v>829.4757940309186</v>
      </c>
      <c r="J53" s="48" t="n">
        <v>1.277092518695436</v>
      </c>
      <c r="K53" s="27" t="n">
        <v>602.0122596910307</v>
      </c>
      <c r="L53" s="34" t="n">
        <v>78.72716439869453</v>
      </c>
      <c r="M53" s="27" t="n">
        <v>171835.8833796001</v>
      </c>
      <c r="N53" s="36" t="n">
        <v>130.4883625316678</v>
      </c>
      <c r="O53" s="49" t="n">
        <v>5.856921661268959</v>
      </c>
    </row>
    <row r="54">
      <c r="A54" s="35" t="inlineStr">
        <is>
          <t>P12</t>
        </is>
      </c>
      <c r="B54" s="30" t="n">
        <v>2</v>
      </c>
      <c r="C54" s="35" t="inlineStr">
        <is>
          <t>Own solar</t>
        </is>
      </c>
      <c r="D54" s="35" t="inlineStr">
        <is>
          <t>Off</t>
        </is>
      </c>
      <c r="E54" s="35" t="inlineStr">
        <is>
          <t>On</t>
        </is>
      </c>
      <c r="F54" s="31" t="n">
        <v>0.1027552524194454</v>
      </c>
      <c r="G54" s="31" t="n">
        <v>0.1331489492321466</v>
      </c>
      <c r="H54" s="36" t="n">
        <v>71.97817908580626</v>
      </c>
      <c r="I54" s="36" t="n">
        <v>829.4757940309186</v>
      </c>
      <c r="J54" s="48" t="n">
        <v>1.330720440870542</v>
      </c>
      <c r="K54" s="27" t="n">
        <v>602.0122596910307</v>
      </c>
      <c r="L54" s="34" t="n">
        <v>78.72716439869453</v>
      </c>
      <c r="M54" s="27" t="n">
        <v>171835.8833796001</v>
      </c>
      <c r="N54" s="36" t="n">
        <v>110.4883625316678</v>
      </c>
      <c r="O54" s="49" t="n">
        <v>6.081159805133669</v>
      </c>
    </row>
    <row r="55">
      <c r="A55" s="35" t="inlineStr">
        <is>
          <t>P12</t>
        </is>
      </c>
      <c r="B55" s="30" t="n">
        <v>2</v>
      </c>
      <c r="C55" s="35" t="inlineStr">
        <is>
          <t>Own solar</t>
        </is>
      </c>
      <c r="D55" s="35" t="inlineStr">
        <is>
          <t>On</t>
        </is>
      </c>
      <c r="E55" s="35" t="inlineStr">
        <is>
          <t>Off</t>
        </is>
      </c>
      <c r="F55" s="31" t="n">
        <v>0.1119784694473652</v>
      </c>
      <c r="G55" s="31" t="n">
        <v>0.1557866098915383</v>
      </c>
      <c r="H55" s="36" t="n">
        <v>130.3310473648567</v>
      </c>
      <c r="I55" s="36" t="n">
        <v>829.4757940309186</v>
      </c>
      <c r="J55" s="48" t="n">
        <v>1.313512598137707</v>
      </c>
      <c r="K55" s="27" t="n">
        <v>602.0122596910307</v>
      </c>
      <c r="L55" s="34" t="n">
        <v>78.72716439869453</v>
      </c>
      <c r="M55" s="27" t="n">
        <v>171835.8833796001</v>
      </c>
      <c r="N55" s="36" t="n">
        <v>135.0570072283665</v>
      </c>
      <c r="O55" s="49" t="n">
        <v>5.856921661268959</v>
      </c>
    </row>
    <row r="56">
      <c r="A56" s="35" t="inlineStr">
        <is>
          <t>P12</t>
        </is>
      </c>
      <c r="B56" s="30" t="n">
        <v>2</v>
      </c>
      <c r="C56" s="35" t="inlineStr">
        <is>
          <t>Own solar</t>
        </is>
      </c>
      <c r="D56" s="35" t="inlineStr">
        <is>
          <t>On</t>
        </is>
      </c>
      <c r="E56" s="35" t="inlineStr">
        <is>
          <t>On</t>
        </is>
      </c>
      <c r="F56" s="31" t="n">
        <v>0.107565850313775</v>
      </c>
      <c r="G56" s="31" t="n">
        <v>0.1435590998808197</v>
      </c>
      <c r="H56" s="36" t="n">
        <v>104.0669734985658</v>
      </c>
      <c r="I56" s="36" t="n">
        <v>829.4757940309186</v>
      </c>
      <c r="J56" s="48" t="n">
        <v>1.367140520312813</v>
      </c>
      <c r="K56" s="27" t="n">
        <v>602.0122596910307</v>
      </c>
      <c r="L56" s="34" t="n">
        <v>78.72716439869453</v>
      </c>
      <c r="M56" s="27" t="n">
        <v>171835.8833796001</v>
      </c>
      <c r="N56" s="36" t="n">
        <v>115.0570072283665</v>
      </c>
      <c r="O56" s="49" t="n">
        <v>6.081159805133669</v>
      </c>
    </row>
    <row r="57">
      <c r="A57" s="35" t="inlineStr">
        <is>
          <t>P12</t>
        </is>
      </c>
      <c r="B57" s="30" t="n">
        <v>2</v>
      </c>
      <c r="C57" s="35" t="inlineStr">
        <is>
          <t>IEX + T-GNA</t>
        </is>
      </c>
      <c r="D57" s="35" t="inlineStr">
        <is>
          <t>Off</t>
        </is>
      </c>
      <c r="E57" s="35" t="inlineStr">
        <is>
          <t>Off</t>
        </is>
      </c>
      <c r="F57" s="31" t="n">
        <v>0.09465127953225727</v>
      </c>
      <c r="G57" s="31" t="n">
        <v>0.1173995733167997</v>
      </c>
      <c r="H57" s="36" t="n">
        <v>12.99677657667115</v>
      </c>
      <c r="I57" s="36" t="n">
        <v>589.9720144972101</v>
      </c>
      <c r="J57" s="48" t="n">
        <v>1.216789954825456</v>
      </c>
      <c r="K57" s="27" t="n">
        <v>602.0122596910307</v>
      </c>
      <c r="L57" s="34" t="n">
        <v>0</v>
      </c>
      <c r="M57" s="27" t="n">
        <v>180675</v>
      </c>
      <c r="N57" s="36" t="n">
        <v>87.43066200149846</v>
      </c>
      <c r="O57" s="49" t="n">
        <v>6.958620356247666</v>
      </c>
    </row>
    <row r="58">
      <c r="A58" s="35" t="inlineStr">
        <is>
          <t>P12</t>
        </is>
      </c>
      <c r="B58" s="30" t="n">
        <v>2</v>
      </c>
      <c r="C58" s="35" t="inlineStr">
        <is>
          <t>IEX + T-GNA</t>
        </is>
      </c>
      <c r="D58" s="35" t="inlineStr">
        <is>
          <t>Off</t>
        </is>
      </c>
      <c r="E58" s="35" t="inlineStr">
        <is>
          <t>On</t>
        </is>
      </c>
      <c r="F58" s="31" t="n">
        <v>0.08890045090367715</v>
      </c>
      <c r="G58" s="31" t="n">
        <v>0.1041866260693337</v>
      </c>
      <c r="H58" s="36" t="n">
        <v>-13.26729728961966</v>
      </c>
      <c r="I58" s="36" t="n">
        <v>589.9720144972101</v>
      </c>
      <c r="J58" s="48" t="n">
        <v>1.263426774446076</v>
      </c>
      <c r="K58" s="27" t="n">
        <v>602.0122596910307</v>
      </c>
      <c r="L58" s="34" t="n">
        <v>0</v>
      </c>
      <c r="M58" s="27" t="n">
        <v>180675</v>
      </c>
      <c r="N58" s="36" t="n">
        <v>67.43066200149846</v>
      </c>
      <c r="O58" s="49" t="n">
        <v>7.174067683045562</v>
      </c>
    </row>
    <row r="59">
      <c r="A59" s="35" t="inlineStr">
        <is>
          <t>P12</t>
        </is>
      </c>
      <c r="B59" s="30" t="n">
        <v>2</v>
      </c>
      <c r="C59" s="35" t="inlineStr">
        <is>
          <t>IEX + T-GNA</t>
        </is>
      </c>
      <c r="D59" s="35" t="inlineStr">
        <is>
          <t>On</t>
        </is>
      </c>
      <c r="E59" s="35" t="inlineStr">
        <is>
          <t>Off</t>
        </is>
      </c>
      <c r="F59" s="31" t="n">
        <v>0.1020639098541539</v>
      </c>
      <c r="G59" s="31" t="n">
        <v>0.1334834718169694</v>
      </c>
      <c r="H59" s="36" t="n">
        <v>46.75760040970655</v>
      </c>
      <c r="I59" s="36" t="n">
        <v>589.9720144972101</v>
      </c>
      <c r="J59" s="48" t="n">
        <v>1.272269259451959</v>
      </c>
      <c r="K59" s="27" t="n">
        <v>602.0122596910307</v>
      </c>
      <c r="L59" s="34" t="n">
        <v>0</v>
      </c>
      <c r="M59" s="27" t="n">
        <v>180675</v>
      </c>
      <c r="N59" s="36" t="n">
        <v>92.38066200149846</v>
      </c>
      <c r="O59" s="49" t="n">
        <v>6.958620356247666</v>
      </c>
    </row>
    <row r="60">
      <c r="A60" s="35" t="inlineStr">
        <is>
          <t>P12</t>
        </is>
      </c>
      <c r="B60" s="30" t="n">
        <v>2</v>
      </c>
      <c r="C60" s="35" t="inlineStr">
        <is>
          <t>IEX + T-GNA</t>
        </is>
      </c>
      <c r="D60" s="35" t="inlineStr">
        <is>
          <t>On</t>
        </is>
      </c>
      <c r="E60" s="35" t="inlineStr">
        <is>
          <t>On</t>
        </is>
      </c>
      <c r="F60" s="31" t="n">
        <v>0.09614286065962252</v>
      </c>
      <c r="G60" s="31" t="n">
        <v>0.1187504947005954</v>
      </c>
      <c r="H60" s="36" t="n">
        <v>20.49352654341574</v>
      </c>
      <c r="I60" s="36" t="n">
        <v>589.9720144972101</v>
      </c>
      <c r="J60" s="48" t="n">
        <v>1.321802924184233</v>
      </c>
      <c r="K60" s="27" t="n">
        <v>602.0122596910307</v>
      </c>
      <c r="L60" s="34" t="n">
        <v>0</v>
      </c>
      <c r="M60" s="27" t="n">
        <v>180675</v>
      </c>
      <c r="N60" s="36" t="n">
        <v>72.38066200149846</v>
      </c>
      <c r="O60" s="49" t="n">
        <v>7.174067683045562</v>
      </c>
    </row>
    <row r="61">
      <c r="A61" s="35" t="inlineStr">
        <is>
          <t>P12</t>
        </is>
      </c>
      <c r="B61" s="30" t="n">
        <v>2</v>
      </c>
      <c r="C61" s="35" t="inlineStr">
        <is>
          <t>IEX + GNA</t>
        </is>
      </c>
      <c r="D61" s="35" t="inlineStr">
        <is>
          <t>Off</t>
        </is>
      </c>
      <c r="E61" s="35" t="inlineStr">
        <is>
          <t>Off</t>
        </is>
      </c>
      <c r="F61" s="31" t="inlineStr">
        <is>
          <t>&lt; 0%</t>
        </is>
      </c>
      <c r="G61" s="31" t="inlineStr">
        <is>
          <t>&lt; 0%</t>
        </is>
      </c>
      <c r="H61" s="36" t="n">
        <v>-890.5662063841633</v>
      </c>
      <c r="I61" s="36" t="n">
        <v>589.9720144972101</v>
      </c>
      <c r="J61" s="48" t="n">
        <v>-0.9766532516227604</v>
      </c>
      <c r="K61" s="27" t="n">
        <v>602.0122596910307</v>
      </c>
      <c r="L61" s="34" t="n">
        <v>0</v>
      </c>
      <c r="M61" s="27" t="n">
        <v>180675</v>
      </c>
      <c r="N61" s="36" t="n">
        <v>-18.87032119527425</v>
      </c>
      <c r="O61" s="49" t="n">
        <v>13.32878739467082</v>
      </c>
    </row>
    <row r="62">
      <c r="A62" s="35" t="inlineStr">
        <is>
          <t>P12</t>
        </is>
      </c>
      <c r="B62" s="30" t="n">
        <v>2</v>
      </c>
      <c r="C62" s="35" t="inlineStr">
        <is>
          <t>IEX + GNA</t>
        </is>
      </c>
      <c r="D62" s="35" t="inlineStr">
        <is>
          <t>Off</t>
        </is>
      </c>
      <c r="E62" s="35" t="inlineStr">
        <is>
          <t>On</t>
        </is>
      </c>
      <c r="F62" s="31" t="inlineStr">
        <is>
          <t>&lt; 0%</t>
        </is>
      </c>
      <c r="G62" s="31" t="inlineStr">
        <is>
          <t>&lt; 0%</t>
        </is>
      </c>
      <c r="H62" s="36" t="n">
        <v>-925.664527734278</v>
      </c>
      <c r="I62" s="36" t="n">
        <v>589.9720144972101</v>
      </c>
      <c r="J62" s="48" t="n">
        <v>-0.9766532516227604</v>
      </c>
      <c r="K62" s="27" t="n">
        <v>602.0122596910307</v>
      </c>
      <c r="L62" s="34" t="n">
        <v>0</v>
      </c>
      <c r="M62" s="27" t="n">
        <v>180675</v>
      </c>
      <c r="N62" s="36" t="n">
        <v>-38.87032119527424</v>
      </c>
      <c r="O62" s="49" t="n">
        <v>13.54423472146872</v>
      </c>
    </row>
    <row r="63">
      <c r="A63" s="35" t="inlineStr">
        <is>
          <t>P12</t>
        </is>
      </c>
      <c r="B63" s="30" t="n">
        <v>2</v>
      </c>
      <c r="C63" s="35" t="inlineStr">
        <is>
          <t>IEX + GNA</t>
        </is>
      </c>
      <c r="D63" s="35" t="inlineStr">
        <is>
          <t>On</t>
        </is>
      </c>
      <c r="E63" s="35" t="inlineStr">
        <is>
          <t>Off</t>
        </is>
      </c>
      <c r="F63" s="31" t="inlineStr">
        <is>
          <t>&lt; 0%</t>
        </is>
      </c>
      <c r="G63" s="31" t="inlineStr">
        <is>
          <t>&lt; 0%</t>
        </is>
      </c>
      <c r="H63" s="36" t="n">
        <v>-845.9335873816229</v>
      </c>
      <c r="I63" s="36" t="n">
        <v>589.9720144972101</v>
      </c>
      <c r="J63" s="48" t="n">
        <v>-0.8680293476630679</v>
      </c>
      <c r="K63" s="27" t="n">
        <v>602.0122596910307</v>
      </c>
      <c r="L63" s="34" t="n">
        <v>0</v>
      </c>
      <c r="M63" s="27" t="n">
        <v>180675</v>
      </c>
      <c r="N63" s="36" t="n">
        <v>-13.92032119527425</v>
      </c>
      <c r="O63" s="49" t="n">
        <v>13.32878739467082</v>
      </c>
    </row>
    <row r="64">
      <c r="A64" s="35" t="inlineStr">
        <is>
          <t>P12</t>
        </is>
      </c>
      <c r="B64" s="30" t="n">
        <v>2</v>
      </c>
      <c r="C64" s="35" t="inlineStr">
        <is>
          <t>IEX + GNA</t>
        </is>
      </c>
      <c r="D64" s="35" t="inlineStr">
        <is>
          <t>On</t>
        </is>
      </c>
      <c r="E64" s="35" t="inlineStr">
        <is>
          <t>On</t>
        </is>
      </c>
      <c r="F64" s="31" t="inlineStr">
        <is>
          <t>&lt; 0%</t>
        </is>
      </c>
      <c r="G64" s="31" t="inlineStr">
        <is>
          <t>&lt; 0%</t>
        </is>
      </c>
      <c r="H64" s="36" t="n">
        <v>-881.0319087317379</v>
      </c>
      <c r="I64" s="36" t="n">
        <v>589.9720144972101</v>
      </c>
      <c r="J64" s="48" t="n">
        <v>-0.8680293476630679</v>
      </c>
      <c r="K64" s="27" t="n">
        <v>602.0122596910307</v>
      </c>
      <c r="L64" s="34" t="n">
        <v>0</v>
      </c>
      <c r="M64" s="27" t="n">
        <v>180675</v>
      </c>
      <c r="N64" s="36" t="n">
        <v>-33.92032119527425</v>
      </c>
      <c r="O64" s="49" t="n">
        <v>13.54423472146872</v>
      </c>
    </row>
    <row r="65">
      <c r="A65" s="35" t="inlineStr">
        <is>
          <t>P12</t>
        </is>
      </c>
      <c r="B65" s="30" t="n">
        <v>4</v>
      </c>
      <c r="C65" s="35" t="inlineStr">
        <is>
          <t>Own solar</t>
        </is>
      </c>
      <c r="D65" s="35" t="inlineStr">
        <is>
          <t>Off</t>
        </is>
      </c>
      <c r="E65" s="35" t="inlineStr">
        <is>
          <t>Off</t>
        </is>
      </c>
      <c r="F65" s="31" t="n">
        <v>0.1043184198125205</v>
      </c>
      <c r="G65" s="31" t="n">
        <v>0.1383897856238111</v>
      </c>
      <c r="H65" s="36" t="n">
        <v>160.4251606419824</v>
      </c>
      <c r="I65" s="36" t="n">
        <v>1658.951588061837</v>
      </c>
      <c r="J65" s="48" t="n">
        <v>1.256854701562048</v>
      </c>
      <c r="K65" s="27" t="n">
        <v>1204.024519382061</v>
      </c>
      <c r="L65" s="34" t="n">
        <v>157.4543287973891</v>
      </c>
      <c r="M65" s="27" t="n">
        <v>343444.7514706115</v>
      </c>
      <c r="N65" s="36" t="n">
        <v>255.8993393280425</v>
      </c>
      <c r="O65" s="49" t="n">
        <v>5.864105878490562</v>
      </c>
    </row>
    <row r="66">
      <c r="A66" s="35" t="inlineStr">
        <is>
          <t>P12</t>
        </is>
      </c>
      <c r="B66" s="30" t="n">
        <v>4</v>
      </c>
      <c r="C66" s="35" t="inlineStr">
        <is>
          <t>Own solar</t>
        </is>
      </c>
      <c r="D66" s="35" t="inlineStr">
        <is>
          <t>Off</t>
        </is>
      </c>
      <c r="E66" s="35" t="inlineStr">
        <is>
          <t>On</t>
        </is>
      </c>
      <c r="F66" s="31" t="n">
        <v>0.1021511767674222</v>
      </c>
      <c r="G66" s="31" t="n">
        <v>0.132702752650674</v>
      </c>
      <c r="H66" s="36" t="n">
        <v>134.1610867756916</v>
      </c>
      <c r="I66" s="36" t="n">
        <v>1658.951588061837</v>
      </c>
      <c r="J66" s="48" t="n">
        <v>1.283668662649601</v>
      </c>
      <c r="K66" s="27" t="n">
        <v>1204.024519382061</v>
      </c>
      <c r="L66" s="34" t="n">
        <v>157.4543287973891</v>
      </c>
      <c r="M66" s="27" t="n">
        <v>343444.7514706115</v>
      </c>
      <c r="N66" s="36" t="n">
        <v>235.8993393280425</v>
      </c>
      <c r="O66" s="49" t="n">
        <v>5.976301088438849</v>
      </c>
    </row>
    <row r="67">
      <c r="A67" s="35" t="inlineStr">
        <is>
          <t>P12</t>
        </is>
      </c>
      <c r="B67" s="30" t="n">
        <v>4</v>
      </c>
      <c r="C67" s="35" t="inlineStr">
        <is>
          <t>Own solar</t>
        </is>
      </c>
      <c r="D67" s="35" t="inlineStr">
        <is>
          <t>On</t>
        </is>
      </c>
      <c r="E67" s="35" t="inlineStr">
        <is>
          <t>Off</t>
        </is>
      </c>
      <c r="F67" s="31" t="n">
        <v>0.1092360789716519</v>
      </c>
      <c r="G67" s="31" t="n">
        <v>0.1494818577395175</v>
      </c>
      <c r="H67" s="36" t="n">
        <v>224.5756369377563</v>
      </c>
      <c r="I67" s="36" t="n">
        <v>1658.951588061837</v>
      </c>
      <c r="J67" s="48" t="n">
        <v>1.293256251301097</v>
      </c>
      <c r="K67" s="27" t="n">
        <v>1204.024519382061</v>
      </c>
      <c r="L67" s="34" t="n">
        <v>157.4543287973891</v>
      </c>
      <c r="M67" s="27" t="n">
        <v>343444.7514706115</v>
      </c>
      <c r="N67" s="36" t="n">
        <v>265.0319798776345</v>
      </c>
      <c r="O67" s="49" t="n">
        <v>5.864105878490562</v>
      </c>
    </row>
    <row r="68">
      <c r="A68" s="35" t="inlineStr">
        <is>
          <t>P12</t>
        </is>
      </c>
      <c r="B68" s="30" t="n">
        <v>4</v>
      </c>
      <c r="C68" s="35" t="inlineStr">
        <is>
          <t>Own solar</t>
        </is>
      </c>
      <c r="D68" s="35" t="inlineStr">
        <is>
          <t>On</t>
        </is>
      </c>
      <c r="E68" s="35" t="inlineStr">
        <is>
          <t>On</t>
        </is>
      </c>
      <c r="F68" s="31" t="n">
        <v>0.1070288525485591</v>
      </c>
      <c r="G68" s="31" t="n">
        <v>0.1433980110580889</v>
      </c>
      <c r="H68" s="36" t="n">
        <v>198.3115630714654</v>
      </c>
      <c r="I68" s="36" t="n">
        <v>1658.951588061837</v>
      </c>
      <c r="J68" s="48" t="n">
        <v>1.32007021238865</v>
      </c>
      <c r="K68" s="27" t="n">
        <v>1204.024519382061</v>
      </c>
      <c r="L68" s="34" t="n">
        <v>157.4543287973891</v>
      </c>
      <c r="M68" s="27" t="n">
        <v>343444.7514706115</v>
      </c>
      <c r="N68" s="36" t="n">
        <v>245.0319798776345</v>
      </c>
      <c r="O68" s="49" t="n">
        <v>5.976301088438849</v>
      </c>
    </row>
    <row r="69">
      <c r="A69" s="35" t="inlineStr">
        <is>
          <t>P12</t>
        </is>
      </c>
      <c r="B69" s="30" t="n">
        <v>4</v>
      </c>
      <c r="C69" s="35" t="inlineStr">
        <is>
          <t>IEX + T-GNA</t>
        </is>
      </c>
      <c r="D69" s="35" t="inlineStr">
        <is>
          <t>Off</t>
        </is>
      </c>
      <c r="E69" s="35" t="inlineStr">
        <is>
          <t>Off</t>
        </is>
      </c>
      <c r="F69" s="31" t="n">
        <v>0.08482042809196744</v>
      </c>
      <c r="G69" s="31" t="n">
        <v>0.09712023502651579</v>
      </c>
      <c r="H69" s="36" t="n">
        <v>-61.65772648245991</v>
      </c>
      <c r="I69" s="36" t="n">
        <v>1179.94402899442</v>
      </c>
      <c r="J69" s="48" t="n">
        <v>1.14477109551286</v>
      </c>
      <c r="K69" s="27" t="n">
        <v>1204.024519382061</v>
      </c>
      <c r="L69" s="34" t="n">
        <v>0</v>
      </c>
      <c r="M69" s="27" t="n">
        <v>361350</v>
      </c>
      <c r="N69" s="36" t="n">
        <v>162.0099245127786</v>
      </c>
      <c r="O69" s="49" t="n">
        <v>7.154936256419751</v>
      </c>
    </row>
    <row r="70">
      <c r="A70" s="35" t="inlineStr">
        <is>
          <t>P12</t>
        </is>
      </c>
      <c r="B70" s="30" t="n">
        <v>4</v>
      </c>
      <c r="C70" s="35" t="inlineStr">
        <is>
          <t>IEX + T-GNA</t>
        </is>
      </c>
      <c r="D70" s="35" t="inlineStr">
        <is>
          <t>Off</t>
        </is>
      </c>
      <c r="E70" s="35" t="inlineStr">
        <is>
          <t>On</t>
        </is>
      </c>
      <c r="F70" s="31" t="n">
        <v>0.08201383200946288</v>
      </c>
      <c r="G70" s="31" t="n">
        <v>0.09118795214568987</v>
      </c>
      <c r="H70" s="36" t="n">
        <v>-87.92180034875066</v>
      </c>
      <c r="I70" s="36" t="n">
        <v>1179.94402899442</v>
      </c>
      <c r="J70" s="48" t="n">
        <v>1.182470395001102</v>
      </c>
      <c r="K70" s="27" t="n">
        <v>1204.024519382061</v>
      </c>
      <c r="L70" s="34" t="n">
        <v>0</v>
      </c>
      <c r="M70" s="27" t="n">
        <v>361350</v>
      </c>
      <c r="N70" s="36" t="n">
        <v>142.0099245127786</v>
      </c>
      <c r="O70" s="49" t="n">
        <v>7.262659919818698</v>
      </c>
    </row>
    <row r="71">
      <c r="A71" s="35" t="inlineStr">
        <is>
          <t>P12</t>
        </is>
      </c>
      <c r="B71" s="30" t="n">
        <v>4</v>
      </c>
      <c r="C71" s="35" t="inlineStr">
        <is>
          <t>IEX + T-GNA</t>
        </is>
      </c>
      <c r="D71" s="35" t="inlineStr">
        <is>
          <t>On</t>
        </is>
      </c>
      <c r="E71" s="35" t="inlineStr">
        <is>
          <t>Off</t>
        </is>
      </c>
      <c r="F71" s="31" t="n">
        <v>0.09241559282980927</v>
      </c>
      <c r="G71" s="31" t="n">
        <v>0.1126842449061477</v>
      </c>
      <c r="H71" s="36" t="n">
        <v>5.863921183610597</v>
      </c>
      <c r="I71" s="36" t="n">
        <v>1179.94402899442</v>
      </c>
      <c r="J71" s="48" t="n">
        <v>1.200250400139363</v>
      </c>
      <c r="K71" s="27" t="n">
        <v>1204.024519382061</v>
      </c>
      <c r="L71" s="34" t="n">
        <v>0</v>
      </c>
      <c r="M71" s="27" t="n">
        <v>361350</v>
      </c>
      <c r="N71" s="36" t="n">
        <v>171.9099245127785</v>
      </c>
      <c r="O71" s="49" t="n">
        <v>7.154936256419751</v>
      </c>
    </row>
    <row r="72">
      <c r="A72" s="35" t="inlineStr">
        <is>
          <t>P12</t>
        </is>
      </c>
      <c r="B72" s="30" t="n">
        <v>4</v>
      </c>
      <c r="C72" s="35" t="inlineStr">
        <is>
          <t>IEX + T-GNA</t>
        </is>
      </c>
      <c r="D72" s="35" t="inlineStr">
        <is>
          <t>On</t>
        </is>
      </c>
      <c r="E72" s="35" t="inlineStr">
        <is>
          <t>On</t>
        </is>
      </c>
      <c r="F72" s="31" t="n">
        <v>0.08952240685735957</v>
      </c>
      <c r="G72" s="31" t="n">
        <v>0.1060199045390159</v>
      </c>
      <c r="H72" s="36" t="n">
        <v>-20.40015268268007</v>
      </c>
      <c r="I72" s="36" t="n">
        <v>1179.94402899442</v>
      </c>
      <c r="J72" s="48" t="n">
        <v>1.237949699627605</v>
      </c>
      <c r="K72" s="27" t="n">
        <v>1204.024519382061</v>
      </c>
      <c r="L72" s="34" t="n">
        <v>0</v>
      </c>
      <c r="M72" s="27" t="n">
        <v>361350</v>
      </c>
      <c r="N72" s="36" t="n">
        <v>151.9099245127785</v>
      </c>
      <c r="O72" s="49" t="n">
        <v>7.262659919818698</v>
      </c>
    </row>
    <row r="73">
      <c r="A73" s="35" t="inlineStr">
        <is>
          <t>P12</t>
        </is>
      </c>
      <c r="B73" s="30" t="n">
        <v>4</v>
      </c>
      <c r="C73" s="35" t="inlineStr">
        <is>
          <t>IEX + GNA</t>
        </is>
      </c>
      <c r="D73" s="35" t="inlineStr">
        <is>
          <t>Off</t>
        </is>
      </c>
      <c r="E73" s="35" t="inlineStr">
        <is>
          <t>Off</t>
        </is>
      </c>
      <c r="F73" s="31" t="n">
        <v>-0.01755575398728787</v>
      </c>
      <c r="G73" s="31" t="n">
        <v>-0.07731771702833362</v>
      </c>
      <c r="H73" s="36" t="n">
        <v>-767.1087242760226</v>
      </c>
      <c r="I73" s="36" t="n">
        <v>1179.94402899442</v>
      </c>
      <c r="J73" s="48" t="n">
        <v>0.44573637177076</v>
      </c>
      <c r="K73" s="27" t="n">
        <v>1204.024519382061</v>
      </c>
      <c r="L73" s="34" t="n">
        <v>0</v>
      </c>
      <c r="M73" s="27" t="n">
        <v>361350</v>
      </c>
      <c r="N73" s="36" t="n">
        <v>68.20795811923313</v>
      </c>
      <c r="O73" s="49" t="n">
        <v>9.994121981159843</v>
      </c>
    </row>
    <row r="74">
      <c r="A74" s="35" t="inlineStr">
        <is>
          <t>P12</t>
        </is>
      </c>
      <c r="B74" s="30" t="n">
        <v>4</v>
      </c>
      <c r="C74" s="35" t="inlineStr">
        <is>
          <t>IEX + GNA</t>
        </is>
      </c>
      <c r="D74" s="35" t="inlineStr">
        <is>
          <t>Off</t>
        </is>
      </c>
      <c r="E74" s="35" t="inlineStr">
        <is>
          <t>On</t>
        </is>
      </c>
      <c r="F74" s="31" t="n">
        <v>-0.01951673590112929</v>
      </c>
      <c r="G74" s="31" t="n">
        <v>-0.0788003381460099</v>
      </c>
      <c r="H74" s="36" t="n">
        <v>-793.8125073760009</v>
      </c>
      <c r="I74" s="36" t="n">
        <v>1179.94402899442</v>
      </c>
      <c r="J74" s="48" t="n">
        <v>0.44573637177076</v>
      </c>
      <c r="K74" s="27" t="n">
        <v>1204.024519382061</v>
      </c>
      <c r="L74" s="34" t="n">
        <v>0</v>
      </c>
      <c r="M74" s="27" t="n">
        <v>361350</v>
      </c>
      <c r="N74" s="36" t="n">
        <v>48.20795811923313</v>
      </c>
      <c r="O74" s="49" t="n">
        <v>10.10184564455879</v>
      </c>
    </row>
    <row r="75">
      <c r="A75" s="35" t="inlineStr">
        <is>
          <t>P12</t>
        </is>
      </c>
      <c r="B75" s="30" t="n">
        <v>4</v>
      </c>
      <c r="C75" s="35" t="inlineStr">
        <is>
          <t>IEX + GNA</t>
        </is>
      </c>
      <c r="D75" s="35" t="inlineStr">
        <is>
          <t>On</t>
        </is>
      </c>
      <c r="E75" s="35" t="inlineStr">
        <is>
          <t>Off</t>
        </is>
      </c>
      <c r="F75" s="31" t="n">
        <v>-0.003318224646259804</v>
      </c>
      <c r="G75" s="31" t="n">
        <v>-0.05603398279427124</v>
      </c>
      <c r="H75" s="36" t="n">
        <v>-695.9573889520436</v>
      </c>
      <c r="I75" s="36" t="n">
        <v>1179.94402899442</v>
      </c>
      <c r="J75" s="48" t="n">
        <v>0.5543602757304519</v>
      </c>
      <c r="K75" s="27" t="n">
        <v>1204.024519382061</v>
      </c>
      <c r="L75" s="34" t="n">
        <v>0</v>
      </c>
      <c r="M75" s="27" t="n">
        <v>361350</v>
      </c>
      <c r="N75" s="36" t="n">
        <v>78.10795811923313</v>
      </c>
      <c r="O75" s="49" t="n">
        <v>9.994121981159843</v>
      </c>
    </row>
    <row r="76">
      <c r="A76" s="35" t="inlineStr">
        <is>
          <t>P12</t>
        </is>
      </c>
      <c r="B76" s="30" t="n">
        <v>4</v>
      </c>
      <c r="C76" s="35" t="inlineStr">
        <is>
          <t>IEX + GNA</t>
        </is>
      </c>
      <c r="D76" s="35" t="inlineStr">
        <is>
          <t>On</t>
        </is>
      </c>
      <c r="E76" s="35" t="inlineStr">
        <is>
          <t>On</t>
        </is>
      </c>
      <c r="F76" s="31" t="n">
        <v>-0.005337096448255696</v>
      </c>
      <c r="G76" s="31" t="n">
        <v>-0.05788148683047839</v>
      </c>
      <c r="H76" s="36" t="n">
        <v>-722.2214628183342</v>
      </c>
      <c r="I76" s="36" t="n">
        <v>1179.94402899442</v>
      </c>
      <c r="J76" s="48" t="n">
        <v>0.5543602757304519</v>
      </c>
      <c r="K76" s="27" t="n">
        <v>1204.024519382061</v>
      </c>
      <c r="L76" s="34" t="n">
        <v>0</v>
      </c>
      <c r="M76" s="27" t="n">
        <v>361350</v>
      </c>
      <c r="N76" s="36" t="n">
        <v>58.10795811923313</v>
      </c>
      <c r="O76" s="49" t="n">
        <v>10.10184564455879</v>
      </c>
    </row>
    <row r="78">
      <c r="A78" s="5" t="inlineStr">
        <is>
          <t>CATL 12,000-cycle · IEX only (DAM/DAM, equity cost on)</t>
        </is>
      </c>
    </row>
    <row r="79">
      <c r="A79" s="3" t="inlineStr">
        <is>
          <t>Plant</t>
        </is>
      </c>
      <c r="B79" s="3" t="inlineStr">
        <is>
          <t>Hours</t>
        </is>
      </c>
      <c r="C79" s="3" t="inlineStr">
        <is>
          <t>Transmission</t>
        </is>
      </c>
      <c r="D79" s="3" t="inlineStr">
        <is>
          <t>1-cycle project IRR</t>
        </is>
      </c>
      <c r="E79" s="3" t="inlineStr">
        <is>
          <t>1-cycle equity IRR</t>
        </is>
      </c>
      <c r="F79" s="3" t="inlineStr">
        <is>
          <t>2-cycle project IRR</t>
        </is>
      </c>
      <c r="G79" s="3" t="inlineStr">
        <is>
          <t>2-cycle equity IRR</t>
        </is>
      </c>
      <c r="H79" s="3" t="inlineStr">
        <is>
          <t>2-cycle replacement year</t>
        </is>
      </c>
    </row>
    <row r="80">
      <c r="A80" s="6" t="inlineStr">
        <is>
          <t>P7</t>
        </is>
      </c>
      <c r="B80" s="6" t="n">
        <v>2</v>
      </c>
      <c r="C80" s="6" t="inlineStr">
        <is>
          <t>T-GNA</t>
        </is>
      </c>
      <c r="D80" s="31" t="n">
        <v>0.08007608077092765</v>
      </c>
      <c r="E80" s="31" t="n">
        <v>0.08783844386325812</v>
      </c>
      <c r="F80" s="31" t="n">
        <v>0.04314931689722645</v>
      </c>
      <c r="G80" s="31" t="n">
        <v>0.02034395352887242</v>
      </c>
      <c r="H80" s="6" t="inlineStr">
        <is>
          <t>15</t>
        </is>
      </c>
    </row>
    <row r="81">
      <c r="A81" s="6" t="inlineStr">
        <is>
          <t>P7</t>
        </is>
      </c>
      <c r="B81" s="6" t="n">
        <v>2</v>
      </c>
      <c r="C81" s="6" t="inlineStr">
        <is>
          <t>GNA</t>
        </is>
      </c>
      <c r="D81" s="31" t="inlineStr">
        <is>
          <t>&lt; 0%</t>
        </is>
      </c>
      <c r="E81" s="31" t="inlineStr">
        <is>
          <t>&lt; 0%</t>
        </is>
      </c>
      <c r="F81" s="31" t="inlineStr">
        <is>
          <t>&lt; 0%</t>
        </is>
      </c>
      <c r="G81" s="31" t="inlineStr">
        <is>
          <t>&lt; 0%</t>
        </is>
      </c>
      <c r="H81" s="6" t="inlineStr">
        <is>
          <t>15</t>
        </is>
      </c>
    </row>
    <row r="82">
      <c r="A82" s="6" t="inlineStr">
        <is>
          <t>P7</t>
        </is>
      </c>
      <c r="B82" s="6" t="n">
        <v>4</v>
      </c>
      <c r="C82" s="6" t="inlineStr">
        <is>
          <t>T-GNA</t>
        </is>
      </c>
      <c r="D82" s="31" t="n">
        <v>0.06701021747393454</v>
      </c>
      <c r="E82" s="31" t="n">
        <v>0.06322630819864294</v>
      </c>
      <c r="F82" s="31" t="n">
        <v>-0.006736953864342421</v>
      </c>
      <c r="G82" s="31" t="n">
        <v>-0.05865957225013746</v>
      </c>
      <c r="H82" s="6" t="inlineStr">
        <is>
          <t>15</t>
        </is>
      </c>
    </row>
    <row r="83">
      <c r="A83" s="6" t="inlineStr">
        <is>
          <t>P7</t>
        </is>
      </c>
      <c r="B83" s="6" t="n">
        <v>4</v>
      </c>
      <c r="C83" s="6" t="inlineStr">
        <is>
          <t>GNA</t>
        </is>
      </c>
      <c r="D83" s="31" t="inlineStr">
        <is>
          <t>&lt; 0%</t>
        </is>
      </c>
      <c r="E83" s="31" t="inlineStr">
        <is>
          <t>&lt; 0%</t>
        </is>
      </c>
      <c r="F83" s="31" t="inlineStr">
        <is>
          <t>&lt; 0%</t>
        </is>
      </c>
      <c r="G83" s="31" t="inlineStr">
        <is>
          <t>&lt; 0%</t>
        </is>
      </c>
      <c r="H83" s="6" t="inlineStr">
        <is>
          <t>15</t>
        </is>
      </c>
    </row>
    <row r="84">
      <c r="A84" s="6" t="inlineStr">
        <is>
          <t>P8</t>
        </is>
      </c>
      <c r="B84" s="6" t="n">
        <v>2</v>
      </c>
      <c r="C84" s="6" t="inlineStr">
        <is>
          <t>T-GNA</t>
        </is>
      </c>
      <c r="D84" s="31" t="n">
        <v>0.08007608077092765</v>
      </c>
      <c r="E84" s="31" t="n">
        <v>0.08783844386325812</v>
      </c>
      <c r="F84" s="31" t="n">
        <v>0.04314931689722645</v>
      </c>
      <c r="G84" s="31" t="n">
        <v>0.02034395352887242</v>
      </c>
      <c r="H84" s="6" t="inlineStr">
        <is>
          <t>15</t>
        </is>
      </c>
    </row>
    <row r="85">
      <c r="A85" s="6" t="inlineStr">
        <is>
          <t>P8</t>
        </is>
      </c>
      <c r="B85" s="6" t="n">
        <v>2</v>
      </c>
      <c r="C85" s="6" t="inlineStr">
        <is>
          <t>GNA</t>
        </is>
      </c>
      <c r="D85" s="31" t="inlineStr">
        <is>
          <t>&lt; 0%</t>
        </is>
      </c>
      <c r="E85" s="31" t="inlineStr">
        <is>
          <t>&lt; 0%</t>
        </is>
      </c>
      <c r="F85" s="31" t="inlineStr">
        <is>
          <t>&lt; 0%</t>
        </is>
      </c>
      <c r="G85" s="31" t="inlineStr">
        <is>
          <t>&lt; 0%</t>
        </is>
      </c>
      <c r="H85" s="6" t="inlineStr">
        <is>
          <t>15</t>
        </is>
      </c>
    </row>
    <row r="86">
      <c r="A86" s="6" t="inlineStr">
        <is>
          <t>P8</t>
        </is>
      </c>
      <c r="B86" s="6" t="n">
        <v>4</v>
      </c>
      <c r="C86" s="6" t="inlineStr">
        <is>
          <t>T-GNA</t>
        </is>
      </c>
      <c r="D86" s="31" t="n">
        <v>0.06701021747393454</v>
      </c>
      <c r="E86" s="31" t="n">
        <v>0.06322630819864294</v>
      </c>
      <c r="F86" s="31" t="n">
        <v>-0.006736953864342421</v>
      </c>
      <c r="G86" s="31" t="n">
        <v>-0.05865957225013746</v>
      </c>
      <c r="H86" s="6" t="inlineStr">
        <is>
          <t>15</t>
        </is>
      </c>
    </row>
    <row r="87">
      <c r="A87" s="6" t="inlineStr">
        <is>
          <t>P8</t>
        </is>
      </c>
      <c r="B87" s="6" t="n">
        <v>4</v>
      </c>
      <c r="C87" s="6" t="inlineStr">
        <is>
          <t>GNA</t>
        </is>
      </c>
      <c r="D87" s="31" t="inlineStr">
        <is>
          <t>&lt; 0%</t>
        </is>
      </c>
      <c r="E87" s="31" t="inlineStr">
        <is>
          <t>&lt; 0%</t>
        </is>
      </c>
      <c r="F87" s="31" t="inlineStr">
        <is>
          <t>&lt; 0%</t>
        </is>
      </c>
      <c r="G87" s="31" t="inlineStr">
        <is>
          <t>&lt; 0%</t>
        </is>
      </c>
      <c r="H87" s="6" t="inlineStr">
        <is>
          <t>15</t>
        </is>
      </c>
    </row>
    <row r="88">
      <c r="A88" s="6" t="inlineStr">
        <is>
          <t>P12</t>
        </is>
      </c>
      <c r="B88" s="6" t="n">
        <v>2</v>
      </c>
      <c r="C88" s="6" t="inlineStr">
        <is>
          <t>T-GNA</t>
        </is>
      </c>
      <c r="D88" s="31" t="n">
        <v>0.07921997582947504</v>
      </c>
      <c r="E88" s="31" t="n">
        <v>0.08561457197690181</v>
      </c>
      <c r="F88" s="31" t="n">
        <v>0.04238568346385685</v>
      </c>
      <c r="G88" s="31" t="n">
        <v>0.01902563256188061</v>
      </c>
      <c r="H88" s="6" t="inlineStr">
        <is>
          <t>15</t>
        </is>
      </c>
    </row>
    <row r="89">
      <c r="A89" s="6" t="inlineStr">
        <is>
          <t>P12</t>
        </is>
      </c>
      <c r="B89" s="6" t="n">
        <v>2</v>
      </c>
      <c r="C89" s="6" t="inlineStr">
        <is>
          <t>GNA</t>
        </is>
      </c>
      <c r="D89" s="31" t="inlineStr">
        <is>
          <t>&lt; 0%</t>
        </is>
      </c>
      <c r="E89" s="31" t="inlineStr">
        <is>
          <t>&lt; 0%</t>
        </is>
      </c>
      <c r="F89" s="31" t="inlineStr">
        <is>
          <t>&lt; 0%</t>
        </is>
      </c>
      <c r="G89" s="31" t="inlineStr">
        <is>
          <t>&lt; 0%</t>
        </is>
      </c>
      <c r="H89" s="6" t="inlineStr">
        <is>
          <t>15</t>
        </is>
      </c>
    </row>
    <row r="90">
      <c r="A90" s="6" t="inlineStr">
        <is>
          <t>P12</t>
        </is>
      </c>
      <c r="B90" s="6" t="n">
        <v>4</v>
      </c>
      <c r="C90" s="6" t="inlineStr">
        <is>
          <t>T-GNA</t>
        </is>
      </c>
      <c r="D90" s="31" t="n">
        <v>0.06659678766007937</v>
      </c>
      <c r="E90" s="31" t="n">
        <v>0.06225556436756696</v>
      </c>
      <c r="F90" s="31" t="n">
        <v>-0.007051470548252892</v>
      </c>
      <c r="G90" s="31" t="n">
        <v>-0.05892826127595158</v>
      </c>
      <c r="H90" s="6" t="inlineStr">
        <is>
          <t>15</t>
        </is>
      </c>
    </row>
    <row r="91">
      <c r="A91" s="6" t="inlineStr">
        <is>
          <t>P12</t>
        </is>
      </c>
      <c r="B91" s="6" t="n">
        <v>4</v>
      </c>
      <c r="C91" s="6" t="inlineStr">
        <is>
          <t>GNA</t>
        </is>
      </c>
      <c r="D91" s="31" t="inlineStr">
        <is>
          <t>&lt; 0%</t>
        </is>
      </c>
      <c r="E91" s="31" t="inlineStr">
        <is>
          <t>&lt; 0%</t>
        </is>
      </c>
      <c r="F91" s="31" t="inlineStr">
        <is>
          <t>&lt; 0%</t>
        </is>
      </c>
      <c r="G91" s="31" t="inlineStr">
        <is>
          <t>&lt; 0%</t>
        </is>
      </c>
      <c r="H91" s="6" t="inlineStr">
        <is>
          <t>15</t>
        </is>
      </c>
    </row>
    <row r="93">
      <c r="A93" s="5" t="inlineStr">
        <is>
          <t>Solar PPA · solar at ₹2.545/kWh, BESS ₹0.98 Cr/MWh, flexible ₹7.00/kWh, equity cost on</t>
        </is>
      </c>
    </row>
    <row r="94">
      <c r="A94" s="3" t="inlineStr">
        <is>
          <t>Plant</t>
        </is>
      </c>
      <c r="B94" s="3" t="inlineStr">
        <is>
          <t>Hours</t>
        </is>
      </c>
      <c r="C94" s="3" t="inlineStr">
        <is>
          <t>Sale</t>
        </is>
      </c>
      <c r="D94" s="3" t="inlineStr">
        <is>
          <t>Project IRR</t>
        </is>
      </c>
      <c r="E94" s="3" t="inlineStr">
        <is>
          <t>Equity IRR</t>
        </is>
      </c>
      <c r="F94" s="3" t="inlineStr">
        <is>
          <t>NPV ₹ Cr</t>
        </is>
      </c>
      <c r="G94" s="3" t="inlineStr">
        <is>
          <t>Sale price ₹/MWh</t>
        </is>
      </c>
      <c r="H94" s="3" t="inlineStr">
        <is>
          <t>Full-charge days</t>
        </is>
      </c>
    </row>
    <row r="95">
      <c r="A95" s="35" t="inlineStr">
        <is>
          <t>P7</t>
        </is>
      </c>
      <c r="B95" s="30" t="n">
        <v>2</v>
      </c>
      <c r="C95" s="35" t="inlineStr">
        <is>
          <t>DAM</t>
        </is>
      </c>
      <c r="D95" s="31" t="n">
        <v>0.0682882190752595</v>
      </c>
      <c r="E95" s="31" t="n">
        <v>0.06484361712398778</v>
      </c>
      <c r="F95" s="36" t="n">
        <v>-126.1485942143495</v>
      </c>
      <c r="G95" s="27" t="n">
        <v>7121.626369863014</v>
      </c>
      <c r="H95" s="30" t="n">
        <v>365</v>
      </c>
    </row>
    <row r="96">
      <c r="A96" s="35" t="inlineStr">
        <is>
          <t>P7</t>
        </is>
      </c>
      <c r="B96" s="30" t="n">
        <v>2</v>
      </c>
      <c r="C96" s="35" t="inlineStr">
        <is>
          <t>GDAM</t>
        </is>
      </c>
      <c r="D96" s="31" t="n">
        <v>0.08875084266233346</v>
      </c>
      <c r="E96" s="31" t="n">
        <v>0.104078666358762</v>
      </c>
      <c r="F96" s="36" t="n">
        <v>-16.64689822938385</v>
      </c>
      <c r="G96" s="27" t="n">
        <v>7862.141095890411</v>
      </c>
      <c r="H96" s="30" t="n">
        <v>365</v>
      </c>
    </row>
    <row r="97">
      <c r="A97" s="35" t="inlineStr">
        <is>
          <t>P7</t>
        </is>
      </c>
      <c r="B97" s="30" t="n">
        <v>2</v>
      </c>
      <c r="C97" s="35" t="inlineStr">
        <is>
          <t>RTM</t>
        </is>
      </c>
      <c r="D97" s="31" t="n">
        <v>0.03864494690816189</v>
      </c>
      <c r="E97" s="31" t="n">
        <v>0.01395327793633172</v>
      </c>
      <c r="F97" s="36" t="n">
        <v>-271.586020064498</v>
      </c>
      <c r="G97" s="27" t="n">
        <v>6138.093150684931</v>
      </c>
      <c r="H97" s="30" t="n">
        <v>365</v>
      </c>
    </row>
    <row r="98">
      <c r="A98" s="35" t="inlineStr">
        <is>
          <t>P7</t>
        </is>
      </c>
      <c r="B98" s="30" t="n">
        <v>2</v>
      </c>
      <c r="C98" s="35" t="inlineStr">
        <is>
          <t>Flexible</t>
        </is>
      </c>
      <c r="D98" s="31" t="n">
        <v>0.06523145007912479</v>
      </c>
      <c r="E98" s="31" t="n">
        <v>0.0592159363245538</v>
      </c>
      <c r="F98" s="36" t="n">
        <v>-141.9156923237371</v>
      </c>
      <c r="G98" s="27" t="n">
        <v>7000</v>
      </c>
      <c r="H98" s="30" t="n">
        <v>365</v>
      </c>
    </row>
    <row r="99">
      <c r="A99" s="35" t="inlineStr">
        <is>
          <t>P7</t>
        </is>
      </c>
      <c r="B99" s="30" t="n">
        <v>4</v>
      </c>
      <c r="C99" s="35" t="inlineStr">
        <is>
          <t>DAM</t>
        </is>
      </c>
      <c r="D99" s="31" t="n">
        <v>0.06519766857603548</v>
      </c>
      <c r="E99" s="31" t="n">
        <v>0.0599872601632202</v>
      </c>
      <c r="F99" s="36" t="n">
        <v>-279.6745396827076</v>
      </c>
      <c r="G99" s="27" t="n">
        <v>6940.24897260274</v>
      </c>
      <c r="H99" s="30" t="n">
        <v>365</v>
      </c>
    </row>
    <row r="100">
      <c r="A100" s="35" t="inlineStr">
        <is>
          <t>P7</t>
        </is>
      </c>
      <c r="B100" s="30" t="n">
        <v>4</v>
      </c>
      <c r="C100" s="35" t="inlineStr">
        <is>
          <t>GDAM</t>
        </is>
      </c>
      <c r="D100" s="31" t="n">
        <v>0.08677463063028801</v>
      </c>
      <c r="E100" s="31" t="n">
        <v>0.1006064310084508</v>
      </c>
      <c r="F100" s="36" t="n">
        <v>-54.1518482285579</v>
      </c>
      <c r="G100" s="27" t="n">
        <v>7702.807363013699</v>
      </c>
      <c r="H100" s="30" t="n">
        <v>365</v>
      </c>
    </row>
    <row r="101">
      <c r="A101" s="35" t="inlineStr">
        <is>
          <t>P7</t>
        </is>
      </c>
      <c r="B101" s="30" t="n">
        <v>4</v>
      </c>
      <c r="C101" s="35" t="inlineStr">
        <is>
          <t>RTM</t>
        </is>
      </c>
      <c r="D101" s="31" t="n">
        <v>0.03810531197942002</v>
      </c>
      <c r="E101" s="31" t="n">
        <v>0.01295580421312803</v>
      </c>
      <c r="F101" s="36" t="n">
        <v>-539.2341678676109</v>
      </c>
      <c r="G101" s="27" t="n">
        <v>6062.601712328767</v>
      </c>
      <c r="H101" s="30" t="n">
        <v>365</v>
      </c>
    </row>
    <row r="102">
      <c r="A102" s="35" t="inlineStr">
        <is>
          <t>P7</t>
        </is>
      </c>
      <c r="B102" s="30" t="n">
        <v>4</v>
      </c>
      <c r="C102" s="35" t="inlineStr">
        <is>
          <t>Flexible</t>
        </is>
      </c>
      <c r="D102" s="31" t="n">
        <v>0.06737949163015078</v>
      </c>
      <c r="E102" s="31" t="n">
        <v>0.06396131875394639</v>
      </c>
      <c r="F102" s="36" t="n">
        <v>-257.5673107811832</v>
      </c>
      <c r="G102" s="27" t="n">
        <v>7000</v>
      </c>
      <c r="H102" s="30" t="n">
        <v>365</v>
      </c>
    </row>
    <row r="103">
      <c r="A103" s="35" t="inlineStr">
        <is>
          <t>P8</t>
        </is>
      </c>
      <c r="B103" s="30" t="n">
        <v>2</v>
      </c>
      <c r="C103" s="35" t="inlineStr">
        <is>
          <t>DAM</t>
        </is>
      </c>
      <c r="D103" s="31" t="n">
        <v>0.0682882190752595</v>
      </c>
      <c r="E103" s="31" t="n">
        <v>0.06484361712398778</v>
      </c>
      <c r="F103" s="36" t="n">
        <v>-126.1485942143495</v>
      </c>
      <c r="G103" s="27" t="n">
        <v>7121.626369863014</v>
      </c>
      <c r="H103" s="30" t="n">
        <v>365</v>
      </c>
    </row>
    <row r="104">
      <c r="A104" s="35" t="inlineStr">
        <is>
          <t>P8</t>
        </is>
      </c>
      <c r="B104" s="30" t="n">
        <v>2</v>
      </c>
      <c r="C104" s="35" t="inlineStr">
        <is>
          <t>GDAM</t>
        </is>
      </c>
      <c r="D104" s="31" t="n">
        <v>0.08875084266233346</v>
      </c>
      <c r="E104" s="31" t="n">
        <v>0.104078666358762</v>
      </c>
      <c r="F104" s="36" t="n">
        <v>-16.64689822938385</v>
      </c>
      <c r="G104" s="27" t="n">
        <v>7862.141095890411</v>
      </c>
      <c r="H104" s="30" t="n">
        <v>365</v>
      </c>
    </row>
    <row r="105">
      <c r="A105" s="35" t="inlineStr">
        <is>
          <t>P8</t>
        </is>
      </c>
      <c r="B105" s="30" t="n">
        <v>2</v>
      </c>
      <c r="C105" s="35" t="inlineStr">
        <is>
          <t>RTM</t>
        </is>
      </c>
      <c r="D105" s="31" t="n">
        <v>0.03864494690816189</v>
      </c>
      <c r="E105" s="31" t="n">
        <v>0.01395327793633172</v>
      </c>
      <c r="F105" s="36" t="n">
        <v>-271.586020064498</v>
      </c>
      <c r="G105" s="27" t="n">
        <v>6138.093150684931</v>
      </c>
      <c r="H105" s="30" t="n">
        <v>365</v>
      </c>
    </row>
    <row r="106">
      <c r="A106" s="35" t="inlineStr">
        <is>
          <t>P8</t>
        </is>
      </c>
      <c r="B106" s="30" t="n">
        <v>2</v>
      </c>
      <c r="C106" s="35" t="inlineStr">
        <is>
          <t>Flexible</t>
        </is>
      </c>
      <c r="D106" s="31" t="n">
        <v>0.06523145007912479</v>
      </c>
      <c r="E106" s="31" t="n">
        <v>0.0592159363245538</v>
      </c>
      <c r="F106" s="36" t="n">
        <v>-141.9156923237371</v>
      </c>
      <c r="G106" s="27" t="n">
        <v>7000</v>
      </c>
      <c r="H106" s="30" t="n">
        <v>365</v>
      </c>
    </row>
    <row r="107">
      <c r="A107" s="35" t="inlineStr">
        <is>
          <t>P8</t>
        </is>
      </c>
      <c r="B107" s="30" t="n">
        <v>4</v>
      </c>
      <c r="C107" s="35" t="inlineStr">
        <is>
          <t>DAM</t>
        </is>
      </c>
      <c r="D107" s="31" t="n">
        <v>0.06519766857603548</v>
      </c>
      <c r="E107" s="31" t="n">
        <v>0.0599872601632202</v>
      </c>
      <c r="F107" s="36" t="n">
        <v>-279.6745396827076</v>
      </c>
      <c r="G107" s="27" t="n">
        <v>6940.24897260274</v>
      </c>
      <c r="H107" s="30" t="n">
        <v>365</v>
      </c>
    </row>
    <row r="108">
      <c r="A108" s="35" t="inlineStr">
        <is>
          <t>P8</t>
        </is>
      </c>
      <c r="B108" s="30" t="n">
        <v>4</v>
      </c>
      <c r="C108" s="35" t="inlineStr">
        <is>
          <t>GDAM</t>
        </is>
      </c>
      <c r="D108" s="31" t="n">
        <v>0.08677463063028801</v>
      </c>
      <c r="E108" s="31" t="n">
        <v>0.1006064310084508</v>
      </c>
      <c r="F108" s="36" t="n">
        <v>-54.1518482285579</v>
      </c>
      <c r="G108" s="27" t="n">
        <v>7702.807363013699</v>
      </c>
      <c r="H108" s="30" t="n">
        <v>365</v>
      </c>
    </row>
    <row r="109">
      <c r="A109" s="35" t="inlineStr">
        <is>
          <t>P8</t>
        </is>
      </c>
      <c r="B109" s="30" t="n">
        <v>4</v>
      </c>
      <c r="C109" s="35" t="inlineStr">
        <is>
          <t>RTM</t>
        </is>
      </c>
      <c r="D109" s="31" t="n">
        <v>0.03810531197942002</v>
      </c>
      <c r="E109" s="31" t="n">
        <v>0.01295580421312803</v>
      </c>
      <c r="F109" s="36" t="n">
        <v>-539.2341678676109</v>
      </c>
      <c r="G109" s="27" t="n">
        <v>6062.601712328767</v>
      </c>
      <c r="H109" s="30" t="n">
        <v>365</v>
      </c>
    </row>
    <row r="110">
      <c r="A110" s="35" t="inlineStr">
        <is>
          <t>P8</t>
        </is>
      </c>
      <c r="B110" s="30" t="n">
        <v>4</v>
      </c>
      <c r="C110" s="35" t="inlineStr">
        <is>
          <t>Flexible</t>
        </is>
      </c>
      <c r="D110" s="31" t="n">
        <v>0.06737949163015078</v>
      </c>
      <c r="E110" s="31" t="n">
        <v>0.06396131875394639</v>
      </c>
      <c r="F110" s="36" t="n">
        <v>-257.5673107811832</v>
      </c>
      <c r="G110" s="27" t="n">
        <v>7000</v>
      </c>
      <c r="H110" s="30" t="n">
        <v>365</v>
      </c>
    </row>
    <row r="111">
      <c r="A111" s="35" t="inlineStr">
        <is>
          <t>P12</t>
        </is>
      </c>
      <c r="B111" s="30" t="n">
        <v>2</v>
      </c>
      <c r="C111" s="35" t="inlineStr">
        <is>
          <t>DAM</t>
        </is>
      </c>
      <c r="D111" s="31" t="n">
        <v>0.06743317429537166</v>
      </c>
      <c r="E111" s="31" t="n">
        <v>0.06289980270861173</v>
      </c>
      <c r="F111" s="36" t="n">
        <v>-109.5011741563386</v>
      </c>
      <c r="G111" s="27" t="n">
        <v>7121.626369863014</v>
      </c>
      <c r="H111" s="30" t="n">
        <v>365</v>
      </c>
    </row>
    <row r="112">
      <c r="A112" s="35" t="inlineStr">
        <is>
          <t>P12</t>
        </is>
      </c>
      <c r="B112" s="30" t="n">
        <v>2</v>
      </c>
      <c r="C112" s="35" t="inlineStr">
        <is>
          <t>GDAM</t>
        </is>
      </c>
      <c r="D112" s="31" t="n">
        <v>0.08782042178854954</v>
      </c>
      <c r="E112" s="31" t="n">
        <v>0.102063631848934</v>
      </c>
      <c r="F112" s="36" t="n">
        <v>-18.24976083553395</v>
      </c>
      <c r="G112" s="27" t="n">
        <v>7862.141095890411</v>
      </c>
      <c r="H112" s="30" t="n">
        <v>365</v>
      </c>
    </row>
    <row r="113">
      <c r="A113" s="35" t="inlineStr">
        <is>
          <t>P12</t>
        </is>
      </c>
      <c r="B113" s="30" t="n">
        <v>2</v>
      </c>
      <c r="C113" s="35" t="inlineStr">
        <is>
          <t>RTM</t>
        </is>
      </c>
      <c r="D113" s="31" t="n">
        <v>0.03789127829697014</v>
      </c>
      <c r="E113" s="31" t="n">
        <v>0.0127551950225665</v>
      </c>
      <c r="F113" s="36" t="n">
        <v>-230.6990290314625</v>
      </c>
      <c r="G113" s="27" t="n">
        <v>6138.093150684931</v>
      </c>
      <c r="H113" s="30" t="n">
        <v>365</v>
      </c>
    </row>
    <row r="114">
      <c r="A114" s="35" t="inlineStr">
        <is>
          <t>P12</t>
        </is>
      </c>
      <c r="B114" s="30" t="n">
        <v>2</v>
      </c>
      <c r="C114" s="35" t="inlineStr">
        <is>
          <t>Flexible</t>
        </is>
      </c>
      <c r="D114" s="31" t="n">
        <v>0.06438730914981095</v>
      </c>
      <c r="E114" s="31" t="n">
        <v>0.05736806299057984</v>
      </c>
      <c r="F114" s="36" t="n">
        <v>-122.6404225808281</v>
      </c>
      <c r="G114" s="27" t="n">
        <v>7000</v>
      </c>
      <c r="H114" s="30" t="n">
        <v>365</v>
      </c>
    </row>
    <row r="115">
      <c r="A115" s="35" t="inlineStr">
        <is>
          <t>P12</t>
        </is>
      </c>
      <c r="B115" s="30" t="n">
        <v>4</v>
      </c>
      <c r="C115" s="35" t="inlineStr">
        <is>
          <t>DAM</t>
        </is>
      </c>
      <c r="D115" s="31" t="n">
        <v>0.06476761616290838</v>
      </c>
      <c r="E115" s="31" t="n">
        <v>0.05903686850861145</v>
      </c>
      <c r="F115" s="36" t="n">
        <v>-237.4394620466361</v>
      </c>
      <c r="G115" s="27" t="n">
        <v>6940.24897260274</v>
      </c>
      <c r="H115" s="30" t="n">
        <v>365</v>
      </c>
    </row>
    <row r="116">
      <c r="A116" s="35" t="inlineStr">
        <is>
          <t>P12</t>
        </is>
      </c>
      <c r="B116" s="30" t="n">
        <v>4</v>
      </c>
      <c r="C116" s="35" t="inlineStr">
        <is>
          <t>GDAM</t>
        </is>
      </c>
      <c r="D116" s="31" t="n">
        <v>0.08630468013241133</v>
      </c>
      <c r="E116" s="31" t="n">
        <v>0.09958717498174818</v>
      </c>
      <c r="F116" s="36" t="n">
        <v>-49.50388583484467</v>
      </c>
      <c r="G116" s="27" t="n">
        <v>7702.807363013699</v>
      </c>
      <c r="H116" s="30" t="n">
        <v>365</v>
      </c>
    </row>
    <row r="117">
      <c r="A117" s="35" t="inlineStr">
        <is>
          <t>P12</t>
        </is>
      </c>
      <c r="B117" s="30" t="n">
        <v>4</v>
      </c>
      <c r="C117" s="35" t="inlineStr">
        <is>
          <t>RTM</t>
        </is>
      </c>
      <c r="D117" s="31" t="n">
        <v>0.03772187823045414</v>
      </c>
      <c r="E117" s="31" t="n">
        <v>0.01234143736012305</v>
      </c>
      <c r="F117" s="36" t="n">
        <v>-453.7391522007221</v>
      </c>
      <c r="G117" s="27" t="n">
        <v>6062.601712328767</v>
      </c>
      <c r="H117" s="30" t="n">
        <v>365</v>
      </c>
    </row>
    <row r="118">
      <c r="A118" s="35" t="inlineStr">
        <is>
          <t>P12</t>
        </is>
      </c>
      <c r="B118" s="30" t="n">
        <v>4</v>
      </c>
      <c r="C118" s="35" t="inlineStr">
        <is>
          <t>Flexible</t>
        </is>
      </c>
      <c r="D118" s="31" t="n">
        <v>0.06694550910278141</v>
      </c>
      <c r="E118" s="31" t="n">
        <v>0.0630917545895161</v>
      </c>
      <c r="F118" s="36" t="n">
        <v>-219.0167712953655</v>
      </c>
      <c r="G118" s="27" t="n">
        <v>7000</v>
      </c>
      <c r="H118" s="3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2026-10-15T10:26:57Z</dcterms:created>
  <dcterms:modified xmlns:dcterms="http://purl.org/dc/terms/" xmlns:xsi="http://www.w3.org/2001/XMLSchema-instance" xsi:type="dcterms:W3CDTF">2026-10-15T10:26:58Z</dcterms:modified>
</cp:coreProperties>
</file>